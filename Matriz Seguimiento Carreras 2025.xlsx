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\Downloads\"/>
    </mc:Choice>
  </mc:AlternateContent>
  <xr:revisionPtr revIDLastSave="0" documentId="8_{540652E8-FD8A-4198-8217-EC567E3B7837}" xr6:coauthVersionLast="47" xr6:coauthVersionMax="47" xr10:uidLastSave="{00000000-0000-0000-0000-000000000000}"/>
  <bookViews>
    <workbookView xWindow="-120" yWindow="-120" windowWidth="20730" windowHeight="11760" xr2:uid="{420D43EF-43DB-487A-B766-3B85AC150CC6}"/>
  </bookViews>
  <sheets>
    <sheet name="Resumen" sheetId="1" r:id="rId1"/>
    <sheet name="Entrenamiento Deportivo" sheetId="2" r:id="rId2"/>
    <sheet name="Penitenciaria" sheetId="3" r:id="rId3"/>
    <sheet name="Producción Audiovisual" sheetId="4" r:id="rId4"/>
    <sheet name="Plataformas tecnológicas" sheetId="5" r:id="rId5"/>
    <sheet name="Biga Data" sheetId="6" r:id="rId6"/>
    <sheet name="Ciberseguridad" sheetId="7" r:id="rId7"/>
    <sheet name="Software" sheetId="8" r:id="rId8"/>
    <sheet name="Desarrollo infantil" sheetId="9" r:id="rId9"/>
    <sheet name="Educación Inicial" sheetId="10" r:id="rId10"/>
    <sheet name="Patrimonio" sheetId="11" r:id="rId11"/>
    <sheet name="Mantenimiento eléctrico" sheetId="12" r:id="rId12"/>
    <sheet name="Mecatrónica" sheetId="13" r:id="rId13"/>
    <sheet name="Hoja 1" sheetId="14" r:id="rId14"/>
    <sheet name="Metalmecánica" sheetId="15" r:id="rId15"/>
    <sheet name="Madera" sheetId="16" r:id="rId16"/>
    <sheet name="Seguridad y Prevención de riesg" sheetId="17" r:id="rId17"/>
    <sheet name="Tributación" sheetId="18" r:id="rId18"/>
    <sheet name="Universitaria Software" sheetId="19" r:id="rId19"/>
    <sheet name="Universitaria Industrial" sheetId="20" r:id="rId20"/>
    <sheet name="Universitaria de Entrenamiento" sheetId="21" r:id="rId21"/>
    <sheet name="resumen_carreras" sheetId="22" r:id="rId22"/>
    <sheet name="indicadores_carreras" sheetId="23" r:id="rId23"/>
    <sheet name="actividades_carreras" sheetId="24" r:id="rId2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86" i="24" l="1"/>
  <c r="N686" i="24"/>
  <c r="M686" i="24"/>
  <c r="L686" i="24"/>
  <c r="K686" i="24"/>
  <c r="J686" i="24"/>
  <c r="I686" i="24"/>
  <c r="H686" i="24"/>
  <c r="G686" i="24"/>
  <c r="F686" i="24"/>
  <c r="E686" i="24"/>
  <c r="D686" i="24"/>
  <c r="O685" i="24"/>
  <c r="N685" i="24"/>
  <c r="M685" i="24"/>
  <c r="L685" i="24"/>
  <c r="K685" i="24"/>
  <c r="J685" i="24"/>
  <c r="I685" i="24"/>
  <c r="H685" i="24"/>
  <c r="G685" i="24"/>
  <c r="F685" i="24"/>
  <c r="E685" i="24"/>
  <c r="D685" i="24"/>
  <c r="O684" i="24"/>
  <c r="N684" i="24"/>
  <c r="M684" i="24"/>
  <c r="L684" i="24"/>
  <c r="K684" i="24"/>
  <c r="J684" i="24"/>
  <c r="I684" i="24"/>
  <c r="H684" i="24"/>
  <c r="G684" i="24"/>
  <c r="F684" i="24"/>
  <c r="E684" i="24"/>
  <c r="D684" i="24"/>
  <c r="C684" i="24"/>
  <c r="B684" i="24"/>
  <c r="O683" i="24"/>
  <c r="N683" i="24"/>
  <c r="M683" i="24"/>
  <c r="L683" i="24"/>
  <c r="K683" i="24"/>
  <c r="J683" i="24"/>
  <c r="I683" i="24"/>
  <c r="H683" i="24"/>
  <c r="G683" i="24"/>
  <c r="F683" i="24"/>
  <c r="E683" i="24"/>
  <c r="D683" i="24"/>
  <c r="C683" i="24"/>
  <c r="O682" i="24"/>
  <c r="N682" i="24"/>
  <c r="M682" i="24"/>
  <c r="L682" i="24"/>
  <c r="K682" i="24"/>
  <c r="J682" i="24"/>
  <c r="I682" i="24"/>
  <c r="H682" i="24"/>
  <c r="G682" i="24"/>
  <c r="F682" i="24"/>
  <c r="E682" i="24"/>
  <c r="D682" i="24"/>
  <c r="O681" i="24"/>
  <c r="N681" i="24"/>
  <c r="M681" i="24"/>
  <c r="L681" i="24"/>
  <c r="K681" i="24"/>
  <c r="J681" i="24"/>
  <c r="I681" i="24"/>
  <c r="H681" i="24"/>
  <c r="G681" i="24"/>
  <c r="F681" i="24"/>
  <c r="E681" i="24"/>
  <c r="D681" i="24"/>
  <c r="C681" i="24"/>
  <c r="O680" i="24"/>
  <c r="N680" i="24"/>
  <c r="M680" i="24"/>
  <c r="L680" i="24"/>
  <c r="K680" i="24"/>
  <c r="J680" i="24"/>
  <c r="I680" i="24"/>
  <c r="H680" i="24"/>
  <c r="G680" i="24"/>
  <c r="F680" i="24"/>
  <c r="E680" i="24"/>
  <c r="D680" i="24"/>
  <c r="O679" i="24"/>
  <c r="N679" i="24"/>
  <c r="M679" i="24"/>
  <c r="L679" i="24"/>
  <c r="K679" i="24"/>
  <c r="J679" i="24"/>
  <c r="I679" i="24"/>
  <c r="H679" i="24"/>
  <c r="G679" i="24"/>
  <c r="F679" i="24"/>
  <c r="E679" i="24"/>
  <c r="D679" i="24"/>
  <c r="O678" i="24"/>
  <c r="N678" i="24"/>
  <c r="M678" i="24"/>
  <c r="L678" i="24"/>
  <c r="K678" i="24"/>
  <c r="J678" i="24"/>
  <c r="I678" i="24"/>
  <c r="H678" i="24"/>
  <c r="G678" i="24"/>
  <c r="F678" i="24"/>
  <c r="E678" i="24"/>
  <c r="D678" i="24"/>
  <c r="C678" i="24"/>
  <c r="B678" i="24"/>
  <c r="O677" i="24"/>
  <c r="N677" i="24"/>
  <c r="M677" i="24"/>
  <c r="L677" i="24"/>
  <c r="K677" i="24"/>
  <c r="J677" i="24"/>
  <c r="I677" i="24"/>
  <c r="H677" i="24"/>
  <c r="G677" i="24"/>
  <c r="F677" i="24"/>
  <c r="E677" i="24"/>
  <c r="D677" i="24"/>
  <c r="O676" i="24"/>
  <c r="N676" i="24"/>
  <c r="M676" i="24"/>
  <c r="L676" i="24"/>
  <c r="K676" i="24"/>
  <c r="J676" i="24"/>
  <c r="I676" i="24"/>
  <c r="H676" i="24"/>
  <c r="G676" i="24"/>
  <c r="F676" i="24"/>
  <c r="E676" i="24"/>
  <c r="D676" i="24"/>
  <c r="O675" i="24"/>
  <c r="N675" i="24"/>
  <c r="M675" i="24"/>
  <c r="L675" i="24"/>
  <c r="K675" i="24"/>
  <c r="J675" i="24"/>
  <c r="I675" i="24"/>
  <c r="H675" i="24"/>
  <c r="G675" i="24"/>
  <c r="F675" i="24"/>
  <c r="E675" i="24"/>
  <c r="D675" i="24"/>
  <c r="C675" i="24"/>
  <c r="O674" i="24"/>
  <c r="N674" i="24"/>
  <c r="M674" i="24"/>
  <c r="L674" i="24"/>
  <c r="K674" i="24"/>
  <c r="J674" i="24"/>
  <c r="I674" i="24"/>
  <c r="H674" i="24"/>
  <c r="G674" i="24"/>
  <c r="F674" i="24"/>
  <c r="E674" i="24"/>
  <c r="D674" i="24"/>
  <c r="O673" i="24"/>
  <c r="N673" i="24"/>
  <c r="M673" i="24"/>
  <c r="L673" i="24"/>
  <c r="K673" i="24"/>
  <c r="J673" i="24"/>
  <c r="I673" i="24"/>
  <c r="H673" i="24"/>
  <c r="G673" i="24"/>
  <c r="F673" i="24"/>
  <c r="E673" i="24"/>
  <c r="D673" i="24"/>
  <c r="O672" i="24"/>
  <c r="N672" i="24"/>
  <c r="M672" i="24"/>
  <c r="L672" i="24"/>
  <c r="K672" i="24"/>
  <c r="J672" i="24"/>
  <c r="I672" i="24"/>
  <c r="H672" i="24"/>
  <c r="G672" i="24"/>
  <c r="F672" i="24"/>
  <c r="E672" i="24"/>
  <c r="D672" i="24"/>
  <c r="C672" i="24"/>
  <c r="O671" i="24"/>
  <c r="N671" i="24"/>
  <c r="M671" i="24"/>
  <c r="L671" i="24"/>
  <c r="K671" i="24"/>
  <c r="J671" i="24"/>
  <c r="I671" i="24"/>
  <c r="H671" i="24"/>
  <c r="G671" i="24"/>
  <c r="F671" i="24"/>
  <c r="E671" i="24"/>
  <c r="D671" i="24"/>
  <c r="O670" i="24"/>
  <c r="N670" i="24"/>
  <c r="M670" i="24"/>
  <c r="L670" i="24"/>
  <c r="K670" i="24"/>
  <c r="J670" i="24"/>
  <c r="I670" i="24"/>
  <c r="H670" i="24"/>
  <c r="G670" i="24"/>
  <c r="F670" i="24"/>
  <c r="E670" i="24"/>
  <c r="D670" i="24"/>
  <c r="O669" i="24"/>
  <c r="N669" i="24"/>
  <c r="M669" i="24"/>
  <c r="L669" i="24"/>
  <c r="K669" i="24"/>
  <c r="J669" i="24"/>
  <c r="I669" i="24"/>
  <c r="H669" i="24"/>
  <c r="G669" i="24"/>
  <c r="F669" i="24"/>
  <c r="E669" i="24"/>
  <c r="D669" i="24"/>
  <c r="O668" i="24"/>
  <c r="N668" i="24"/>
  <c r="M668" i="24"/>
  <c r="L668" i="24"/>
  <c r="K668" i="24"/>
  <c r="J668" i="24"/>
  <c r="I668" i="24"/>
  <c r="H668" i="24"/>
  <c r="G668" i="24"/>
  <c r="F668" i="24"/>
  <c r="E668" i="24"/>
  <c r="D668" i="24"/>
  <c r="O667" i="24"/>
  <c r="N667" i="24"/>
  <c r="M667" i="24"/>
  <c r="L667" i="24"/>
  <c r="K667" i="24"/>
  <c r="J667" i="24"/>
  <c r="I667" i="24"/>
  <c r="H667" i="24"/>
  <c r="G667" i="24"/>
  <c r="F667" i="24"/>
  <c r="E667" i="24"/>
  <c r="D667" i="24"/>
  <c r="O666" i="24"/>
  <c r="N666" i="24"/>
  <c r="M666" i="24"/>
  <c r="L666" i="24"/>
  <c r="K666" i="24"/>
  <c r="J666" i="24"/>
  <c r="I666" i="24"/>
  <c r="H666" i="24"/>
  <c r="G666" i="24"/>
  <c r="F666" i="24"/>
  <c r="E666" i="24"/>
  <c r="D666" i="24"/>
  <c r="O665" i="24"/>
  <c r="N665" i="24"/>
  <c r="M665" i="24"/>
  <c r="L665" i="24"/>
  <c r="K665" i="24"/>
  <c r="J665" i="24"/>
  <c r="I665" i="24"/>
  <c r="H665" i="24"/>
  <c r="G665" i="24"/>
  <c r="F665" i="24"/>
  <c r="E665" i="24"/>
  <c r="D665" i="24"/>
  <c r="O664" i="24"/>
  <c r="N664" i="24"/>
  <c r="M664" i="24"/>
  <c r="L664" i="24"/>
  <c r="K664" i="24"/>
  <c r="J664" i="24"/>
  <c r="I664" i="24"/>
  <c r="H664" i="24"/>
  <c r="G664" i="24"/>
  <c r="F664" i="24"/>
  <c r="E664" i="24"/>
  <c r="D664" i="24"/>
  <c r="O663" i="24"/>
  <c r="N663" i="24"/>
  <c r="M663" i="24"/>
  <c r="L663" i="24"/>
  <c r="K663" i="24"/>
  <c r="J663" i="24"/>
  <c r="I663" i="24"/>
  <c r="H663" i="24"/>
  <c r="G663" i="24"/>
  <c r="F663" i="24"/>
  <c r="E663" i="24"/>
  <c r="D663" i="24"/>
  <c r="O662" i="24"/>
  <c r="N662" i="24"/>
  <c r="M662" i="24"/>
  <c r="L662" i="24"/>
  <c r="K662" i="24"/>
  <c r="J662" i="24"/>
  <c r="I662" i="24"/>
  <c r="H662" i="24"/>
  <c r="G662" i="24"/>
  <c r="F662" i="24"/>
  <c r="E662" i="24"/>
  <c r="D662" i="24"/>
  <c r="O661" i="24"/>
  <c r="N661" i="24"/>
  <c r="M661" i="24"/>
  <c r="L661" i="24"/>
  <c r="K661" i="24"/>
  <c r="J661" i="24"/>
  <c r="I661" i="24"/>
  <c r="H661" i="24"/>
  <c r="G661" i="24"/>
  <c r="F661" i="24"/>
  <c r="E661" i="24"/>
  <c r="D661" i="24"/>
  <c r="O660" i="24"/>
  <c r="N660" i="24"/>
  <c r="M660" i="24"/>
  <c r="L660" i="24"/>
  <c r="K660" i="24"/>
  <c r="J660" i="24"/>
  <c r="I660" i="24"/>
  <c r="H660" i="24"/>
  <c r="G660" i="24"/>
  <c r="F660" i="24"/>
  <c r="E660" i="24"/>
  <c r="D660" i="24"/>
  <c r="C660" i="24"/>
  <c r="B660" i="24"/>
  <c r="O659" i="24"/>
  <c r="N659" i="24"/>
  <c r="M659" i="24"/>
  <c r="L659" i="24"/>
  <c r="K659" i="24"/>
  <c r="J659" i="24"/>
  <c r="I659" i="24"/>
  <c r="H659" i="24"/>
  <c r="G659" i="24"/>
  <c r="F659" i="24"/>
  <c r="E659" i="24"/>
  <c r="D659" i="24"/>
  <c r="O658" i="24"/>
  <c r="N658" i="24"/>
  <c r="M658" i="24"/>
  <c r="L658" i="24"/>
  <c r="K658" i="24"/>
  <c r="J658" i="24"/>
  <c r="I658" i="24"/>
  <c r="H658" i="24"/>
  <c r="G658" i="24"/>
  <c r="F658" i="24"/>
  <c r="E658" i="24"/>
  <c r="D658" i="24"/>
  <c r="O657" i="24"/>
  <c r="N657" i="24"/>
  <c r="M657" i="24"/>
  <c r="L657" i="24"/>
  <c r="K657" i="24"/>
  <c r="J657" i="24"/>
  <c r="I657" i="24"/>
  <c r="H657" i="24"/>
  <c r="G657" i="24"/>
  <c r="F657" i="24"/>
  <c r="E657" i="24"/>
  <c r="D657" i="24"/>
  <c r="C657" i="24"/>
  <c r="O656" i="24"/>
  <c r="N656" i="24"/>
  <c r="M656" i="24"/>
  <c r="L656" i="24"/>
  <c r="K656" i="24"/>
  <c r="J656" i="24"/>
  <c r="I656" i="24"/>
  <c r="H656" i="24"/>
  <c r="G656" i="24"/>
  <c r="F656" i="24"/>
  <c r="E656" i="24"/>
  <c r="D656" i="24"/>
  <c r="O655" i="24"/>
  <c r="N655" i="24"/>
  <c r="M655" i="24"/>
  <c r="L655" i="24"/>
  <c r="K655" i="24"/>
  <c r="J655" i="24"/>
  <c r="I655" i="24"/>
  <c r="H655" i="24"/>
  <c r="G655" i="24"/>
  <c r="F655" i="24"/>
  <c r="E655" i="24"/>
  <c r="D655" i="24"/>
  <c r="O654" i="24"/>
  <c r="N654" i="24"/>
  <c r="M654" i="24"/>
  <c r="L654" i="24"/>
  <c r="K654" i="24"/>
  <c r="J654" i="24"/>
  <c r="I654" i="24"/>
  <c r="H654" i="24"/>
  <c r="G654" i="24"/>
  <c r="F654" i="24"/>
  <c r="E654" i="24"/>
  <c r="D654" i="24"/>
  <c r="C654" i="24"/>
  <c r="O653" i="24"/>
  <c r="N653" i="24"/>
  <c r="M653" i="24"/>
  <c r="L653" i="24"/>
  <c r="K653" i="24"/>
  <c r="J653" i="24"/>
  <c r="I653" i="24"/>
  <c r="H653" i="24"/>
  <c r="G653" i="24"/>
  <c r="F653" i="24"/>
  <c r="E653" i="24"/>
  <c r="D653" i="24"/>
  <c r="O652" i="24"/>
  <c r="N652" i="24"/>
  <c r="M652" i="24"/>
  <c r="L652" i="24"/>
  <c r="K652" i="24"/>
  <c r="J652" i="24"/>
  <c r="I652" i="24"/>
  <c r="H652" i="24"/>
  <c r="G652" i="24"/>
  <c r="F652" i="24"/>
  <c r="E652" i="24"/>
  <c r="D652" i="24"/>
  <c r="C652" i="24"/>
  <c r="O651" i="24"/>
  <c r="N651" i="24"/>
  <c r="M651" i="24"/>
  <c r="L651" i="24"/>
  <c r="K651" i="24"/>
  <c r="J651" i="24"/>
  <c r="I651" i="24"/>
  <c r="H651" i="24"/>
  <c r="G651" i="24"/>
  <c r="F651" i="24"/>
  <c r="E651" i="24"/>
  <c r="D651" i="24"/>
  <c r="O650" i="24"/>
  <c r="N650" i="24"/>
  <c r="M650" i="24"/>
  <c r="L650" i="24"/>
  <c r="K650" i="24"/>
  <c r="J650" i="24"/>
  <c r="I650" i="24"/>
  <c r="H650" i="24"/>
  <c r="G650" i="24"/>
  <c r="F650" i="24"/>
  <c r="E650" i="24"/>
  <c r="D650" i="24"/>
  <c r="O649" i="24"/>
  <c r="N649" i="24"/>
  <c r="M649" i="24"/>
  <c r="L649" i="24"/>
  <c r="K649" i="24"/>
  <c r="J649" i="24"/>
  <c r="I649" i="24"/>
  <c r="H649" i="24"/>
  <c r="G649" i="24"/>
  <c r="F649" i="24"/>
  <c r="E649" i="24"/>
  <c r="D649" i="24"/>
  <c r="C649" i="24"/>
  <c r="B649" i="24"/>
  <c r="O648" i="24"/>
  <c r="N648" i="24"/>
  <c r="M648" i="24"/>
  <c r="L648" i="24"/>
  <c r="K648" i="24"/>
  <c r="J648" i="24"/>
  <c r="I648" i="24"/>
  <c r="H648" i="24"/>
  <c r="G648" i="24"/>
  <c r="F648" i="24"/>
  <c r="E648" i="24"/>
  <c r="O647" i="24"/>
  <c r="N647" i="24"/>
  <c r="M647" i="24"/>
  <c r="L647" i="24"/>
  <c r="K647" i="24"/>
  <c r="J647" i="24"/>
  <c r="I647" i="24"/>
  <c r="H647" i="24"/>
  <c r="G647" i="24"/>
  <c r="F647" i="24"/>
  <c r="E647" i="24"/>
  <c r="O646" i="24"/>
  <c r="N646" i="24"/>
  <c r="M646" i="24"/>
  <c r="L646" i="24"/>
  <c r="K646" i="24"/>
  <c r="J646" i="24"/>
  <c r="I646" i="24"/>
  <c r="H646" i="24"/>
  <c r="G646" i="24"/>
  <c r="F646" i="24"/>
  <c r="E646" i="24"/>
  <c r="C646" i="24"/>
  <c r="B646" i="24"/>
  <c r="O645" i="24"/>
  <c r="N645" i="24"/>
  <c r="M645" i="24"/>
  <c r="L645" i="24"/>
  <c r="K645" i="24"/>
  <c r="J645" i="24"/>
  <c r="I645" i="24"/>
  <c r="H645" i="24"/>
  <c r="G645" i="24"/>
  <c r="F645" i="24"/>
  <c r="E645" i="24"/>
  <c r="C645" i="24"/>
  <c r="O644" i="24"/>
  <c r="N644" i="24"/>
  <c r="M644" i="24"/>
  <c r="L644" i="24"/>
  <c r="K644" i="24"/>
  <c r="J644" i="24"/>
  <c r="I644" i="24"/>
  <c r="H644" i="24"/>
  <c r="G644" i="24"/>
  <c r="F644" i="24"/>
  <c r="E644" i="24"/>
  <c r="O643" i="24"/>
  <c r="N643" i="24"/>
  <c r="M643" i="24"/>
  <c r="L643" i="24"/>
  <c r="K643" i="24"/>
  <c r="J643" i="24"/>
  <c r="I643" i="24"/>
  <c r="H643" i="24"/>
  <c r="G643" i="24"/>
  <c r="F643" i="24"/>
  <c r="E643" i="24"/>
  <c r="C643" i="24"/>
  <c r="O642" i="24"/>
  <c r="N642" i="24"/>
  <c r="M642" i="24"/>
  <c r="L642" i="24"/>
  <c r="K642" i="24"/>
  <c r="J642" i="24"/>
  <c r="I642" i="24"/>
  <c r="H642" i="24"/>
  <c r="G642" i="24"/>
  <c r="F642" i="24"/>
  <c r="E642" i="24"/>
  <c r="O641" i="24"/>
  <c r="N641" i="24"/>
  <c r="M641" i="24"/>
  <c r="L641" i="24"/>
  <c r="K641" i="24"/>
  <c r="J641" i="24"/>
  <c r="I641" i="24"/>
  <c r="H641" i="24"/>
  <c r="G641" i="24"/>
  <c r="F641" i="24"/>
  <c r="E641" i="24"/>
  <c r="O640" i="24"/>
  <c r="N640" i="24"/>
  <c r="M640" i="24"/>
  <c r="L640" i="24"/>
  <c r="K640" i="24"/>
  <c r="J640" i="24"/>
  <c r="I640" i="24"/>
  <c r="H640" i="24"/>
  <c r="G640" i="24"/>
  <c r="F640" i="24"/>
  <c r="E640" i="24"/>
  <c r="C640" i="24"/>
  <c r="B640" i="24"/>
  <c r="O639" i="24"/>
  <c r="N639" i="24"/>
  <c r="M639" i="24"/>
  <c r="L639" i="24"/>
  <c r="K639" i="24"/>
  <c r="J639" i="24"/>
  <c r="I639" i="24"/>
  <c r="H639" i="24"/>
  <c r="G639" i="24"/>
  <c r="F639" i="24"/>
  <c r="E639" i="24"/>
  <c r="O638" i="24"/>
  <c r="N638" i="24"/>
  <c r="M638" i="24"/>
  <c r="L638" i="24"/>
  <c r="K638" i="24"/>
  <c r="J638" i="24"/>
  <c r="I638" i="24"/>
  <c r="H638" i="24"/>
  <c r="G638" i="24"/>
  <c r="F638" i="24"/>
  <c r="E638" i="24"/>
  <c r="O637" i="24"/>
  <c r="N637" i="24"/>
  <c r="M637" i="24"/>
  <c r="L637" i="24"/>
  <c r="K637" i="24"/>
  <c r="J637" i="24"/>
  <c r="I637" i="24"/>
  <c r="H637" i="24"/>
  <c r="G637" i="24"/>
  <c r="F637" i="24"/>
  <c r="E637" i="24"/>
  <c r="C637" i="24"/>
  <c r="C639" i="24" s="1"/>
  <c r="O636" i="24"/>
  <c r="N636" i="24"/>
  <c r="M636" i="24"/>
  <c r="L636" i="24"/>
  <c r="K636" i="24"/>
  <c r="J636" i="24"/>
  <c r="I636" i="24"/>
  <c r="H636" i="24"/>
  <c r="G636" i="24"/>
  <c r="F636" i="24"/>
  <c r="E636" i="24"/>
  <c r="O635" i="24"/>
  <c r="N635" i="24"/>
  <c r="M635" i="24"/>
  <c r="L635" i="24"/>
  <c r="K635" i="24"/>
  <c r="J635" i="24"/>
  <c r="I635" i="24"/>
  <c r="H635" i="24"/>
  <c r="G635" i="24"/>
  <c r="F635" i="24"/>
  <c r="E635" i="24"/>
  <c r="O634" i="24"/>
  <c r="N634" i="24"/>
  <c r="M634" i="24"/>
  <c r="L634" i="24"/>
  <c r="K634" i="24"/>
  <c r="J634" i="24"/>
  <c r="I634" i="24"/>
  <c r="H634" i="24"/>
  <c r="G634" i="24"/>
  <c r="F634" i="24"/>
  <c r="E634" i="24"/>
  <c r="C634" i="24"/>
  <c r="O633" i="24"/>
  <c r="N633" i="24"/>
  <c r="M633" i="24"/>
  <c r="L633" i="24"/>
  <c r="K633" i="24"/>
  <c r="J633" i="24"/>
  <c r="I633" i="24"/>
  <c r="H633" i="24"/>
  <c r="G633" i="24"/>
  <c r="F633" i="24"/>
  <c r="E633" i="24"/>
  <c r="O632" i="24"/>
  <c r="N632" i="24"/>
  <c r="M632" i="24"/>
  <c r="L632" i="24"/>
  <c r="K632" i="24"/>
  <c r="J632" i="24"/>
  <c r="I632" i="24"/>
  <c r="H632" i="24"/>
  <c r="G632" i="24"/>
  <c r="F632" i="24"/>
  <c r="E632" i="24"/>
  <c r="O631" i="24"/>
  <c r="N631" i="24"/>
  <c r="M631" i="24"/>
  <c r="L631" i="24"/>
  <c r="K631" i="24"/>
  <c r="J631" i="24"/>
  <c r="I631" i="24"/>
  <c r="H631" i="24"/>
  <c r="G631" i="24"/>
  <c r="F631" i="24"/>
  <c r="E631" i="24"/>
  <c r="O630" i="24"/>
  <c r="N630" i="24"/>
  <c r="M630" i="24"/>
  <c r="L630" i="24"/>
  <c r="K630" i="24"/>
  <c r="J630" i="24"/>
  <c r="I630" i="24"/>
  <c r="H630" i="24"/>
  <c r="G630" i="24"/>
  <c r="F630" i="24"/>
  <c r="E630" i="24"/>
  <c r="O629" i="24"/>
  <c r="N629" i="24"/>
  <c r="M629" i="24"/>
  <c r="L629" i="24"/>
  <c r="K629" i="24"/>
  <c r="J629" i="24"/>
  <c r="I629" i="24"/>
  <c r="H629" i="24"/>
  <c r="G629" i="24"/>
  <c r="F629" i="24"/>
  <c r="E629" i="24"/>
  <c r="O628" i="24"/>
  <c r="N628" i="24"/>
  <c r="M628" i="24"/>
  <c r="L628" i="24"/>
  <c r="K628" i="24"/>
  <c r="J628" i="24"/>
  <c r="I628" i="24"/>
  <c r="H628" i="24"/>
  <c r="G628" i="24"/>
  <c r="F628" i="24"/>
  <c r="E628" i="24"/>
  <c r="O627" i="24"/>
  <c r="N627" i="24"/>
  <c r="M627" i="24"/>
  <c r="L627" i="24"/>
  <c r="K627" i="24"/>
  <c r="J627" i="24"/>
  <c r="I627" i="24"/>
  <c r="H627" i="24"/>
  <c r="G627" i="24"/>
  <c r="F627" i="24"/>
  <c r="E627" i="24"/>
  <c r="O626" i="24"/>
  <c r="N626" i="24"/>
  <c r="M626" i="24"/>
  <c r="L626" i="24"/>
  <c r="K626" i="24"/>
  <c r="J626" i="24"/>
  <c r="I626" i="24"/>
  <c r="H626" i="24"/>
  <c r="G626" i="24"/>
  <c r="F626" i="24"/>
  <c r="E626" i="24"/>
  <c r="O625" i="24"/>
  <c r="N625" i="24"/>
  <c r="M625" i="24"/>
  <c r="L625" i="24"/>
  <c r="K625" i="24"/>
  <c r="J625" i="24"/>
  <c r="I625" i="24"/>
  <c r="H625" i="24"/>
  <c r="G625" i="24"/>
  <c r="F625" i="24"/>
  <c r="E625" i="24"/>
  <c r="O624" i="24"/>
  <c r="N624" i="24"/>
  <c r="M624" i="24"/>
  <c r="L624" i="24"/>
  <c r="K624" i="24"/>
  <c r="J624" i="24"/>
  <c r="I624" i="24"/>
  <c r="H624" i="24"/>
  <c r="G624" i="24"/>
  <c r="F624" i="24"/>
  <c r="E624" i="24"/>
  <c r="O623" i="24"/>
  <c r="N623" i="24"/>
  <c r="M623" i="24"/>
  <c r="L623" i="24"/>
  <c r="K623" i="24"/>
  <c r="J623" i="24"/>
  <c r="I623" i="24"/>
  <c r="H623" i="24"/>
  <c r="G623" i="24"/>
  <c r="F623" i="24"/>
  <c r="E623" i="24"/>
  <c r="O622" i="24"/>
  <c r="N622" i="24"/>
  <c r="M622" i="24"/>
  <c r="L622" i="24"/>
  <c r="K622" i="24"/>
  <c r="J622" i="24"/>
  <c r="I622" i="24"/>
  <c r="H622" i="24"/>
  <c r="G622" i="24"/>
  <c r="F622" i="24"/>
  <c r="E622" i="24"/>
  <c r="C622" i="24"/>
  <c r="B622" i="24"/>
  <c r="O621" i="24"/>
  <c r="N621" i="24"/>
  <c r="M621" i="24"/>
  <c r="L621" i="24"/>
  <c r="K621" i="24"/>
  <c r="J621" i="24"/>
  <c r="I621" i="24"/>
  <c r="H621" i="24"/>
  <c r="G621" i="24"/>
  <c r="F621" i="24"/>
  <c r="E621" i="24"/>
  <c r="O620" i="24"/>
  <c r="N620" i="24"/>
  <c r="M620" i="24"/>
  <c r="L620" i="24"/>
  <c r="K620" i="24"/>
  <c r="J620" i="24"/>
  <c r="I620" i="24"/>
  <c r="H620" i="24"/>
  <c r="G620" i="24"/>
  <c r="F620" i="24"/>
  <c r="E620" i="24"/>
  <c r="D620" i="24"/>
  <c r="O619" i="24"/>
  <c r="N619" i="24"/>
  <c r="M619" i="24"/>
  <c r="L619" i="24"/>
  <c r="K619" i="24"/>
  <c r="J619" i="24"/>
  <c r="I619" i="24"/>
  <c r="H619" i="24"/>
  <c r="G619" i="24"/>
  <c r="F619" i="24"/>
  <c r="E619" i="24"/>
  <c r="C619" i="24"/>
  <c r="O618" i="24"/>
  <c r="N618" i="24"/>
  <c r="M618" i="24"/>
  <c r="L618" i="24"/>
  <c r="K618" i="24"/>
  <c r="J618" i="24"/>
  <c r="I618" i="24"/>
  <c r="H618" i="24"/>
  <c r="G618" i="24"/>
  <c r="F618" i="24"/>
  <c r="E618" i="24"/>
  <c r="O617" i="24"/>
  <c r="N617" i="24"/>
  <c r="M617" i="24"/>
  <c r="L617" i="24"/>
  <c r="K617" i="24"/>
  <c r="J617" i="24"/>
  <c r="I617" i="24"/>
  <c r="H617" i="24"/>
  <c r="G617" i="24"/>
  <c r="F617" i="24"/>
  <c r="E617" i="24"/>
  <c r="O616" i="24"/>
  <c r="N616" i="24"/>
  <c r="M616" i="24"/>
  <c r="L616" i="24"/>
  <c r="K616" i="24"/>
  <c r="J616" i="24"/>
  <c r="I616" i="24"/>
  <c r="H616" i="24"/>
  <c r="G616" i="24"/>
  <c r="F616" i="24"/>
  <c r="E616" i="24"/>
  <c r="C616" i="24"/>
  <c r="O615" i="24"/>
  <c r="N615" i="24"/>
  <c r="M615" i="24"/>
  <c r="L615" i="24"/>
  <c r="K615" i="24"/>
  <c r="J615" i="24"/>
  <c r="I615" i="24"/>
  <c r="H615" i="24"/>
  <c r="G615" i="24"/>
  <c r="F615" i="24"/>
  <c r="E615" i="24"/>
  <c r="O614" i="24"/>
  <c r="N614" i="24"/>
  <c r="M614" i="24"/>
  <c r="L614" i="24"/>
  <c r="K614" i="24"/>
  <c r="J614" i="24"/>
  <c r="I614" i="24"/>
  <c r="H614" i="24"/>
  <c r="G614" i="24"/>
  <c r="F614" i="24"/>
  <c r="E614" i="24"/>
  <c r="C614" i="24"/>
  <c r="O613" i="24"/>
  <c r="N613" i="24"/>
  <c r="M613" i="24"/>
  <c r="L613" i="24"/>
  <c r="K613" i="24"/>
  <c r="J613" i="24"/>
  <c r="I613" i="24"/>
  <c r="H613" i="24"/>
  <c r="G613" i="24"/>
  <c r="F613" i="24"/>
  <c r="E613" i="24"/>
  <c r="O612" i="24"/>
  <c r="N612" i="24"/>
  <c r="M612" i="24"/>
  <c r="L612" i="24"/>
  <c r="K612" i="24"/>
  <c r="J612" i="24"/>
  <c r="I612" i="24"/>
  <c r="H612" i="24"/>
  <c r="G612" i="24"/>
  <c r="F612" i="24"/>
  <c r="E612" i="24"/>
  <c r="O611" i="24"/>
  <c r="N611" i="24"/>
  <c r="M611" i="24"/>
  <c r="L611" i="24"/>
  <c r="K611" i="24"/>
  <c r="J611" i="24"/>
  <c r="I611" i="24"/>
  <c r="H611" i="24"/>
  <c r="G611" i="24"/>
  <c r="F611" i="24"/>
  <c r="E611" i="24"/>
  <c r="C611" i="24"/>
  <c r="B611" i="24"/>
  <c r="O610" i="24"/>
  <c r="N610" i="24"/>
  <c r="M610" i="24"/>
  <c r="L610" i="24"/>
  <c r="K610" i="24"/>
  <c r="J610" i="24"/>
  <c r="I610" i="24"/>
  <c r="H610" i="24"/>
  <c r="G610" i="24"/>
  <c r="F610" i="24"/>
  <c r="E610" i="24"/>
  <c r="O609" i="24"/>
  <c r="N609" i="24"/>
  <c r="M609" i="24"/>
  <c r="L609" i="24"/>
  <c r="K609" i="24"/>
  <c r="J609" i="24"/>
  <c r="I609" i="24"/>
  <c r="H609" i="24"/>
  <c r="G609" i="24"/>
  <c r="F609" i="24"/>
  <c r="E609" i="24"/>
  <c r="O608" i="24"/>
  <c r="N608" i="24"/>
  <c r="M608" i="24"/>
  <c r="L608" i="24"/>
  <c r="K608" i="24"/>
  <c r="J608" i="24"/>
  <c r="I608" i="24"/>
  <c r="H608" i="24"/>
  <c r="G608" i="24"/>
  <c r="F608" i="24"/>
  <c r="E608" i="24"/>
  <c r="C608" i="24"/>
  <c r="B608" i="24"/>
  <c r="O607" i="24"/>
  <c r="N607" i="24"/>
  <c r="M607" i="24"/>
  <c r="L607" i="24"/>
  <c r="K607" i="24"/>
  <c r="J607" i="24"/>
  <c r="I607" i="24"/>
  <c r="H607" i="24"/>
  <c r="G607" i="24"/>
  <c r="F607" i="24"/>
  <c r="E607" i="24"/>
  <c r="C607" i="24"/>
  <c r="O606" i="24"/>
  <c r="N606" i="24"/>
  <c r="M606" i="24"/>
  <c r="L606" i="24"/>
  <c r="K606" i="24"/>
  <c r="J606" i="24"/>
  <c r="I606" i="24"/>
  <c r="H606" i="24"/>
  <c r="G606" i="24"/>
  <c r="F606" i="24"/>
  <c r="E606" i="24"/>
  <c r="O605" i="24"/>
  <c r="N605" i="24"/>
  <c r="M605" i="24"/>
  <c r="L605" i="24"/>
  <c r="K605" i="24"/>
  <c r="J605" i="24"/>
  <c r="I605" i="24"/>
  <c r="H605" i="24"/>
  <c r="G605" i="24"/>
  <c r="F605" i="24"/>
  <c r="E605" i="24"/>
  <c r="C605" i="24"/>
  <c r="O604" i="24"/>
  <c r="N604" i="24"/>
  <c r="M604" i="24"/>
  <c r="L604" i="24"/>
  <c r="K604" i="24"/>
  <c r="J604" i="24"/>
  <c r="I604" i="24"/>
  <c r="H604" i="24"/>
  <c r="G604" i="24"/>
  <c r="F604" i="24"/>
  <c r="E604" i="24"/>
  <c r="O603" i="24"/>
  <c r="N603" i="24"/>
  <c r="M603" i="24"/>
  <c r="L603" i="24"/>
  <c r="K603" i="24"/>
  <c r="J603" i="24"/>
  <c r="I603" i="24"/>
  <c r="H603" i="24"/>
  <c r="G603" i="24"/>
  <c r="F603" i="24"/>
  <c r="E603" i="24"/>
  <c r="O602" i="24"/>
  <c r="N602" i="24"/>
  <c r="M602" i="24"/>
  <c r="L602" i="24"/>
  <c r="K602" i="24"/>
  <c r="J602" i="24"/>
  <c r="I602" i="24"/>
  <c r="H602" i="24"/>
  <c r="G602" i="24"/>
  <c r="F602" i="24"/>
  <c r="E602" i="24"/>
  <c r="C602" i="24"/>
  <c r="B602" i="24"/>
  <c r="B603" i="24" s="1"/>
  <c r="O601" i="24"/>
  <c r="N601" i="24"/>
  <c r="M601" i="24"/>
  <c r="L601" i="24"/>
  <c r="K601" i="24"/>
  <c r="J601" i="24"/>
  <c r="I601" i="24"/>
  <c r="H601" i="24"/>
  <c r="G601" i="24"/>
  <c r="F601" i="24"/>
  <c r="E601" i="24"/>
  <c r="O600" i="24"/>
  <c r="N600" i="24"/>
  <c r="M600" i="24"/>
  <c r="L600" i="24"/>
  <c r="K600" i="24"/>
  <c r="J600" i="24"/>
  <c r="I600" i="24"/>
  <c r="H600" i="24"/>
  <c r="G600" i="24"/>
  <c r="F600" i="24"/>
  <c r="E600" i="24"/>
  <c r="O599" i="24"/>
  <c r="N599" i="24"/>
  <c r="M599" i="24"/>
  <c r="L599" i="24"/>
  <c r="K599" i="24"/>
  <c r="J599" i="24"/>
  <c r="I599" i="24"/>
  <c r="H599" i="24"/>
  <c r="G599" i="24"/>
  <c r="F599" i="24"/>
  <c r="E599" i="24"/>
  <c r="C599" i="24"/>
  <c r="O598" i="24"/>
  <c r="N598" i="24"/>
  <c r="M598" i="24"/>
  <c r="L598" i="24"/>
  <c r="K598" i="24"/>
  <c r="J598" i="24"/>
  <c r="I598" i="24"/>
  <c r="H598" i="24"/>
  <c r="G598" i="24"/>
  <c r="F598" i="24"/>
  <c r="E598" i="24"/>
  <c r="O597" i="24"/>
  <c r="N597" i="24"/>
  <c r="M597" i="24"/>
  <c r="L597" i="24"/>
  <c r="K597" i="24"/>
  <c r="J597" i="24"/>
  <c r="I597" i="24"/>
  <c r="H597" i="24"/>
  <c r="G597" i="24"/>
  <c r="F597" i="24"/>
  <c r="E597" i="24"/>
  <c r="O596" i="24"/>
  <c r="N596" i="24"/>
  <c r="M596" i="24"/>
  <c r="L596" i="24"/>
  <c r="K596" i="24"/>
  <c r="J596" i="24"/>
  <c r="I596" i="24"/>
  <c r="H596" i="24"/>
  <c r="G596" i="24"/>
  <c r="F596" i="24"/>
  <c r="E596" i="24"/>
  <c r="C596" i="24"/>
  <c r="O595" i="24"/>
  <c r="N595" i="24"/>
  <c r="M595" i="24"/>
  <c r="L595" i="24"/>
  <c r="K595" i="24"/>
  <c r="J595" i="24"/>
  <c r="I595" i="24"/>
  <c r="H595" i="24"/>
  <c r="G595" i="24"/>
  <c r="F595" i="24"/>
  <c r="E595" i="24"/>
  <c r="O594" i="24"/>
  <c r="N594" i="24"/>
  <c r="M594" i="24"/>
  <c r="L594" i="24"/>
  <c r="K594" i="24"/>
  <c r="J594" i="24"/>
  <c r="I594" i="24"/>
  <c r="H594" i="24"/>
  <c r="G594" i="24"/>
  <c r="F594" i="24"/>
  <c r="E594" i="24"/>
  <c r="O593" i="24"/>
  <c r="N593" i="24"/>
  <c r="M593" i="24"/>
  <c r="L593" i="24"/>
  <c r="K593" i="24"/>
  <c r="J593" i="24"/>
  <c r="I593" i="24"/>
  <c r="H593" i="24"/>
  <c r="G593" i="24"/>
  <c r="F593" i="24"/>
  <c r="E593" i="24"/>
  <c r="O592" i="24"/>
  <c r="N592" i="24"/>
  <c r="M592" i="24"/>
  <c r="L592" i="24"/>
  <c r="K592" i="24"/>
  <c r="J592" i="24"/>
  <c r="I592" i="24"/>
  <c r="H592" i="24"/>
  <c r="G592" i="24"/>
  <c r="F592" i="24"/>
  <c r="E592" i="24"/>
  <c r="O591" i="24"/>
  <c r="N591" i="24"/>
  <c r="M591" i="24"/>
  <c r="L591" i="24"/>
  <c r="K591" i="24"/>
  <c r="J591" i="24"/>
  <c r="I591" i="24"/>
  <c r="H591" i="24"/>
  <c r="G591" i="24"/>
  <c r="F591" i="24"/>
  <c r="E591" i="24"/>
  <c r="O590" i="24"/>
  <c r="N590" i="24"/>
  <c r="M590" i="24"/>
  <c r="L590" i="24"/>
  <c r="K590" i="24"/>
  <c r="J590" i="24"/>
  <c r="I590" i="24"/>
  <c r="H590" i="24"/>
  <c r="G590" i="24"/>
  <c r="F590" i="24"/>
  <c r="E590" i="24"/>
  <c r="O589" i="24"/>
  <c r="N589" i="24"/>
  <c r="M589" i="24"/>
  <c r="L589" i="24"/>
  <c r="K589" i="24"/>
  <c r="J589" i="24"/>
  <c r="I589" i="24"/>
  <c r="H589" i="24"/>
  <c r="G589" i="24"/>
  <c r="F589" i="24"/>
  <c r="E589" i="24"/>
  <c r="O588" i="24"/>
  <c r="N588" i="24"/>
  <c r="M588" i="24"/>
  <c r="L588" i="24"/>
  <c r="K588" i="24"/>
  <c r="J588" i="24"/>
  <c r="I588" i="24"/>
  <c r="H588" i="24"/>
  <c r="G588" i="24"/>
  <c r="F588" i="24"/>
  <c r="E588" i="24"/>
  <c r="O587" i="24"/>
  <c r="N587" i="24"/>
  <c r="M587" i="24"/>
  <c r="L587" i="24"/>
  <c r="K587" i="24"/>
  <c r="J587" i="24"/>
  <c r="I587" i="24"/>
  <c r="H587" i="24"/>
  <c r="G587" i="24"/>
  <c r="F587" i="24"/>
  <c r="E587" i="24"/>
  <c r="O586" i="24"/>
  <c r="N586" i="24"/>
  <c r="M586" i="24"/>
  <c r="L586" i="24"/>
  <c r="K586" i="24"/>
  <c r="J586" i="24"/>
  <c r="I586" i="24"/>
  <c r="H586" i="24"/>
  <c r="G586" i="24"/>
  <c r="F586" i="24"/>
  <c r="E586" i="24"/>
  <c r="O585" i="24"/>
  <c r="N585" i="24"/>
  <c r="M585" i="24"/>
  <c r="L585" i="24"/>
  <c r="K585" i="24"/>
  <c r="J585" i="24"/>
  <c r="I585" i="24"/>
  <c r="H585" i="24"/>
  <c r="G585" i="24"/>
  <c r="F585" i="24"/>
  <c r="E585" i="24"/>
  <c r="O584" i="24"/>
  <c r="N584" i="24"/>
  <c r="M584" i="24"/>
  <c r="L584" i="24"/>
  <c r="K584" i="24"/>
  <c r="J584" i="24"/>
  <c r="I584" i="24"/>
  <c r="H584" i="24"/>
  <c r="G584" i="24"/>
  <c r="F584" i="24"/>
  <c r="E584" i="24"/>
  <c r="C584" i="24"/>
  <c r="B584" i="24"/>
  <c r="O583" i="24"/>
  <c r="N583" i="24"/>
  <c r="M583" i="24"/>
  <c r="L583" i="24"/>
  <c r="K583" i="24"/>
  <c r="J583" i="24"/>
  <c r="I583" i="24"/>
  <c r="H583" i="24"/>
  <c r="G583" i="24"/>
  <c r="F583" i="24"/>
  <c r="E583" i="24"/>
  <c r="O582" i="24"/>
  <c r="N582" i="24"/>
  <c r="M582" i="24"/>
  <c r="L582" i="24"/>
  <c r="K582" i="24"/>
  <c r="J582" i="24"/>
  <c r="I582" i="24"/>
  <c r="H582" i="24"/>
  <c r="G582" i="24"/>
  <c r="F582" i="24"/>
  <c r="E582" i="24"/>
  <c r="D582" i="24"/>
  <c r="O581" i="24"/>
  <c r="N581" i="24"/>
  <c r="M581" i="24"/>
  <c r="L581" i="24"/>
  <c r="K581" i="24"/>
  <c r="J581" i="24"/>
  <c r="I581" i="24"/>
  <c r="H581" i="24"/>
  <c r="G581" i="24"/>
  <c r="F581" i="24"/>
  <c r="E581" i="24"/>
  <c r="C581" i="24"/>
  <c r="O580" i="24"/>
  <c r="N580" i="24"/>
  <c r="M580" i="24"/>
  <c r="L580" i="24"/>
  <c r="K580" i="24"/>
  <c r="J580" i="24"/>
  <c r="I580" i="24"/>
  <c r="H580" i="24"/>
  <c r="G580" i="24"/>
  <c r="F580" i="24"/>
  <c r="E580" i="24"/>
  <c r="O579" i="24"/>
  <c r="N579" i="24"/>
  <c r="M579" i="24"/>
  <c r="L579" i="24"/>
  <c r="K579" i="24"/>
  <c r="J579" i="24"/>
  <c r="I579" i="24"/>
  <c r="H579" i="24"/>
  <c r="G579" i="24"/>
  <c r="F579" i="24"/>
  <c r="E579" i="24"/>
  <c r="O578" i="24"/>
  <c r="N578" i="24"/>
  <c r="M578" i="24"/>
  <c r="L578" i="24"/>
  <c r="K578" i="24"/>
  <c r="J578" i="24"/>
  <c r="I578" i="24"/>
  <c r="H578" i="24"/>
  <c r="G578" i="24"/>
  <c r="F578" i="24"/>
  <c r="E578" i="24"/>
  <c r="C578" i="24"/>
  <c r="O577" i="24"/>
  <c r="N577" i="24"/>
  <c r="M577" i="24"/>
  <c r="L577" i="24"/>
  <c r="K577" i="24"/>
  <c r="J577" i="24"/>
  <c r="I577" i="24"/>
  <c r="H577" i="24"/>
  <c r="G577" i="24"/>
  <c r="F577" i="24"/>
  <c r="E577" i="24"/>
  <c r="O576" i="24"/>
  <c r="N576" i="24"/>
  <c r="M576" i="24"/>
  <c r="L576" i="24"/>
  <c r="K576" i="24"/>
  <c r="J576" i="24"/>
  <c r="I576" i="24"/>
  <c r="H576" i="24"/>
  <c r="G576" i="24"/>
  <c r="F576" i="24"/>
  <c r="E576" i="24"/>
  <c r="C576" i="24"/>
  <c r="O575" i="24"/>
  <c r="N575" i="24"/>
  <c r="M575" i="24"/>
  <c r="L575" i="24"/>
  <c r="K575" i="24"/>
  <c r="J575" i="24"/>
  <c r="I575" i="24"/>
  <c r="H575" i="24"/>
  <c r="G575" i="24"/>
  <c r="F575" i="24"/>
  <c r="E575" i="24"/>
  <c r="O574" i="24"/>
  <c r="N574" i="24"/>
  <c r="M574" i="24"/>
  <c r="L574" i="24"/>
  <c r="K574" i="24"/>
  <c r="J574" i="24"/>
  <c r="I574" i="24"/>
  <c r="H574" i="24"/>
  <c r="G574" i="24"/>
  <c r="F574" i="24"/>
  <c r="E574" i="24"/>
  <c r="O573" i="24"/>
  <c r="N573" i="24"/>
  <c r="M573" i="24"/>
  <c r="L573" i="24"/>
  <c r="K573" i="24"/>
  <c r="J573" i="24"/>
  <c r="I573" i="24"/>
  <c r="H573" i="24"/>
  <c r="G573" i="24"/>
  <c r="F573" i="24"/>
  <c r="E573" i="24"/>
  <c r="C573" i="24"/>
  <c r="B573" i="24"/>
  <c r="O572" i="24"/>
  <c r="N572" i="24"/>
  <c r="M572" i="24"/>
  <c r="L572" i="24"/>
  <c r="K572" i="24"/>
  <c r="J572" i="24"/>
  <c r="I572" i="24"/>
  <c r="H572" i="24"/>
  <c r="G572" i="24"/>
  <c r="F572" i="24"/>
  <c r="E572" i="24"/>
  <c r="O571" i="24"/>
  <c r="N571" i="24"/>
  <c r="M571" i="24"/>
  <c r="L571" i="24"/>
  <c r="K571" i="24"/>
  <c r="J571" i="24"/>
  <c r="I571" i="24"/>
  <c r="H571" i="24"/>
  <c r="G571" i="24"/>
  <c r="F571" i="24"/>
  <c r="E571" i="24"/>
  <c r="O570" i="24"/>
  <c r="N570" i="24"/>
  <c r="M570" i="24"/>
  <c r="L570" i="24"/>
  <c r="K570" i="24"/>
  <c r="J570" i="24"/>
  <c r="I570" i="24"/>
  <c r="H570" i="24"/>
  <c r="G570" i="24"/>
  <c r="F570" i="24"/>
  <c r="E570" i="24"/>
  <c r="C570" i="24"/>
  <c r="B570" i="24"/>
  <c r="O569" i="24"/>
  <c r="N569" i="24"/>
  <c r="M569" i="24"/>
  <c r="L569" i="24"/>
  <c r="K569" i="24"/>
  <c r="J569" i="24"/>
  <c r="I569" i="24"/>
  <c r="H569" i="24"/>
  <c r="G569" i="24"/>
  <c r="F569" i="24"/>
  <c r="E569" i="24"/>
  <c r="C569" i="24"/>
  <c r="O568" i="24"/>
  <c r="N568" i="24"/>
  <c r="M568" i="24"/>
  <c r="L568" i="24"/>
  <c r="K568" i="24"/>
  <c r="J568" i="24"/>
  <c r="I568" i="24"/>
  <c r="H568" i="24"/>
  <c r="G568" i="24"/>
  <c r="F568" i="24"/>
  <c r="E568" i="24"/>
  <c r="O567" i="24"/>
  <c r="N567" i="24"/>
  <c r="M567" i="24"/>
  <c r="L567" i="24"/>
  <c r="K567" i="24"/>
  <c r="J567" i="24"/>
  <c r="I567" i="24"/>
  <c r="H567" i="24"/>
  <c r="G567" i="24"/>
  <c r="F567" i="24"/>
  <c r="E567" i="24"/>
  <c r="C567" i="24"/>
  <c r="O566" i="24"/>
  <c r="N566" i="24"/>
  <c r="M566" i="24"/>
  <c r="L566" i="24"/>
  <c r="K566" i="24"/>
  <c r="J566" i="24"/>
  <c r="I566" i="24"/>
  <c r="H566" i="24"/>
  <c r="G566" i="24"/>
  <c r="F566" i="24"/>
  <c r="E566" i="24"/>
  <c r="O565" i="24"/>
  <c r="N565" i="24"/>
  <c r="M565" i="24"/>
  <c r="L565" i="24"/>
  <c r="K565" i="24"/>
  <c r="J565" i="24"/>
  <c r="I565" i="24"/>
  <c r="H565" i="24"/>
  <c r="G565" i="24"/>
  <c r="F565" i="24"/>
  <c r="E565" i="24"/>
  <c r="O564" i="24"/>
  <c r="N564" i="24"/>
  <c r="M564" i="24"/>
  <c r="L564" i="24"/>
  <c r="K564" i="24"/>
  <c r="J564" i="24"/>
  <c r="I564" i="24"/>
  <c r="H564" i="24"/>
  <c r="G564" i="24"/>
  <c r="F564" i="24"/>
  <c r="E564" i="24"/>
  <c r="C564" i="24"/>
  <c r="B564" i="24"/>
  <c r="O563" i="24"/>
  <c r="N563" i="24"/>
  <c r="M563" i="24"/>
  <c r="L563" i="24"/>
  <c r="K563" i="24"/>
  <c r="J563" i="24"/>
  <c r="I563" i="24"/>
  <c r="H563" i="24"/>
  <c r="G563" i="24"/>
  <c r="F563" i="24"/>
  <c r="E563" i="24"/>
  <c r="O562" i="24"/>
  <c r="N562" i="24"/>
  <c r="M562" i="24"/>
  <c r="L562" i="24"/>
  <c r="K562" i="24"/>
  <c r="J562" i="24"/>
  <c r="I562" i="24"/>
  <c r="H562" i="24"/>
  <c r="G562" i="24"/>
  <c r="F562" i="24"/>
  <c r="E562" i="24"/>
  <c r="O561" i="24"/>
  <c r="N561" i="24"/>
  <c r="M561" i="24"/>
  <c r="L561" i="24"/>
  <c r="K561" i="24"/>
  <c r="J561" i="24"/>
  <c r="I561" i="24"/>
  <c r="H561" i="24"/>
  <c r="G561" i="24"/>
  <c r="F561" i="24"/>
  <c r="E561" i="24"/>
  <c r="C561" i="24"/>
  <c r="O560" i="24"/>
  <c r="N560" i="24"/>
  <c r="M560" i="24"/>
  <c r="L560" i="24"/>
  <c r="K560" i="24"/>
  <c r="J560" i="24"/>
  <c r="I560" i="24"/>
  <c r="H560" i="24"/>
  <c r="G560" i="24"/>
  <c r="F560" i="24"/>
  <c r="E560" i="24"/>
  <c r="O559" i="24"/>
  <c r="N559" i="24"/>
  <c r="M559" i="24"/>
  <c r="L559" i="24"/>
  <c r="K559" i="24"/>
  <c r="J559" i="24"/>
  <c r="I559" i="24"/>
  <c r="H559" i="24"/>
  <c r="G559" i="24"/>
  <c r="F559" i="24"/>
  <c r="E559" i="24"/>
  <c r="O558" i="24"/>
  <c r="N558" i="24"/>
  <c r="M558" i="24"/>
  <c r="L558" i="24"/>
  <c r="K558" i="24"/>
  <c r="J558" i="24"/>
  <c r="I558" i="24"/>
  <c r="H558" i="24"/>
  <c r="G558" i="24"/>
  <c r="F558" i="24"/>
  <c r="E558" i="24"/>
  <c r="C558" i="24"/>
  <c r="O557" i="24"/>
  <c r="N557" i="24"/>
  <c r="M557" i="24"/>
  <c r="L557" i="24"/>
  <c r="K557" i="24"/>
  <c r="J557" i="24"/>
  <c r="I557" i="24"/>
  <c r="H557" i="24"/>
  <c r="G557" i="24"/>
  <c r="F557" i="24"/>
  <c r="E557" i="24"/>
  <c r="O556" i="24"/>
  <c r="N556" i="24"/>
  <c r="M556" i="24"/>
  <c r="L556" i="24"/>
  <c r="K556" i="24"/>
  <c r="J556" i="24"/>
  <c r="I556" i="24"/>
  <c r="H556" i="24"/>
  <c r="G556" i="24"/>
  <c r="F556" i="24"/>
  <c r="E556" i="24"/>
  <c r="O555" i="24"/>
  <c r="N555" i="24"/>
  <c r="M555" i="24"/>
  <c r="L555" i="24"/>
  <c r="K555" i="24"/>
  <c r="J555" i="24"/>
  <c r="I555" i="24"/>
  <c r="H555" i="24"/>
  <c r="G555" i="24"/>
  <c r="F555" i="24"/>
  <c r="E555" i="24"/>
  <c r="O554" i="24"/>
  <c r="N554" i="24"/>
  <c r="M554" i="24"/>
  <c r="L554" i="24"/>
  <c r="K554" i="24"/>
  <c r="J554" i="24"/>
  <c r="I554" i="24"/>
  <c r="H554" i="24"/>
  <c r="G554" i="24"/>
  <c r="F554" i="24"/>
  <c r="E554" i="24"/>
  <c r="O553" i="24"/>
  <c r="N553" i="24"/>
  <c r="M553" i="24"/>
  <c r="L553" i="24"/>
  <c r="K553" i="24"/>
  <c r="J553" i="24"/>
  <c r="I553" i="24"/>
  <c r="H553" i="24"/>
  <c r="G553" i="24"/>
  <c r="F553" i="24"/>
  <c r="E553" i="24"/>
  <c r="O552" i="24"/>
  <c r="N552" i="24"/>
  <c r="M552" i="24"/>
  <c r="L552" i="24"/>
  <c r="K552" i="24"/>
  <c r="J552" i="24"/>
  <c r="I552" i="24"/>
  <c r="H552" i="24"/>
  <c r="G552" i="24"/>
  <c r="F552" i="24"/>
  <c r="E552" i="24"/>
  <c r="O551" i="24"/>
  <c r="N551" i="24"/>
  <c r="M551" i="24"/>
  <c r="L551" i="24"/>
  <c r="K551" i="24"/>
  <c r="J551" i="24"/>
  <c r="I551" i="24"/>
  <c r="H551" i="24"/>
  <c r="G551" i="24"/>
  <c r="F551" i="24"/>
  <c r="E551" i="24"/>
  <c r="O550" i="24"/>
  <c r="N550" i="24"/>
  <c r="M550" i="24"/>
  <c r="L550" i="24"/>
  <c r="K550" i="24"/>
  <c r="J550" i="24"/>
  <c r="I550" i="24"/>
  <c r="H550" i="24"/>
  <c r="G550" i="24"/>
  <c r="F550" i="24"/>
  <c r="E550" i="24"/>
  <c r="O549" i="24"/>
  <c r="N549" i="24"/>
  <c r="M549" i="24"/>
  <c r="L549" i="24"/>
  <c r="K549" i="24"/>
  <c r="J549" i="24"/>
  <c r="I549" i="24"/>
  <c r="H549" i="24"/>
  <c r="G549" i="24"/>
  <c r="F549" i="24"/>
  <c r="E549" i="24"/>
  <c r="O548" i="24"/>
  <c r="N548" i="24"/>
  <c r="M548" i="24"/>
  <c r="L548" i="24"/>
  <c r="K548" i="24"/>
  <c r="J548" i="24"/>
  <c r="I548" i="24"/>
  <c r="H548" i="24"/>
  <c r="G548" i="24"/>
  <c r="F548" i="24"/>
  <c r="E548" i="24"/>
  <c r="O547" i="24"/>
  <c r="N547" i="24"/>
  <c r="M547" i="24"/>
  <c r="L547" i="24"/>
  <c r="K547" i="24"/>
  <c r="J547" i="24"/>
  <c r="I547" i="24"/>
  <c r="H547" i="24"/>
  <c r="G547" i="24"/>
  <c r="F547" i="24"/>
  <c r="E547" i="24"/>
  <c r="O546" i="24"/>
  <c r="N546" i="24"/>
  <c r="M546" i="24"/>
  <c r="L546" i="24"/>
  <c r="K546" i="24"/>
  <c r="J546" i="24"/>
  <c r="I546" i="24"/>
  <c r="H546" i="24"/>
  <c r="G546" i="24"/>
  <c r="F546" i="24"/>
  <c r="E546" i="24"/>
  <c r="C546" i="24"/>
  <c r="B546" i="24"/>
  <c r="O545" i="24"/>
  <c r="N545" i="24"/>
  <c r="M545" i="24"/>
  <c r="L545" i="24"/>
  <c r="K545" i="24"/>
  <c r="J545" i="24"/>
  <c r="I545" i="24"/>
  <c r="H545" i="24"/>
  <c r="G545" i="24"/>
  <c r="F545" i="24"/>
  <c r="E545" i="24"/>
  <c r="O544" i="24"/>
  <c r="N544" i="24"/>
  <c r="M544" i="24"/>
  <c r="L544" i="24"/>
  <c r="K544" i="24"/>
  <c r="J544" i="24"/>
  <c r="I544" i="24"/>
  <c r="H544" i="24"/>
  <c r="G544" i="24"/>
  <c r="F544" i="24"/>
  <c r="E544" i="24"/>
  <c r="D544" i="24"/>
  <c r="O543" i="24"/>
  <c r="N543" i="24"/>
  <c r="M543" i="24"/>
  <c r="L543" i="24"/>
  <c r="K543" i="24"/>
  <c r="J543" i="24"/>
  <c r="I543" i="24"/>
  <c r="H543" i="24"/>
  <c r="G543" i="24"/>
  <c r="F543" i="24"/>
  <c r="E543" i="24"/>
  <c r="C543" i="24"/>
  <c r="O542" i="24"/>
  <c r="N542" i="24"/>
  <c r="M542" i="24"/>
  <c r="L542" i="24"/>
  <c r="K542" i="24"/>
  <c r="J542" i="24"/>
  <c r="I542" i="24"/>
  <c r="H542" i="24"/>
  <c r="G542" i="24"/>
  <c r="F542" i="24"/>
  <c r="E542" i="24"/>
  <c r="O541" i="24"/>
  <c r="N541" i="24"/>
  <c r="M541" i="24"/>
  <c r="L541" i="24"/>
  <c r="K541" i="24"/>
  <c r="J541" i="24"/>
  <c r="I541" i="24"/>
  <c r="H541" i="24"/>
  <c r="G541" i="24"/>
  <c r="F541" i="24"/>
  <c r="E541" i="24"/>
  <c r="O540" i="24"/>
  <c r="N540" i="24"/>
  <c r="M540" i="24"/>
  <c r="L540" i="24"/>
  <c r="K540" i="24"/>
  <c r="J540" i="24"/>
  <c r="I540" i="24"/>
  <c r="H540" i="24"/>
  <c r="G540" i="24"/>
  <c r="F540" i="24"/>
  <c r="E540" i="24"/>
  <c r="C540" i="24"/>
  <c r="O539" i="24"/>
  <c r="N539" i="24"/>
  <c r="M539" i="24"/>
  <c r="L539" i="24"/>
  <c r="K539" i="24"/>
  <c r="J539" i="24"/>
  <c r="I539" i="24"/>
  <c r="H539" i="24"/>
  <c r="G539" i="24"/>
  <c r="F539" i="24"/>
  <c r="E539" i="24"/>
  <c r="O538" i="24"/>
  <c r="N538" i="24"/>
  <c r="M538" i="24"/>
  <c r="L538" i="24"/>
  <c r="K538" i="24"/>
  <c r="J538" i="24"/>
  <c r="I538" i="24"/>
  <c r="H538" i="24"/>
  <c r="G538" i="24"/>
  <c r="F538" i="24"/>
  <c r="E538" i="24"/>
  <c r="C538" i="24"/>
  <c r="C539" i="24" s="1"/>
  <c r="O537" i="24"/>
  <c r="N537" i="24"/>
  <c r="M537" i="24"/>
  <c r="L537" i="24"/>
  <c r="K537" i="24"/>
  <c r="J537" i="24"/>
  <c r="I537" i="24"/>
  <c r="H537" i="24"/>
  <c r="G537" i="24"/>
  <c r="F537" i="24"/>
  <c r="E537" i="24"/>
  <c r="O536" i="24"/>
  <c r="N536" i="24"/>
  <c r="M536" i="24"/>
  <c r="L536" i="24"/>
  <c r="K536" i="24"/>
  <c r="J536" i="24"/>
  <c r="I536" i="24"/>
  <c r="H536" i="24"/>
  <c r="G536" i="24"/>
  <c r="F536" i="24"/>
  <c r="E536" i="24"/>
  <c r="O535" i="24"/>
  <c r="N535" i="24"/>
  <c r="M535" i="24"/>
  <c r="L535" i="24"/>
  <c r="K535" i="24"/>
  <c r="J535" i="24"/>
  <c r="I535" i="24"/>
  <c r="H535" i="24"/>
  <c r="G535" i="24"/>
  <c r="F535" i="24"/>
  <c r="E535" i="24"/>
  <c r="C535" i="24"/>
  <c r="B535" i="24"/>
  <c r="O534" i="24"/>
  <c r="N534" i="24"/>
  <c r="M534" i="24"/>
  <c r="L534" i="24"/>
  <c r="K534" i="24"/>
  <c r="J534" i="24"/>
  <c r="I534" i="24"/>
  <c r="H534" i="24"/>
  <c r="G534" i="24"/>
  <c r="F534" i="24"/>
  <c r="E534" i="24"/>
  <c r="O533" i="24"/>
  <c r="N533" i="24"/>
  <c r="M533" i="24"/>
  <c r="L533" i="24"/>
  <c r="K533" i="24"/>
  <c r="J533" i="24"/>
  <c r="I533" i="24"/>
  <c r="H533" i="24"/>
  <c r="G533" i="24"/>
  <c r="F533" i="24"/>
  <c r="E533" i="24"/>
  <c r="O532" i="24"/>
  <c r="N532" i="24"/>
  <c r="M532" i="24"/>
  <c r="L532" i="24"/>
  <c r="K532" i="24"/>
  <c r="J532" i="24"/>
  <c r="I532" i="24"/>
  <c r="H532" i="24"/>
  <c r="G532" i="24"/>
  <c r="F532" i="24"/>
  <c r="E532" i="24"/>
  <c r="C532" i="24"/>
  <c r="B532" i="24"/>
  <c r="O531" i="24"/>
  <c r="N531" i="24"/>
  <c r="M531" i="24"/>
  <c r="L531" i="24"/>
  <c r="K531" i="24"/>
  <c r="J531" i="24"/>
  <c r="I531" i="24"/>
  <c r="H531" i="24"/>
  <c r="G531" i="24"/>
  <c r="F531" i="24"/>
  <c r="E531" i="24"/>
  <c r="C531" i="24"/>
  <c r="O530" i="24"/>
  <c r="N530" i="24"/>
  <c r="M530" i="24"/>
  <c r="L530" i="24"/>
  <c r="K530" i="24"/>
  <c r="J530" i="24"/>
  <c r="I530" i="24"/>
  <c r="H530" i="24"/>
  <c r="G530" i="24"/>
  <c r="F530" i="24"/>
  <c r="E530" i="24"/>
  <c r="O529" i="24"/>
  <c r="N529" i="24"/>
  <c r="M529" i="24"/>
  <c r="L529" i="24"/>
  <c r="K529" i="24"/>
  <c r="J529" i="24"/>
  <c r="I529" i="24"/>
  <c r="H529" i="24"/>
  <c r="G529" i="24"/>
  <c r="F529" i="24"/>
  <c r="E529" i="24"/>
  <c r="C529" i="24"/>
  <c r="O528" i="24"/>
  <c r="N528" i="24"/>
  <c r="M528" i="24"/>
  <c r="L528" i="24"/>
  <c r="K528" i="24"/>
  <c r="J528" i="24"/>
  <c r="I528" i="24"/>
  <c r="H528" i="24"/>
  <c r="G528" i="24"/>
  <c r="F528" i="24"/>
  <c r="E528" i="24"/>
  <c r="O527" i="24"/>
  <c r="N527" i="24"/>
  <c r="M527" i="24"/>
  <c r="L527" i="24"/>
  <c r="K527" i="24"/>
  <c r="J527" i="24"/>
  <c r="I527" i="24"/>
  <c r="H527" i="24"/>
  <c r="G527" i="24"/>
  <c r="F527" i="24"/>
  <c r="E527" i="24"/>
  <c r="O526" i="24"/>
  <c r="N526" i="24"/>
  <c r="M526" i="24"/>
  <c r="L526" i="24"/>
  <c r="K526" i="24"/>
  <c r="J526" i="24"/>
  <c r="I526" i="24"/>
  <c r="H526" i="24"/>
  <c r="G526" i="24"/>
  <c r="F526" i="24"/>
  <c r="E526" i="24"/>
  <c r="C526" i="24"/>
  <c r="B526" i="24"/>
  <c r="O525" i="24"/>
  <c r="N525" i="24"/>
  <c r="M525" i="24"/>
  <c r="L525" i="24"/>
  <c r="K525" i="24"/>
  <c r="J525" i="24"/>
  <c r="I525" i="24"/>
  <c r="H525" i="24"/>
  <c r="G525" i="24"/>
  <c r="F525" i="24"/>
  <c r="E525" i="24"/>
  <c r="O524" i="24"/>
  <c r="N524" i="24"/>
  <c r="M524" i="24"/>
  <c r="L524" i="24"/>
  <c r="K524" i="24"/>
  <c r="J524" i="24"/>
  <c r="I524" i="24"/>
  <c r="H524" i="24"/>
  <c r="G524" i="24"/>
  <c r="F524" i="24"/>
  <c r="E524" i="24"/>
  <c r="O523" i="24"/>
  <c r="N523" i="24"/>
  <c r="M523" i="24"/>
  <c r="L523" i="24"/>
  <c r="K523" i="24"/>
  <c r="J523" i="24"/>
  <c r="I523" i="24"/>
  <c r="H523" i="24"/>
  <c r="G523" i="24"/>
  <c r="F523" i="24"/>
  <c r="E523" i="24"/>
  <c r="C523" i="24"/>
  <c r="O522" i="24"/>
  <c r="N522" i="24"/>
  <c r="M522" i="24"/>
  <c r="L522" i="24"/>
  <c r="K522" i="24"/>
  <c r="J522" i="24"/>
  <c r="I522" i="24"/>
  <c r="H522" i="24"/>
  <c r="G522" i="24"/>
  <c r="F522" i="24"/>
  <c r="E522" i="24"/>
  <c r="O521" i="24"/>
  <c r="N521" i="24"/>
  <c r="M521" i="24"/>
  <c r="L521" i="24"/>
  <c r="K521" i="24"/>
  <c r="J521" i="24"/>
  <c r="I521" i="24"/>
  <c r="H521" i="24"/>
  <c r="G521" i="24"/>
  <c r="F521" i="24"/>
  <c r="E521" i="24"/>
  <c r="O520" i="24"/>
  <c r="N520" i="24"/>
  <c r="M520" i="24"/>
  <c r="L520" i="24"/>
  <c r="K520" i="24"/>
  <c r="J520" i="24"/>
  <c r="I520" i="24"/>
  <c r="H520" i="24"/>
  <c r="G520" i="24"/>
  <c r="F520" i="24"/>
  <c r="E520" i="24"/>
  <c r="C520" i="24"/>
  <c r="O519" i="24"/>
  <c r="N519" i="24"/>
  <c r="M519" i="24"/>
  <c r="L519" i="24"/>
  <c r="K519" i="24"/>
  <c r="J519" i="24"/>
  <c r="I519" i="24"/>
  <c r="H519" i="24"/>
  <c r="G519" i="24"/>
  <c r="F519" i="24"/>
  <c r="E519" i="24"/>
  <c r="O518" i="24"/>
  <c r="N518" i="24"/>
  <c r="M518" i="24"/>
  <c r="L518" i="24"/>
  <c r="K518" i="24"/>
  <c r="J518" i="24"/>
  <c r="I518" i="24"/>
  <c r="H518" i="24"/>
  <c r="G518" i="24"/>
  <c r="F518" i="24"/>
  <c r="E518" i="24"/>
  <c r="O517" i="24"/>
  <c r="N517" i="24"/>
  <c r="M517" i="24"/>
  <c r="L517" i="24"/>
  <c r="K517" i="24"/>
  <c r="J517" i="24"/>
  <c r="I517" i="24"/>
  <c r="H517" i="24"/>
  <c r="G517" i="24"/>
  <c r="F517" i="24"/>
  <c r="E517" i="24"/>
  <c r="O516" i="24"/>
  <c r="N516" i="24"/>
  <c r="M516" i="24"/>
  <c r="L516" i="24"/>
  <c r="K516" i="24"/>
  <c r="J516" i="24"/>
  <c r="I516" i="24"/>
  <c r="H516" i="24"/>
  <c r="G516" i="24"/>
  <c r="F516" i="24"/>
  <c r="E516" i="24"/>
  <c r="O515" i="24"/>
  <c r="N515" i="24"/>
  <c r="M515" i="24"/>
  <c r="L515" i="24"/>
  <c r="K515" i="24"/>
  <c r="J515" i="24"/>
  <c r="I515" i="24"/>
  <c r="H515" i="24"/>
  <c r="G515" i="24"/>
  <c r="F515" i="24"/>
  <c r="E515" i="24"/>
  <c r="O514" i="24"/>
  <c r="N514" i="24"/>
  <c r="M514" i="24"/>
  <c r="L514" i="24"/>
  <c r="K514" i="24"/>
  <c r="J514" i="24"/>
  <c r="I514" i="24"/>
  <c r="H514" i="24"/>
  <c r="G514" i="24"/>
  <c r="F514" i="24"/>
  <c r="E514" i="24"/>
  <c r="O513" i="24"/>
  <c r="N513" i="24"/>
  <c r="M513" i="24"/>
  <c r="L513" i="24"/>
  <c r="K513" i="24"/>
  <c r="J513" i="24"/>
  <c r="I513" i="24"/>
  <c r="H513" i="24"/>
  <c r="G513" i="24"/>
  <c r="F513" i="24"/>
  <c r="E513" i="24"/>
  <c r="O512" i="24"/>
  <c r="N512" i="24"/>
  <c r="M512" i="24"/>
  <c r="L512" i="24"/>
  <c r="K512" i="24"/>
  <c r="J512" i="24"/>
  <c r="I512" i="24"/>
  <c r="H512" i="24"/>
  <c r="G512" i="24"/>
  <c r="F512" i="24"/>
  <c r="E512" i="24"/>
  <c r="O511" i="24"/>
  <c r="N511" i="24"/>
  <c r="M511" i="24"/>
  <c r="L511" i="24"/>
  <c r="K511" i="24"/>
  <c r="J511" i="24"/>
  <c r="I511" i="24"/>
  <c r="H511" i="24"/>
  <c r="G511" i="24"/>
  <c r="F511" i="24"/>
  <c r="E511" i="24"/>
  <c r="O510" i="24"/>
  <c r="N510" i="24"/>
  <c r="M510" i="24"/>
  <c r="L510" i="24"/>
  <c r="K510" i="24"/>
  <c r="J510" i="24"/>
  <c r="I510" i="24"/>
  <c r="H510" i="24"/>
  <c r="G510" i="24"/>
  <c r="F510" i="24"/>
  <c r="E510" i="24"/>
  <c r="O509" i="24"/>
  <c r="N509" i="24"/>
  <c r="M509" i="24"/>
  <c r="L509" i="24"/>
  <c r="K509" i="24"/>
  <c r="J509" i="24"/>
  <c r="I509" i="24"/>
  <c r="H509" i="24"/>
  <c r="G509" i="24"/>
  <c r="F509" i="24"/>
  <c r="E509" i="24"/>
  <c r="O508" i="24"/>
  <c r="N508" i="24"/>
  <c r="M508" i="24"/>
  <c r="L508" i="24"/>
  <c r="K508" i="24"/>
  <c r="J508" i="24"/>
  <c r="I508" i="24"/>
  <c r="H508" i="24"/>
  <c r="G508" i="24"/>
  <c r="F508" i="24"/>
  <c r="E508" i="24"/>
  <c r="C508" i="24"/>
  <c r="B508" i="24"/>
  <c r="O507" i="24"/>
  <c r="N507" i="24"/>
  <c r="M507" i="24"/>
  <c r="L507" i="24"/>
  <c r="K507" i="24"/>
  <c r="J507" i="24"/>
  <c r="I507" i="24"/>
  <c r="H507" i="24"/>
  <c r="G507" i="24"/>
  <c r="F507" i="24"/>
  <c r="E507" i="24"/>
  <c r="O506" i="24"/>
  <c r="N506" i="24"/>
  <c r="M506" i="24"/>
  <c r="L506" i="24"/>
  <c r="K506" i="24"/>
  <c r="J506" i="24"/>
  <c r="I506" i="24"/>
  <c r="H506" i="24"/>
  <c r="G506" i="24"/>
  <c r="F506" i="24"/>
  <c r="E506" i="24"/>
  <c r="D506" i="24"/>
  <c r="O505" i="24"/>
  <c r="N505" i="24"/>
  <c r="M505" i="24"/>
  <c r="L505" i="24"/>
  <c r="K505" i="24"/>
  <c r="J505" i="24"/>
  <c r="I505" i="24"/>
  <c r="H505" i="24"/>
  <c r="G505" i="24"/>
  <c r="F505" i="24"/>
  <c r="E505" i="24"/>
  <c r="C505" i="24"/>
  <c r="O504" i="24"/>
  <c r="N504" i="24"/>
  <c r="M504" i="24"/>
  <c r="L504" i="24"/>
  <c r="K504" i="24"/>
  <c r="J504" i="24"/>
  <c r="I504" i="24"/>
  <c r="H504" i="24"/>
  <c r="G504" i="24"/>
  <c r="F504" i="24"/>
  <c r="E504" i="24"/>
  <c r="O503" i="24"/>
  <c r="N503" i="24"/>
  <c r="M503" i="24"/>
  <c r="L503" i="24"/>
  <c r="K503" i="24"/>
  <c r="J503" i="24"/>
  <c r="I503" i="24"/>
  <c r="H503" i="24"/>
  <c r="G503" i="24"/>
  <c r="F503" i="24"/>
  <c r="E503" i="24"/>
  <c r="O502" i="24"/>
  <c r="N502" i="24"/>
  <c r="M502" i="24"/>
  <c r="L502" i="24"/>
  <c r="K502" i="24"/>
  <c r="J502" i="24"/>
  <c r="I502" i="24"/>
  <c r="H502" i="24"/>
  <c r="G502" i="24"/>
  <c r="F502" i="24"/>
  <c r="E502" i="24"/>
  <c r="C502" i="24"/>
  <c r="O501" i="24"/>
  <c r="N501" i="24"/>
  <c r="M501" i="24"/>
  <c r="L501" i="24"/>
  <c r="K501" i="24"/>
  <c r="J501" i="24"/>
  <c r="I501" i="24"/>
  <c r="H501" i="24"/>
  <c r="G501" i="24"/>
  <c r="F501" i="24"/>
  <c r="E501" i="24"/>
  <c r="O500" i="24"/>
  <c r="N500" i="24"/>
  <c r="M500" i="24"/>
  <c r="L500" i="24"/>
  <c r="K500" i="24"/>
  <c r="J500" i="24"/>
  <c r="I500" i="24"/>
  <c r="H500" i="24"/>
  <c r="G500" i="24"/>
  <c r="F500" i="24"/>
  <c r="E500" i="24"/>
  <c r="C500" i="24"/>
  <c r="O499" i="24"/>
  <c r="N499" i="24"/>
  <c r="M499" i="24"/>
  <c r="L499" i="24"/>
  <c r="K499" i="24"/>
  <c r="J499" i="24"/>
  <c r="I499" i="24"/>
  <c r="H499" i="24"/>
  <c r="G499" i="24"/>
  <c r="F499" i="24"/>
  <c r="E499" i="24"/>
  <c r="O498" i="24"/>
  <c r="N498" i="24"/>
  <c r="M498" i="24"/>
  <c r="L498" i="24"/>
  <c r="K498" i="24"/>
  <c r="J498" i="24"/>
  <c r="I498" i="24"/>
  <c r="H498" i="24"/>
  <c r="G498" i="24"/>
  <c r="F498" i="24"/>
  <c r="E498" i="24"/>
  <c r="O497" i="24"/>
  <c r="N497" i="24"/>
  <c r="M497" i="24"/>
  <c r="L497" i="24"/>
  <c r="K497" i="24"/>
  <c r="J497" i="24"/>
  <c r="I497" i="24"/>
  <c r="H497" i="24"/>
  <c r="G497" i="24"/>
  <c r="F497" i="24"/>
  <c r="E497" i="24"/>
  <c r="C497" i="24"/>
  <c r="B497" i="24"/>
  <c r="O496" i="24"/>
  <c r="N496" i="24"/>
  <c r="M496" i="24"/>
  <c r="L496" i="24"/>
  <c r="K496" i="24"/>
  <c r="J496" i="24"/>
  <c r="I496" i="24"/>
  <c r="H496" i="24"/>
  <c r="G496" i="24"/>
  <c r="F496" i="24"/>
  <c r="E496" i="24"/>
  <c r="O495" i="24"/>
  <c r="N495" i="24"/>
  <c r="M495" i="24"/>
  <c r="L495" i="24"/>
  <c r="K495" i="24"/>
  <c r="J495" i="24"/>
  <c r="I495" i="24"/>
  <c r="H495" i="24"/>
  <c r="G495" i="24"/>
  <c r="F495" i="24"/>
  <c r="E495" i="24"/>
  <c r="O494" i="24"/>
  <c r="N494" i="24"/>
  <c r="M494" i="24"/>
  <c r="L494" i="24"/>
  <c r="K494" i="24"/>
  <c r="J494" i="24"/>
  <c r="I494" i="24"/>
  <c r="H494" i="24"/>
  <c r="G494" i="24"/>
  <c r="F494" i="24"/>
  <c r="E494" i="24"/>
  <c r="C494" i="24"/>
  <c r="B494" i="24"/>
  <c r="O493" i="24"/>
  <c r="N493" i="24"/>
  <c r="M493" i="24"/>
  <c r="L493" i="24"/>
  <c r="K493" i="24"/>
  <c r="J493" i="24"/>
  <c r="I493" i="24"/>
  <c r="H493" i="24"/>
  <c r="G493" i="24"/>
  <c r="F493" i="24"/>
  <c r="E493" i="24"/>
  <c r="C493" i="24"/>
  <c r="O492" i="24"/>
  <c r="N492" i="24"/>
  <c r="M492" i="24"/>
  <c r="L492" i="24"/>
  <c r="K492" i="24"/>
  <c r="J492" i="24"/>
  <c r="I492" i="24"/>
  <c r="H492" i="24"/>
  <c r="G492" i="24"/>
  <c r="F492" i="24"/>
  <c r="E492" i="24"/>
  <c r="O491" i="24"/>
  <c r="N491" i="24"/>
  <c r="M491" i="24"/>
  <c r="L491" i="24"/>
  <c r="K491" i="24"/>
  <c r="J491" i="24"/>
  <c r="I491" i="24"/>
  <c r="H491" i="24"/>
  <c r="G491" i="24"/>
  <c r="F491" i="24"/>
  <c r="E491" i="24"/>
  <c r="C491" i="24"/>
  <c r="C492" i="24" s="1"/>
  <c r="O490" i="24"/>
  <c r="N490" i="24"/>
  <c r="M490" i="24"/>
  <c r="L490" i="24"/>
  <c r="K490" i="24"/>
  <c r="J490" i="24"/>
  <c r="I490" i="24"/>
  <c r="H490" i="24"/>
  <c r="G490" i="24"/>
  <c r="F490" i="24"/>
  <c r="E490" i="24"/>
  <c r="O489" i="24"/>
  <c r="N489" i="24"/>
  <c r="M489" i="24"/>
  <c r="L489" i="24"/>
  <c r="K489" i="24"/>
  <c r="J489" i="24"/>
  <c r="I489" i="24"/>
  <c r="H489" i="24"/>
  <c r="G489" i="24"/>
  <c r="F489" i="24"/>
  <c r="E489" i="24"/>
  <c r="O488" i="24"/>
  <c r="N488" i="24"/>
  <c r="M488" i="24"/>
  <c r="L488" i="24"/>
  <c r="K488" i="24"/>
  <c r="J488" i="24"/>
  <c r="I488" i="24"/>
  <c r="H488" i="24"/>
  <c r="G488" i="24"/>
  <c r="F488" i="24"/>
  <c r="E488" i="24"/>
  <c r="C488" i="24"/>
  <c r="B488" i="24"/>
  <c r="O487" i="24"/>
  <c r="N487" i="24"/>
  <c r="M487" i="24"/>
  <c r="L487" i="24"/>
  <c r="K487" i="24"/>
  <c r="J487" i="24"/>
  <c r="I487" i="24"/>
  <c r="H487" i="24"/>
  <c r="G487" i="24"/>
  <c r="F487" i="24"/>
  <c r="E487" i="24"/>
  <c r="O486" i="24"/>
  <c r="N486" i="24"/>
  <c r="M486" i="24"/>
  <c r="L486" i="24"/>
  <c r="K486" i="24"/>
  <c r="J486" i="24"/>
  <c r="I486" i="24"/>
  <c r="H486" i="24"/>
  <c r="G486" i="24"/>
  <c r="F486" i="24"/>
  <c r="E486" i="24"/>
  <c r="O485" i="24"/>
  <c r="N485" i="24"/>
  <c r="M485" i="24"/>
  <c r="L485" i="24"/>
  <c r="K485" i="24"/>
  <c r="J485" i="24"/>
  <c r="I485" i="24"/>
  <c r="H485" i="24"/>
  <c r="G485" i="24"/>
  <c r="F485" i="24"/>
  <c r="E485" i="24"/>
  <c r="C485" i="24"/>
  <c r="O484" i="24"/>
  <c r="N484" i="24"/>
  <c r="M484" i="24"/>
  <c r="L484" i="24"/>
  <c r="K484" i="24"/>
  <c r="J484" i="24"/>
  <c r="I484" i="24"/>
  <c r="H484" i="24"/>
  <c r="G484" i="24"/>
  <c r="F484" i="24"/>
  <c r="E484" i="24"/>
  <c r="O483" i="24"/>
  <c r="N483" i="24"/>
  <c r="M483" i="24"/>
  <c r="L483" i="24"/>
  <c r="K483" i="24"/>
  <c r="J483" i="24"/>
  <c r="I483" i="24"/>
  <c r="H483" i="24"/>
  <c r="G483" i="24"/>
  <c r="F483" i="24"/>
  <c r="E483" i="24"/>
  <c r="O482" i="24"/>
  <c r="N482" i="24"/>
  <c r="M482" i="24"/>
  <c r="L482" i="24"/>
  <c r="K482" i="24"/>
  <c r="J482" i="24"/>
  <c r="I482" i="24"/>
  <c r="H482" i="24"/>
  <c r="G482" i="24"/>
  <c r="F482" i="24"/>
  <c r="E482" i="24"/>
  <c r="C482" i="24"/>
  <c r="O481" i="24"/>
  <c r="N481" i="24"/>
  <c r="M481" i="24"/>
  <c r="L481" i="24"/>
  <c r="K481" i="24"/>
  <c r="J481" i="24"/>
  <c r="I481" i="24"/>
  <c r="H481" i="24"/>
  <c r="G481" i="24"/>
  <c r="F481" i="24"/>
  <c r="E481" i="24"/>
  <c r="O480" i="24"/>
  <c r="N480" i="24"/>
  <c r="M480" i="24"/>
  <c r="L480" i="24"/>
  <c r="K480" i="24"/>
  <c r="J480" i="24"/>
  <c r="I480" i="24"/>
  <c r="H480" i="24"/>
  <c r="G480" i="24"/>
  <c r="F480" i="24"/>
  <c r="E480" i="24"/>
  <c r="O479" i="24"/>
  <c r="N479" i="24"/>
  <c r="M479" i="24"/>
  <c r="L479" i="24"/>
  <c r="K479" i="24"/>
  <c r="J479" i="24"/>
  <c r="I479" i="24"/>
  <c r="H479" i="24"/>
  <c r="G479" i="24"/>
  <c r="F479" i="24"/>
  <c r="E479" i="24"/>
  <c r="O478" i="24"/>
  <c r="N478" i="24"/>
  <c r="M478" i="24"/>
  <c r="L478" i="24"/>
  <c r="K478" i="24"/>
  <c r="J478" i="24"/>
  <c r="I478" i="24"/>
  <c r="H478" i="24"/>
  <c r="G478" i="24"/>
  <c r="F478" i="24"/>
  <c r="E478" i="24"/>
  <c r="O477" i="24"/>
  <c r="N477" i="24"/>
  <c r="M477" i="24"/>
  <c r="L477" i="24"/>
  <c r="K477" i="24"/>
  <c r="J477" i="24"/>
  <c r="I477" i="24"/>
  <c r="H477" i="24"/>
  <c r="G477" i="24"/>
  <c r="F477" i="24"/>
  <c r="E477" i="24"/>
  <c r="O476" i="24"/>
  <c r="N476" i="24"/>
  <c r="M476" i="24"/>
  <c r="L476" i="24"/>
  <c r="K476" i="24"/>
  <c r="J476" i="24"/>
  <c r="I476" i="24"/>
  <c r="H476" i="24"/>
  <c r="G476" i="24"/>
  <c r="F476" i="24"/>
  <c r="E476" i="24"/>
  <c r="O475" i="24"/>
  <c r="N475" i="24"/>
  <c r="M475" i="24"/>
  <c r="L475" i="24"/>
  <c r="K475" i="24"/>
  <c r="J475" i="24"/>
  <c r="I475" i="24"/>
  <c r="H475" i="24"/>
  <c r="G475" i="24"/>
  <c r="F475" i="24"/>
  <c r="E475" i="24"/>
  <c r="O474" i="24"/>
  <c r="N474" i="24"/>
  <c r="M474" i="24"/>
  <c r="L474" i="24"/>
  <c r="K474" i="24"/>
  <c r="J474" i="24"/>
  <c r="I474" i="24"/>
  <c r="H474" i="24"/>
  <c r="G474" i="24"/>
  <c r="F474" i="24"/>
  <c r="E474" i="24"/>
  <c r="O473" i="24"/>
  <c r="N473" i="24"/>
  <c r="M473" i="24"/>
  <c r="L473" i="24"/>
  <c r="K473" i="24"/>
  <c r="J473" i="24"/>
  <c r="I473" i="24"/>
  <c r="H473" i="24"/>
  <c r="G473" i="24"/>
  <c r="F473" i="24"/>
  <c r="E473" i="24"/>
  <c r="O472" i="24"/>
  <c r="N472" i="24"/>
  <c r="M472" i="24"/>
  <c r="L472" i="24"/>
  <c r="K472" i="24"/>
  <c r="J472" i="24"/>
  <c r="I472" i="24"/>
  <c r="H472" i="24"/>
  <c r="G472" i="24"/>
  <c r="F472" i="24"/>
  <c r="E472" i="24"/>
  <c r="O471" i="24"/>
  <c r="N471" i="24"/>
  <c r="M471" i="24"/>
  <c r="L471" i="24"/>
  <c r="K471" i="24"/>
  <c r="J471" i="24"/>
  <c r="I471" i="24"/>
  <c r="H471" i="24"/>
  <c r="G471" i="24"/>
  <c r="F471" i="24"/>
  <c r="E471" i="24"/>
  <c r="O470" i="24"/>
  <c r="N470" i="24"/>
  <c r="M470" i="24"/>
  <c r="L470" i="24"/>
  <c r="K470" i="24"/>
  <c r="J470" i="24"/>
  <c r="I470" i="24"/>
  <c r="H470" i="24"/>
  <c r="G470" i="24"/>
  <c r="F470" i="24"/>
  <c r="E470" i="24"/>
  <c r="C470" i="24"/>
  <c r="B470" i="24"/>
  <c r="O469" i="24"/>
  <c r="N469" i="24"/>
  <c r="M469" i="24"/>
  <c r="L469" i="24"/>
  <c r="K469" i="24"/>
  <c r="J469" i="24"/>
  <c r="I469" i="24"/>
  <c r="H469" i="24"/>
  <c r="G469" i="24"/>
  <c r="F469" i="24"/>
  <c r="E469" i="24"/>
  <c r="O468" i="24"/>
  <c r="N468" i="24"/>
  <c r="M468" i="24"/>
  <c r="L468" i="24"/>
  <c r="K468" i="24"/>
  <c r="J468" i="24"/>
  <c r="I468" i="24"/>
  <c r="H468" i="24"/>
  <c r="G468" i="24"/>
  <c r="F468" i="24"/>
  <c r="E468" i="24"/>
  <c r="D468" i="24"/>
  <c r="O467" i="24"/>
  <c r="N467" i="24"/>
  <c r="M467" i="24"/>
  <c r="L467" i="24"/>
  <c r="K467" i="24"/>
  <c r="J467" i="24"/>
  <c r="I467" i="24"/>
  <c r="H467" i="24"/>
  <c r="G467" i="24"/>
  <c r="F467" i="24"/>
  <c r="E467" i="24"/>
  <c r="C467" i="24"/>
  <c r="O466" i="24"/>
  <c r="N466" i="24"/>
  <c r="M466" i="24"/>
  <c r="L466" i="24"/>
  <c r="K466" i="24"/>
  <c r="J466" i="24"/>
  <c r="I466" i="24"/>
  <c r="H466" i="24"/>
  <c r="G466" i="24"/>
  <c r="F466" i="24"/>
  <c r="E466" i="24"/>
  <c r="O465" i="24"/>
  <c r="N465" i="24"/>
  <c r="M465" i="24"/>
  <c r="L465" i="24"/>
  <c r="K465" i="24"/>
  <c r="J465" i="24"/>
  <c r="I465" i="24"/>
  <c r="H465" i="24"/>
  <c r="G465" i="24"/>
  <c r="F465" i="24"/>
  <c r="E465" i="24"/>
  <c r="O464" i="24"/>
  <c r="N464" i="24"/>
  <c r="M464" i="24"/>
  <c r="L464" i="24"/>
  <c r="K464" i="24"/>
  <c r="J464" i="24"/>
  <c r="I464" i="24"/>
  <c r="H464" i="24"/>
  <c r="G464" i="24"/>
  <c r="F464" i="24"/>
  <c r="E464" i="24"/>
  <c r="C464" i="24"/>
  <c r="O463" i="24"/>
  <c r="N463" i="24"/>
  <c r="M463" i="24"/>
  <c r="L463" i="24"/>
  <c r="K463" i="24"/>
  <c r="J463" i="24"/>
  <c r="I463" i="24"/>
  <c r="H463" i="24"/>
  <c r="G463" i="24"/>
  <c r="F463" i="24"/>
  <c r="E463" i="24"/>
  <c r="O462" i="24"/>
  <c r="N462" i="24"/>
  <c r="M462" i="24"/>
  <c r="L462" i="24"/>
  <c r="K462" i="24"/>
  <c r="J462" i="24"/>
  <c r="I462" i="24"/>
  <c r="H462" i="24"/>
  <c r="G462" i="24"/>
  <c r="F462" i="24"/>
  <c r="E462" i="24"/>
  <c r="C462" i="24"/>
  <c r="O461" i="24"/>
  <c r="N461" i="24"/>
  <c r="M461" i="24"/>
  <c r="L461" i="24"/>
  <c r="K461" i="24"/>
  <c r="J461" i="24"/>
  <c r="I461" i="24"/>
  <c r="H461" i="24"/>
  <c r="G461" i="24"/>
  <c r="F461" i="24"/>
  <c r="E461" i="24"/>
  <c r="O460" i="24"/>
  <c r="N460" i="24"/>
  <c r="M460" i="24"/>
  <c r="L460" i="24"/>
  <c r="K460" i="24"/>
  <c r="J460" i="24"/>
  <c r="I460" i="24"/>
  <c r="H460" i="24"/>
  <c r="G460" i="24"/>
  <c r="F460" i="24"/>
  <c r="E460" i="24"/>
  <c r="O459" i="24"/>
  <c r="N459" i="24"/>
  <c r="M459" i="24"/>
  <c r="L459" i="24"/>
  <c r="K459" i="24"/>
  <c r="J459" i="24"/>
  <c r="I459" i="24"/>
  <c r="H459" i="24"/>
  <c r="G459" i="24"/>
  <c r="F459" i="24"/>
  <c r="E459" i="24"/>
  <c r="C459" i="24"/>
  <c r="B459" i="24"/>
  <c r="O458" i="24"/>
  <c r="N458" i="24"/>
  <c r="M458" i="24"/>
  <c r="L458" i="24"/>
  <c r="K458" i="24"/>
  <c r="J458" i="24"/>
  <c r="I458" i="24"/>
  <c r="H458" i="24"/>
  <c r="G458" i="24"/>
  <c r="F458" i="24"/>
  <c r="E458" i="24"/>
  <c r="O457" i="24"/>
  <c r="N457" i="24"/>
  <c r="M457" i="24"/>
  <c r="L457" i="24"/>
  <c r="K457" i="24"/>
  <c r="J457" i="24"/>
  <c r="I457" i="24"/>
  <c r="H457" i="24"/>
  <c r="G457" i="24"/>
  <c r="F457" i="24"/>
  <c r="E457" i="24"/>
  <c r="O456" i="24"/>
  <c r="N456" i="24"/>
  <c r="M456" i="24"/>
  <c r="L456" i="24"/>
  <c r="K456" i="24"/>
  <c r="J456" i="24"/>
  <c r="I456" i="24"/>
  <c r="H456" i="24"/>
  <c r="G456" i="24"/>
  <c r="F456" i="24"/>
  <c r="E456" i="24"/>
  <c r="C456" i="24"/>
  <c r="B456" i="24"/>
  <c r="O455" i="24"/>
  <c r="N455" i="24"/>
  <c r="M455" i="24"/>
  <c r="L455" i="24"/>
  <c r="K455" i="24"/>
  <c r="J455" i="24"/>
  <c r="I455" i="24"/>
  <c r="H455" i="24"/>
  <c r="G455" i="24"/>
  <c r="F455" i="24"/>
  <c r="E455" i="24"/>
  <c r="C455" i="24"/>
  <c r="O454" i="24"/>
  <c r="N454" i="24"/>
  <c r="M454" i="24"/>
  <c r="L454" i="24"/>
  <c r="K454" i="24"/>
  <c r="J454" i="24"/>
  <c r="I454" i="24"/>
  <c r="H454" i="24"/>
  <c r="G454" i="24"/>
  <c r="F454" i="24"/>
  <c r="E454" i="24"/>
  <c r="O453" i="24"/>
  <c r="N453" i="24"/>
  <c r="M453" i="24"/>
  <c r="L453" i="24"/>
  <c r="K453" i="24"/>
  <c r="J453" i="24"/>
  <c r="I453" i="24"/>
  <c r="H453" i="24"/>
  <c r="G453" i="24"/>
  <c r="F453" i="24"/>
  <c r="E453" i="24"/>
  <c r="C453" i="24"/>
  <c r="O452" i="24"/>
  <c r="N452" i="24"/>
  <c r="M452" i="24"/>
  <c r="L452" i="24"/>
  <c r="K452" i="24"/>
  <c r="J452" i="24"/>
  <c r="I452" i="24"/>
  <c r="H452" i="24"/>
  <c r="G452" i="24"/>
  <c r="F452" i="24"/>
  <c r="E452" i="24"/>
  <c r="O451" i="24"/>
  <c r="N451" i="24"/>
  <c r="M451" i="24"/>
  <c r="L451" i="24"/>
  <c r="K451" i="24"/>
  <c r="J451" i="24"/>
  <c r="I451" i="24"/>
  <c r="H451" i="24"/>
  <c r="G451" i="24"/>
  <c r="F451" i="24"/>
  <c r="E451" i="24"/>
  <c r="O450" i="24"/>
  <c r="N450" i="24"/>
  <c r="M450" i="24"/>
  <c r="L450" i="24"/>
  <c r="K450" i="24"/>
  <c r="J450" i="24"/>
  <c r="I450" i="24"/>
  <c r="H450" i="24"/>
  <c r="G450" i="24"/>
  <c r="F450" i="24"/>
  <c r="E450" i="24"/>
  <c r="C450" i="24"/>
  <c r="B450" i="24"/>
  <c r="O449" i="24"/>
  <c r="N449" i="24"/>
  <c r="M449" i="24"/>
  <c r="L449" i="24"/>
  <c r="K449" i="24"/>
  <c r="J449" i="24"/>
  <c r="I449" i="24"/>
  <c r="H449" i="24"/>
  <c r="G449" i="24"/>
  <c r="F449" i="24"/>
  <c r="E449" i="24"/>
  <c r="O448" i="24"/>
  <c r="N448" i="24"/>
  <c r="M448" i="24"/>
  <c r="L448" i="24"/>
  <c r="K448" i="24"/>
  <c r="J448" i="24"/>
  <c r="I448" i="24"/>
  <c r="H448" i="24"/>
  <c r="G448" i="24"/>
  <c r="F448" i="24"/>
  <c r="E448" i="24"/>
  <c r="O447" i="24"/>
  <c r="N447" i="24"/>
  <c r="M447" i="24"/>
  <c r="L447" i="24"/>
  <c r="K447" i="24"/>
  <c r="J447" i="24"/>
  <c r="I447" i="24"/>
  <c r="H447" i="24"/>
  <c r="G447" i="24"/>
  <c r="F447" i="24"/>
  <c r="E447" i="24"/>
  <c r="C447" i="24"/>
  <c r="O446" i="24"/>
  <c r="N446" i="24"/>
  <c r="M446" i="24"/>
  <c r="L446" i="24"/>
  <c r="K446" i="24"/>
  <c r="J446" i="24"/>
  <c r="I446" i="24"/>
  <c r="H446" i="24"/>
  <c r="G446" i="24"/>
  <c r="F446" i="24"/>
  <c r="E446" i="24"/>
  <c r="O445" i="24"/>
  <c r="N445" i="24"/>
  <c r="M445" i="24"/>
  <c r="L445" i="24"/>
  <c r="K445" i="24"/>
  <c r="J445" i="24"/>
  <c r="I445" i="24"/>
  <c r="H445" i="24"/>
  <c r="G445" i="24"/>
  <c r="F445" i="24"/>
  <c r="E445" i="24"/>
  <c r="O444" i="24"/>
  <c r="N444" i="24"/>
  <c r="M444" i="24"/>
  <c r="L444" i="24"/>
  <c r="K444" i="24"/>
  <c r="J444" i="24"/>
  <c r="I444" i="24"/>
  <c r="H444" i="24"/>
  <c r="G444" i="24"/>
  <c r="F444" i="24"/>
  <c r="E444" i="24"/>
  <c r="C444" i="24"/>
  <c r="O443" i="24"/>
  <c r="N443" i="24"/>
  <c r="M443" i="24"/>
  <c r="L443" i="24"/>
  <c r="K443" i="24"/>
  <c r="J443" i="24"/>
  <c r="I443" i="24"/>
  <c r="H443" i="24"/>
  <c r="G443" i="24"/>
  <c r="F443" i="24"/>
  <c r="E443" i="24"/>
  <c r="O442" i="24"/>
  <c r="N442" i="24"/>
  <c r="M442" i="24"/>
  <c r="L442" i="24"/>
  <c r="K442" i="24"/>
  <c r="J442" i="24"/>
  <c r="I442" i="24"/>
  <c r="H442" i="24"/>
  <c r="G442" i="24"/>
  <c r="F442" i="24"/>
  <c r="E442" i="24"/>
  <c r="O441" i="24"/>
  <c r="N441" i="24"/>
  <c r="M441" i="24"/>
  <c r="L441" i="24"/>
  <c r="K441" i="24"/>
  <c r="J441" i="24"/>
  <c r="I441" i="24"/>
  <c r="H441" i="24"/>
  <c r="G441" i="24"/>
  <c r="F441" i="24"/>
  <c r="E441" i="24"/>
  <c r="O440" i="24"/>
  <c r="N440" i="24"/>
  <c r="M440" i="24"/>
  <c r="L440" i="24"/>
  <c r="K440" i="24"/>
  <c r="J440" i="24"/>
  <c r="I440" i="24"/>
  <c r="H440" i="24"/>
  <c r="G440" i="24"/>
  <c r="F440" i="24"/>
  <c r="E440" i="24"/>
  <c r="O439" i="24"/>
  <c r="N439" i="24"/>
  <c r="M439" i="24"/>
  <c r="L439" i="24"/>
  <c r="K439" i="24"/>
  <c r="J439" i="24"/>
  <c r="I439" i="24"/>
  <c r="H439" i="24"/>
  <c r="G439" i="24"/>
  <c r="F439" i="24"/>
  <c r="E439" i="24"/>
  <c r="O438" i="24"/>
  <c r="N438" i="24"/>
  <c r="M438" i="24"/>
  <c r="L438" i="24"/>
  <c r="K438" i="24"/>
  <c r="J438" i="24"/>
  <c r="I438" i="24"/>
  <c r="H438" i="24"/>
  <c r="G438" i="24"/>
  <c r="F438" i="24"/>
  <c r="E438" i="24"/>
  <c r="O437" i="24"/>
  <c r="N437" i="24"/>
  <c r="M437" i="24"/>
  <c r="L437" i="24"/>
  <c r="K437" i="24"/>
  <c r="J437" i="24"/>
  <c r="I437" i="24"/>
  <c r="H437" i="24"/>
  <c r="G437" i="24"/>
  <c r="F437" i="24"/>
  <c r="E437" i="24"/>
  <c r="O436" i="24"/>
  <c r="N436" i="24"/>
  <c r="M436" i="24"/>
  <c r="L436" i="24"/>
  <c r="K436" i="24"/>
  <c r="J436" i="24"/>
  <c r="I436" i="24"/>
  <c r="H436" i="24"/>
  <c r="G436" i="24"/>
  <c r="F436" i="24"/>
  <c r="E436" i="24"/>
  <c r="O435" i="24"/>
  <c r="N435" i="24"/>
  <c r="M435" i="24"/>
  <c r="L435" i="24"/>
  <c r="K435" i="24"/>
  <c r="J435" i="24"/>
  <c r="I435" i="24"/>
  <c r="H435" i="24"/>
  <c r="G435" i="24"/>
  <c r="F435" i="24"/>
  <c r="E435" i="24"/>
  <c r="O434" i="24"/>
  <c r="N434" i="24"/>
  <c r="M434" i="24"/>
  <c r="L434" i="24"/>
  <c r="K434" i="24"/>
  <c r="J434" i="24"/>
  <c r="I434" i="24"/>
  <c r="H434" i="24"/>
  <c r="G434" i="24"/>
  <c r="F434" i="24"/>
  <c r="E434" i="24"/>
  <c r="O433" i="24"/>
  <c r="N433" i="24"/>
  <c r="M433" i="24"/>
  <c r="L433" i="24"/>
  <c r="K433" i="24"/>
  <c r="J433" i="24"/>
  <c r="I433" i="24"/>
  <c r="H433" i="24"/>
  <c r="G433" i="24"/>
  <c r="F433" i="24"/>
  <c r="E433" i="24"/>
  <c r="O432" i="24"/>
  <c r="N432" i="24"/>
  <c r="M432" i="24"/>
  <c r="L432" i="24"/>
  <c r="K432" i="24"/>
  <c r="J432" i="24"/>
  <c r="I432" i="24"/>
  <c r="H432" i="24"/>
  <c r="G432" i="24"/>
  <c r="F432" i="24"/>
  <c r="E432" i="24"/>
  <c r="C432" i="24"/>
  <c r="B432" i="24"/>
  <c r="O431" i="24"/>
  <c r="N431" i="24"/>
  <c r="M431" i="24"/>
  <c r="L431" i="24"/>
  <c r="K431" i="24"/>
  <c r="J431" i="24"/>
  <c r="I431" i="24"/>
  <c r="H431" i="24"/>
  <c r="G431" i="24"/>
  <c r="F431" i="24"/>
  <c r="E431" i="24"/>
  <c r="O430" i="24"/>
  <c r="N430" i="24"/>
  <c r="M430" i="24"/>
  <c r="L430" i="24"/>
  <c r="K430" i="24"/>
  <c r="J430" i="24"/>
  <c r="I430" i="24"/>
  <c r="H430" i="24"/>
  <c r="G430" i="24"/>
  <c r="F430" i="24"/>
  <c r="E430" i="24"/>
  <c r="D430" i="24"/>
  <c r="O429" i="24"/>
  <c r="N429" i="24"/>
  <c r="M429" i="24"/>
  <c r="L429" i="24"/>
  <c r="K429" i="24"/>
  <c r="J429" i="24"/>
  <c r="I429" i="24"/>
  <c r="H429" i="24"/>
  <c r="G429" i="24"/>
  <c r="F429" i="24"/>
  <c r="E429" i="24"/>
  <c r="C429" i="24"/>
  <c r="O428" i="24"/>
  <c r="N428" i="24"/>
  <c r="M428" i="24"/>
  <c r="L428" i="24"/>
  <c r="K428" i="24"/>
  <c r="J428" i="24"/>
  <c r="I428" i="24"/>
  <c r="H428" i="24"/>
  <c r="G428" i="24"/>
  <c r="F428" i="24"/>
  <c r="E428" i="24"/>
  <c r="O427" i="24"/>
  <c r="N427" i="24"/>
  <c r="M427" i="24"/>
  <c r="L427" i="24"/>
  <c r="K427" i="24"/>
  <c r="J427" i="24"/>
  <c r="I427" i="24"/>
  <c r="H427" i="24"/>
  <c r="G427" i="24"/>
  <c r="F427" i="24"/>
  <c r="E427" i="24"/>
  <c r="O426" i="24"/>
  <c r="N426" i="24"/>
  <c r="M426" i="24"/>
  <c r="L426" i="24"/>
  <c r="K426" i="24"/>
  <c r="J426" i="24"/>
  <c r="I426" i="24"/>
  <c r="H426" i="24"/>
  <c r="G426" i="24"/>
  <c r="F426" i="24"/>
  <c r="E426" i="24"/>
  <c r="C426" i="24"/>
  <c r="O425" i="24"/>
  <c r="N425" i="24"/>
  <c r="M425" i="24"/>
  <c r="L425" i="24"/>
  <c r="K425" i="24"/>
  <c r="J425" i="24"/>
  <c r="I425" i="24"/>
  <c r="H425" i="24"/>
  <c r="G425" i="24"/>
  <c r="F425" i="24"/>
  <c r="E425" i="24"/>
  <c r="O424" i="24"/>
  <c r="N424" i="24"/>
  <c r="M424" i="24"/>
  <c r="L424" i="24"/>
  <c r="K424" i="24"/>
  <c r="J424" i="24"/>
  <c r="I424" i="24"/>
  <c r="H424" i="24"/>
  <c r="G424" i="24"/>
  <c r="F424" i="24"/>
  <c r="E424" i="24"/>
  <c r="C424" i="24"/>
  <c r="O423" i="24"/>
  <c r="N423" i="24"/>
  <c r="M423" i="24"/>
  <c r="L423" i="24"/>
  <c r="K423" i="24"/>
  <c r="J423" i="24"/>
  <c r="I423" i="24"/>
  <c r="H423" i="24"/>
  <c r="G423" i="24"/>
  <c r="F423" i="24"/>
  <c r="E423" i="24"/>
  <c r="O422" i="24"/>
  <c r="N422" i="24"/>
  <c r="M422" i="24"/>
  <c r="L422" i="24"/>
  <c r="K422" i="24"/>
  <c r="J422" i="24"/>
  <c r="I422" i="24"/>
  <c r="H422" i="24"/>
  <c r="G422" i="24"/>
  <c r="F422" i="24"/>
  <c r="E422" i="24"/>
  <c r="O421" i="24"/>
  <c r="N421" i="24"/>
  <c r="M421" i="24"/>
  <c r="L421" i="24"/>
  <c r="K421" i="24"/>
  <c r="J421" i="24"/>
  <c r="I421" i="24"/>
  <c r="H421" i="24"/>
  <c r="G421" i="24"/>
  <c r="F421" i="24"/>
  <c r="E421" i="24"/>
  <c r="C421" i="24"/>
  <c r="B421" i="24"/>
  <c r="O420" i="24"/>
  <c r="N420" i="24"/>
  <c r="M420" i="24"/>
  <c r="L420" i="24"/>
  <c r="K420" i="24"/>
  <c r="J420" i="24"/>
  <c r="I420" i="24"/>
  <c r="H420" i="24"/>
  <c r="G420" i="24"/>
  <c r="F420" i="24"/>
  <c r="E420" i="24"/>
  <c r="O419" i="24"/>
  <c r="N419" i="24"/>
  <c r="M419" i="24"/>
  <c r="L419" i="24"/>
  <c r="K419" i="24"/>
  <c r="J419" i="24"/>
  <c r="I419" i="24"/>
  <c r="H419" i="24"/>
  <c r="G419" i="24"/>
  <c r="F419" i="24"/>
  <c r="E419" i="24"/>
  <c r="O418" i="24"/>
  <c r="N418" i="24"/>
  <c r="M418" i="24"/>
  <c r="L418" i="24"/>
  <c r="K418" i="24"/>
  <c r="J418" i="24"/>
  <c r="I418" i="24"/>
  <c r="H418" i="24"/>
  <c r="G418" i="24"/>
  <c r="F418" i="24"/>
  <c r="E418" i="24"/>
  <c r="C418" i="24"/>
  <c r="B418" i="24"/>
  <c r="O417" i="24"/>
  <c r="N417" i="24"/>
  <c r="M417" i="24"/>
  <c r="L417" i="24"/>
  <c r="K417" i="24"/>
  <c r="J417" i="24"/>
  <c r="I417" i="24"/>
  <c r="H417" i="24"/>
  <c r="G417" i="24"/>
  <c r="F417" i="24"/>
  <c r="E417" i="24"/>
  <c r="C417" i="24"/>
  <c r="O416" i="24"/>
  <c r="N416" i="24"/>
  <c r="M416" i="24"/>
  <c r="L416" i="24"/>
  <c r="K416" i="24"/>
  <c r="J416" i="24"/>
  <c r="I416" i="24"/>
  <c r="H416" i="24"/>
  <c r="G416" i="24"/>
  <c r="F416" i="24"/>
  <c r="E416" i="24"/>
  <c r="O415" i="24"/>
  <c r="N415" i="24"/>
  <c r="M415" i="24"/>
  <c r="L415" i="24"/>
  <c r="K415" i="24"/>
  <c r="J415" i="24"/>
  <c r="I415" i="24"/>
  <c r="H415" i="24"/>
  <c r="G415" i="24"/>
  <c r="F415" i="24"/>
  <c r="E415" i="24"/>
  <c r="C415" i="24"/>
  <c r="N414" i="24"/>
  <c r="M414" i="24"/>
  <c r="L414" i="24"/>
  <c r="K414" i="24"/>
  <c r="J414" i="24"/>
  <c r="I414" i="24"/>
  <c r="H414" i="24"/>
  <c r="G414" i="24"/>
  <c r="F414" i="24"/>
  <c r="E414" i="24"/>
  <c r="O413" i="24"/>
  <c r="N413" i="24"/>
  <c r="M413" i="24"/>
  <c r="L413" i="24"/>
  <c r="K413" i="24"/>
  <c r="J413" i="24"/>
  <c r="I413" i="24"/>
  <c r="H413" i="24"/>
  <c r="G413" i="24"/>
  <c r="F413" i="24"/>
  <c r="E413" i="24"/>
  <c r="O412" i="24"/>
  <c r="N412" i="24"/>
  <c r="M412" i="24"/>
  <c r="L412" i="24"/>
  <c r="K412" i="24"/>
  <c r="J412" i="24"/>
  <c r="I412" i="24"/>
  <c r="H412" i="24"/>
  <c r="G412" i="24"/>
  <c r="F412" i="24"/>
  <c r="E412" i="24"/>
  <c r="C412" i="24"/>
  <c r="B412" i="24"/>
  <c r="O411" i="24"/>
  <c r="N411" i="24"/>
  <c r="M411" i="24"/>
  <c r="L411" i="24"/>
  <c r="K411" i="24"/>
  <c r="J411" i="24"/>
  <c r="I411" i="24"/>
  <c r="H411" i="24"/>
  <c r="G411" i="24"/>
  <c r="F411" i="24"/>
  <c r="E411" i="24"/>
  <c r="O410" i="24"/>
  <c r="N410" i="24"/>
  <c r="M410" i="24"/>
  <c r="L410" i="24"/>
  <c r="K410" i="24"/>
  <c r="J410" i="24"/>
  <c r="I410" i="24"/>
  <c r="H410" i="24"/>
  <c r="G410" i="24"/>
  <c r="F410" i="24"/>
  <c r="E410" i="24"/>
  <c r="O409" i="24"/>
  <c r="N409" i="24"/>
  <c r="M409" i="24"/>
  <c r="L409" i="24"/>
  <c r="K409" i="24"/>
  <c r="J409" i="24"/>
  <c r="I409" i="24"/>
  <c r="H409" i="24"/>
  <c r="G409" i="24"/>
  <c r="F409" i="24"/>
  <c r="E409" i="24"/>
  <c r="C409" i="24"/>
  <c r="O408" i="24"/>
  <c r="N408" i="24"/>
  <c r="M408" i="24"/>
  <c r="L408" i="24"/>
  <c r="K408" i="24"/>
  <c r="J408" i="24"/>
  <c r="I408" i="24"/>
  <c r="H408" i="24"/>
  <c r="G408" i="24"/>
  <c r="F408" i="24"/>
  <c r="E408" i="24"/>
  <c r="O407" i="24"/>
  <c r="N407" i="24"/>
  <c r="M407" i="24"/>
  <c r="L407" i="24"/>
  <c r="K407" i="24"/>
  <c r="J407" i="24"/>
  <c r="I407" i="24"/>
  <c r="H407" i="24"/>
  <c r="G407" i="24"/>
  <c r="F407" i="24"/>
  <c r="E407" i="24"/>
  <c r="O406" i="24"/>
  <c r="N406" i="24"/>
  <c r="M406" i="24"/>
  <c r="L406" i="24"/>
  <c r="K406" i="24"/>
  <c r="J406" i="24"/>
  <c r="I406" i="24"/>
  <c r="H406" i="24"/>
  <c r="G406" i="24"/>
  <c r="F406" i="24"/>
  <c r="E406" i="24"/>
  <c r="C406" i="24"/>
  <c r="O405" i="24"/>
  <c r="N405" i="24"/>
  <c r="M405" i="24"/>
  <c r="L405" i="24"/>
  <c r="K405" i="24"/>
  <c r="J405" i="24"/>
  <c r="I405" i="24"/>
  <c r="H405" i="24"/>
  <c r="G405" i="24"/>
  <c r="F405" i="24"/>
  <c r="E405" i="24"/>
  <c r="O404" i="24"/>
  <c r="N404" i="24"/>
  <c r="M404" i="24"/>
  <c r="L404" i="24"/>
  <c r="K404" i="24"/>
  <c r="J404" i="24"/>
  <c r="I404" i="24"/>
  <c r="H404" i="24"/>
  <c r="G404" i="24"/>
  <c r="F404" i="24"/>
  <c r="E404" i="24"/>
  <c r="O403" i="24"/>
  <c r="N403" i="24"/>
  <c r="M403" i="24"/>
  <c r="L403" i="24"/>
  <c r="K403" i="24"/>
  <c r="J403" i="24"/>
  <c r="I403" i="24"/>
  <c r="H403" i="24"/>
  <c r="G403" i="24"/>
  <c r="F403" i="24"/>
  <c r="E403" i="24"/>
  <c r="O402" i="24"/>
  <c r="N402" i="24"/>
  <c r="M402" i="24"/>
  <c r="L402" i="24"/>
  <c r="K402" i="24"/>
  <c r="J402" i="24"/>
  <c r="I402" i="24"/>
  <c r="H402" i="24"/>
  <c r="G402" i="24"/>
  <c r="F402" i="24"/>
  <c r="E402" i="24"/>
  <c r="O401" i="24"/>
  <c r="N401" i="24"/>
  <c r="M401" i="24"/>
  <c r="L401" i="24"/>
  <c r="K401" i="24"/>
  <c r="J401" i="24"/>
  <c r="I401" i="24"/>
  <c r="H401" i="24"/>
  <c r="G401" i="24"/>
  <c r="F401" i="24"/>
  <c r="E401" i="24"/>
  <c r="O400" i="24"/>
  <c r="N400" i="24"/>
  <c r="M400" i="24"/>
  <c r="L400" i="24"/>
  <c r="K400" i="24"/>
  <c r="J400" i="24"/>
  <c r="I400" i="24"/>
  <c r="H400" i="24"/>
  <c r="G400" i="24"/>
  <c r="F400" i="24"/>
  <c r="E400" i="24"/>
  <c r="O399" i="24"/>
  <c r="N399" i="24"/>
  <c r="M399" i="24"/>
  <c r="L399" i="24"/>
  <c r="K399" i="24"/>
  <c r="J399" i="24"/>
  <c r="I399" i="24"/>
  <c r="H399" i="24"/>
  <c r="G399" i="24"/>
  <c r="F399" i="24"/>
  <c r="E399" i="24"/>
  <c r="O398" i="24"/>
  <c r="N398" i="24"/>
  <c r="M398" i="24"/>
  <c r="L398" i="24"/>
  <c r="K398" i="24"/>
  <c r="J398" i="24"/>
  <c r="I398" i="24"/>
  <c r="H398" i="24"/>
  <c r="G398" i="24"/>
  <c r="F398" i="24"/>
  <c r="E398" i="24"/>
  <c r="O397" i="24"/>
  <c r="N397" i="24"/>
  <c r="M397" i="24"/>
  <c r="L397" i="24"/>
  <c r="K397" i="24"/>
  <c r="J397" i="24"/>
  <c r="I397" i="24"/>
  <c r="H397" i="24"/>
  <c r="G397" i="24"/>
  <c r="F397" i="24"/>
  <c r="E397" i="24"/>
  <c r="O396" i="24"/>
  <c r="N396" i="24"/>
  <c r="M396" i="24"/>
  <c r="L396" i="24"/>
  <c r="K396" i="24"/>
  <c r="J396" i="24"/>
  <c r="I396" i="24"/>
  <c r="H396" i="24"/>
  <c r="G396" i="24"/>
  <c r="F396" i="24"/>
  <c r="E396" i="24"/>
  <c r="O395" i="24"/>
  <c r="N395" i="24"/>
  <c r="M395" i="24"/>
  <c r="L395" i="24"/>
  <c r="K395" i="24"/>
  <c r="J395" i="24"/>
  <c r="I395" i="24"/>
  <c r="H395" i="24"/>
  <c r="G395" i="24"/>
  <c r="F395" i="24"/>
  <c r="E395" i="24"/>
  <c r="O394" i="24"/>
  <c r="N394" i="24"/>
  <c r="M394" i="24"/>
  <c r="L394" i="24"/>
  <c r="K394" i="24"/>
  <c r="J394" i="24"/>
  <c r="I394" i="24"/>
  <c r="H394" i="24"/>
  <c r="G394" i="24"/>
  <c r="F394" i="24"/>
  <c r="E394" i="24"/>
  <c r="C394" i="24"/>
  <c r="B394" i="24"/>
  <c r="B406" i="24" s="1"/>
  <c r="B407" i="24" s="1"/>
  <c r="O393" i="24"/>
  <c r="N393" i="24"/>
  <c r="M393" i="24"/>
  <c r="L393" i="24"/>
  <c r="K393" i="24"/>
  <c r="J393" i="24"/>
  <c r="I393" i="24"/>
  <c r="H393" i="24"/>
  <c r="G393" i="24"/>
  <c r="F393" i="24"/>
  <c r="E393" i="24"/>
  <c r="O392" i="24"/>
  <c r="N392" i="24"/>
  <c r="M392" i="24"/>
  <c r="L392" i="24"/>
  <c r="K392" i="24"/>
  <c r="J392" i="24"/>
  <c r="I392" i="24"/>
  <c r="H392" i="24"/>
  <c r="G392" i="24"/>
  <c r="F392" i="24"/>
  <c r="E392" i="24"/>
  <c r="D392" i="24"/>
  <c r="O391" i="24"/>
  <c r="N391" i="24"/>
  <c r="M391" i="24"/>
  <c r="L391" i="24"/>
  <c r="K391" i="24"/>
  <c r="J391" i="24"/>
  <c r="I391" i="24"/>
  <c r="H391" i="24"/>
  <c r="G391" i="24"/>
  <c r="F391" i="24"/>
  <c r="E391" i="24"/>
  <c r="C391" i="24"/>
  <c r="O390" i="24"/>
  <c r="N390" i="24"/>
  <c r="M390" i="24"/>
  <c r="L390" i="24"/>
  <c r="K390" i="24"/>
  <c r="J390" i="24"/>
  <c r="I390" i="24"/>
  <c r="H390" i="24"/>
  <c r="G390" i="24"/>
  <c r="F390" i="24"/>
  <c r="E390" i="24"/>
  <c r="O389" i="24"/>
  <c r="N389" i="24"/>
  <c r="M389" i="24"/>
  <c r="L389" i="24"/>
  <c r="K389" i="24"/>
  <c r="J389" i="24"/>
  <c r="I389" i="24"/>
  <c r="H389" i="24"/>
  <c r="G389" i="24"/>
  <c r="F389" i="24"/>
  <c r="E389" i="24"/>
  <c r="O388" i="24"/>
  <c r="N388" i="24"/>
  <c r="M388" i="24"/>
  <c r="L388" i="24"/>
  <c r="K388" i="24"/>
  <c r="J388" i="24"/>
  <c r="I388" i="24"/>
  <c r="H388" i="24"/>
  <c r="G388" i="24"/>
  <c r="F388" i="24"/>
  <c r="E388" i="24"/>
  <c r="C388" i="24"/>
  <c r="O387" i="24"/>
  <c r="N387" i="24"/>
  <c r="M387" i="24"/>
  <c r="L387" i="24"/>
  <c r="K387" i="24"/>
  <c r="J387" i="24"/>
  <c r="I387" i="24"/>
  <c r="H387" i="24"/>
  <c r="G387" i="24"/>
  <c r="F387" i="24"/>
  <c r="E387" i="24"/>
  <c r="O386" i="24"/>
  <c r="N386" i="24"/>
  <c r="M386" i="24"/>
  <c r="L386" i="24"/>
  <c r="K386" i="24"/>
  <c r="J386" i="24"/>
  <c r="I386" i="24"/>
  <c r="H386" i="24"/>
  <c r="G386" i="24"/>
  <c r="F386" i="24"/>
  <c r="E386" i="24"/>
  <c r="C386" i="24"/>
  <c r="O385" i="24"/>
  <c r="N385" i="24"/>
  <c r="M385" i="24"/>
  <c r="L385" i="24"/>
  <c r="K385" i="24"/>
  <c r="J385" i="24"/>
  <c r="I385" i="24"/>
  <c r="H385" i="24"/>
  <c r="G385" i="24"/>
  <c r="F385" i="24"/>
  <c r="E385" i="24"/>
  <c r="O384" i="24"/>
  <c r="N384" i="24"/>
  <c r="M384" i="24"/>
  <c r="L384" i="24"/>
  <c r="K384" i="24"/>
  <c r="J384" i="24"/>
  <c r="I384" i="24"/>
  <c r="H384" i="24"/>
  <c r="G384" i="24"/>
  <c r="F384" i="24"/>
  <c r="E384" i="24"/>
  <c r="O383" i="24"/>
  <c r="N383" i="24"/>
  <c r="M383" i="24"/>
  <c r="L383" i="24"/>
  <c r="K383" i="24"/>
  <c r="J383" i="24"/>
  <c r="I383" i="24"/>
  <c r="H383" i="24"/>
  <c r="G383" i="24"/>
  <c r="F383" i="24"/>
  <c r="E383" i="24"/>
  <c r="C383" i="24"/>
  <c r="B383" i="24"/>
  <c r="O382" i="24"/>
  <c r="N382" i="24"/>
  <c r="M382" i="24"/>
  <c r="L382" i="24"/>
  <c r="K382" i="24"/>
  <c r="J382" i="24"/>
  <c r="I382" i="24"/>
  <c r="H382" i="24"/>
  <c r="G382" i="24"/>
  <c r="F382" i="24"/>
  <c r="E382" i="24"/>
  <c r="O381" i="24"/>
  <c r="N381" i="24"/>
  <c r="M381" i="24"/>
  <c r="L381" i="24"/>
  <c r="K381" i="24"/>
  <c r="J381" i="24"/>
  <c r="I381" i="24"/>
  <c r="H381" i="24"/>
  <c r="G381" i="24"/>
  <c r="F381" i="24"/>
  <c r="E381" i="24"/>
  <c r="O380" i="24"/>
  <c r="N380" i="24"/>
  <c r="M380" i="24"/>
  <c r="L380" i="24"/>
  <c r="K380" i="24"/>
  <c r="J380" i="24"/>
  <c r="I380" i="24"/>
  <c r="H380" i="24"/>
  <c r="G380" i="24"/>
  <c r="F380" i="24"/>
  <c r="E380" i="24"/>
  <c r="C380" i="24"/>
  <c r="B380" i="24"/>
  <c r="O379" i="24"/>
  <c r="N379" i="24"/>
  <c r="M379" i="24"/>
  <c r="L379" i="24"/>
  <c r="K379" i="24"/>
  <c r="J379" i="24"/>
  <c r="I379" i="24"/>
  <c r="H379" i="24"/>
  <c r="G379" i="24"/>
  <c r="F379" i="24"/>
  <c r="E379" i="24"/>
  <c r="C379" i="24"/>
  <c r="O378" i="24"/>
  <c r="N378" i="24"/>
  <c r="M378" i="24"/>
  <c r="L378" i="24"/>
  <c r="K378" i="24"/>
  <c r="J378" i="24"/>
  <c r="I378" i="24"/>
  <c r="H378" i="24"/>
  <c r="G378" i="24"/>
  <c r="F378" i="24"/>
  <c r="E378" i="24"/>
  <c r="O377" i="24"/>
  <c r="N377" i="24"/>
  <c r="M377" i="24"/>
  <c r="L377" i="24"/>
  <c r="K377" i="24"/>
  <c r="J377" i="24"/>
  <c r="I377" i="24"/>
  <c r="H377" i="24"/>
  <c r="G377" i="24"/>
  <c r="F377" i="24"/>
  <c r="E377" i="24"/>
  <c r="C377" i="24"/>
  <c r="O376" i="24"/>
  <c r="N376" i="24"/>
  <c r="M376" i="24"/>
  <c r="L376" i="24"/>
  <c r="K376" i="24"/>
  <c r="J376" i="24"/>
  <c r="I376" i="24"/>
  <c r="H376" i="24"/>
  <c r="G376" i="24"/>
  <c r="F376" i="24"/>
  <c r="E376" i="24"/>
  <c r="O375" i="24"/>
  <c r="N375" i="24"/>
  <c r="M375" i="24"/>
  <c r="L375" i="24"/>
  <c r="K375" i="24"/>
  <c r="J375" i="24"/>
  <c r="I375" i="24"/>
  <c r="H375" i="24"/>
  <c r="G375" i="24"/>
  <c r="F375" i="24"/>
  <c r="E375" i="24"/>
  <c r="O374" i="24"/>
  <c r="N374" i="24"/>
  <c r="M374" i="24"/>
  <c r="L374" i="24"/>
  <c r="K374" i="24"/>
  <c r="J374" i="24"/>
  <c r="I374" i="24"/>
  <c r="H374" i="24"/>
  <c r="G374" i="24"/>
  <c r="F374" i="24"/>
  <c r="E374" i="24"/>
  <c r="C374" i="24"/>
  <c r="B374" i="24"/>
  <c r="O373" i="24"/>
  <c r="N373" i="24"/>
  <c r="M373" i="24"/>
  <c r="L373" i="24"/>
  <c r="K373" i="24"/>
  <c r="J373" i="24"/>
  <c r="I373" i="24"/>
  <c r="H373" i="24"/>
  <c r="G373" i="24"/>
  <c r="F373" i="24"/>
  <c r="E373" i="24"/>
  <c r="O372" i="24"/>
  <c r="N372" i="24"/>
  <c r="M372" i="24"/>
  <c r="L372" i="24"/>
  <c r="K372" i="24"/>
  <c r="J372" i="24"/>
  <c r="I372" i="24"/>
  <c r="H372" i="24"/>
  <c r="G372" i="24"/>
  <c r="F372" i="24"/>
  <c r="E372" i="24"/>
  <c r="O371" i="24"/>
  <c r="N371" i="24"/>
  <c r="M371" i="24"/>
  <c r="L371" i="24"/>
  <c r="K371" i="24"/>
  <c r="J371" i="24"/>
  <c r="I371" i="24"/>
  <c r="H371" i="24"/>
  <c r="G371" i="24"/>
  <c r="F371" i="24"/>
  <c r="E371" i="24"/>
  <c r="C371" i="24"/>
  <c r="C373" i="24" s="1"/>
  <c r="O370" i="24"/>
  <c r="N370" i="24"/>
  <c r="M370" i="24"/>
  <c r="L370" i="24"/>
  <c r="K370" i="24"/>
  <c r="J370" i="24"/>
  <c r="I370" i="24"/>
  <c r="H370" i="24"/>
  <c r="G370" i="24"/>
  <c r="F370" i="24"/>
  <c r="E370" i="24"/>
  <c r="O369" i="24"/>
  <c r="N369" i="24"/>
  <c r="M369" i="24"/>
  <c r="L369" i="24"/>
  <c r="K369" i="24"/>
  <c r="J369" i="24"/>
  <c r="I369" i="24"/>
  <c r="H369" i="24"/>
  <c r="G369" i="24"/>
  <c r="F369" i="24"/>
  <c r="E369" i="24"/>
  <c r="O368" i="24"/>
  <c r="N368" i="24"/>
  <c r="M368" i="24"/>
  <c r="L368" i="24"/>
  <c r="K368" i="24"/>
  <c r="J368" i="24"/>
  <c r="I368" i="24"/>
  <c r="H368" i="24"/>
  <c r="G368" i="24"/>
  <c r="F368" i="24"/>
  <c r="E368" i="24"/>
  <c r="C368" i="24"/>
  <c r="O367" i="24"/>
  <c r="N367" i="24"/>
  <c r="M367" i="24"/>
  <c r="L367" i="24"/>
  <c r="K367" i="24"/>
  <c r="J367" i="24"/>
  <c r="I367" i="24"/>
  <c r="H367" i="24"/>
  <c r="G367" i="24"/>
  <c r="F367" i="24"/>
  <c r="E367" i="24"/>
  <c r="O366" i="24"/>
  <c r="N366" i="24"/>
  <c r="M366" i="24"/>
  <c r="L366" i="24"/>
  <c r="K366" i="24"/>
  <c r="J366" i="24"/>
  <c r="I366" i="24"/>
  <c r="H366" i="24"/>
  <c r="G366" i="24"/>
  <c r="F366" i="24"/>
  <c r="E366" i="24"/>
  <c r="O365" i="24"/>
  <c r="N365" i="24"/>
  <c r="M365" i="24"/>
  <c r="L365" i="24"/>
  <c r="K365" i="24"/>
  <c r="J365" i="24"/>
  <c r="I365" i="24"/>
  <c r="H365" i="24"/>
  <c r="G365" i="24"/>
  <c r="F365" i="24"/>
  <c r="E365" i="24"/>
  <c r="O364" i="24"/>
  <c r="N364" i="24"/>
  <c r="M364" i="24"/>
  <c r="L364" i="24"/>
  <c r="K364" i="24"/>
  <c r="J364" i="24"/>
  <c r="I364" i="24"/>
  <c r="H364" i="24"/>
  <c r="G364" i="24"/>
  <c r="F364" i="24"/>
  <c r="E364" i="24"/>
  <c r="O363" i="24"/>
  <c r="N363" i="24"/>
  <c r="M363" i="24"/>
  <c r="L363" i="24"/>
  <c r="K363" i="24"/>
  <c r="J363" i="24"/>
  <c r="I363" i="24"/>
  <c r="H363" i="24"/>
  <c r="G363" i="24"/>
  <c r="F363" i="24"/>
  <c r="E363" i="24"/>
  <c r="O362" i="24"/>
  <c r="N362" i="24"/>
  <c r="M362" i="24"/>
  <c r="L362" i="24"/>
  <c r="K362" i="24"/>
  <c r="J362" i="24"/>
  <c r="I362" i="24"/>
  <c r="H362" i="24"/>
  <c r="G362" i="24"/>
  <c r="F362" i="24"/>
  <c r="E362" i="24"/>
  <c r="O361" i="24"/>
  <c r="N361" i="24"/>
  <c r="M361" i="24"/>
  <c r="L361" i="24"/>
  <c r="K361" i="24"/>
  <c r="J361" i="24"/>
  <c r="I361" i="24"/>
  <c r="H361" i="24"/>
  <c r="G361" i="24"/>
  <c r="F361" i="24"/>
  <c r="E361" i="24"/>
  <c r="O360" i="24"/>
  <c r="N360" i="24"/>
  <c r="M360" i="24"/>
  <c r="L360" i="24"/>
  <c r="K360" i="24"/>
  <c r="J360" i="24"/>
  <c r="I360" i="24"/>
  <c r="H360" i="24"/>
  <c r="G360" i="24"/>
  <c r="F360" i="24"/>
  <c r="E360" i="24"/>
  <c r="O359" i="24"/>
  <c r="N359" i="24"/>
  <c r="M359" i="24"/>
  <c r="L359" i="24"/>
  <c r="K359" i="24"/>
  <c r="J359" i="24"/>
  <c r="I359" i="24"/>
  <c r="H359" i="24"/>
  <c r="G359" i="24"/>
  <c r="F359" i="24"/>
  <c r="E359" i="24"/>
  <c r="O358" i="24"/>
  <c r="N358" i="24"/>
  <c r="M358" i="24"/>
  <c r="L358" i="24"/>
  <c r="K358" i="24"/>
  <c r="J358" i="24"/>
  <c r="I358" i="24"/>
  <c r="H358" i="24"/>
  <c r="G358" i="24"/>
  <c r="F358" i="24"/>
  <c r="E358" i="24"/>
  <c r="O357" i="24"/>
  <c r="N357" i="24"/>
  <c r="M357" i="24"/>
  <c r="L357" i="24"/>
  <c r="K357" i="24"/>
  <c r="J357" i="24"/>
  <c r="I357" i="24"/>
  <c r="H357" i="24"/>
  <c r="G357" i="24"/>
  <c r="F357" i="24"/>
  <c r="E357" i="24"/>
  <c r="O356" i="24"/>
  <c r="N356" i="24"/>
  <c r="M356" i="24"/>
  <c r="L356" i="24"/>
  <c r="K356" i="24"/>
  <c r="J356" i="24"/>
  <c r="I356" i="24"/>
  <c r="H356" i="24"/>
  <c r="G356" i="24"/>
  <c r="F356" i="24"/>
  <c r="E356" i="24"/>
  <c r="C356" i="24"/>
  <c r="B356" i="24"/>
  <c r="O355" i="24"/>
  <c r="N355" i="24"/>
  <c r="M355" i="24"/>
  <c r="L355" i="24"/>
  <c r="K355" i="24"/>
  <c r="J355" i="24"/>
  <c r="I355" i="24"/>
  <c r="H355" i="24"/>
  <c r="G355" i="24"/>
  <c r="F355" i="24"/>
  <c r="E355" i="24"/>
  <c r="O354" i="24"/>
  <c r="N354" i="24"/>
  <c r="M354" i="24"/>
  <c r="L354" i="24"/>
  <c r="K354" i="24"/>
  <c r="J354" i="24"/>
  <c r="I354" i="24"/>
  <c r="H354" i="24"/>
  <c r="G354" i="24"/>
  <c r="F354" i="24"/>
  <c r="E354" i="24"/>
  <c r="D354" i="24"/>
  <c r="O353" i="24"/>
  <c r="N353" i="24"/>
  <c r="M353" i="24"/>
  <c r="L353" i="24"/>
  <c r="K353" i="24"/>
  <c r="J353" i="24"/>
  <c r="I353" i="24"/>
  <c r="H353" i="24"/>
  <c r="G353" i="24"/>
  <c r="F353" i="24"/>
  <c r="E353" i="24"/>
  <c r="C353" i="24"/>
  <c r="O352" i="24"/>
  <c r="N352" i="24"/>
  <c r="M352" i="24"/>
  <c r="L352" i="24"/>
  <c r="K352" i="24"/>
  <c r="J352" i="24"/>
  <c r="I352" i="24"/>
  <c r="H352" i="24"/>
  <c r="G352" i="24"/>
  <c r="F352" i="24"/>
  <c r="E352" i="24"/>
  <c r="O351" i="24"/>
  <c r="N351" i="24"/>
  <c r="M351" i="24"/>
  <c r="L351" i="24"/>
  <c r="K351" i="24"/>
  <c r="J351" i="24"/>
  <c r="I351" i="24"/>
  <c r="H351" i="24"/>
  <c r="G351" i="24"/>
  <c r="F351" i="24"/>
  <c r="E351" i="24"/>
  <c r="O350" i="24"/>
  <c r="N350" i="24"/>
  <c r="M350" i="24"/>
  <c r="L350" i="24"/>
  <c r="K350" i="24"/>
  <c r="J350" i="24"/>
  <c r="I350" i="24"/>
  <c r="H350" i="24"/>
  <c r="G350" i="24"/>
  <c r="F350" i="24"/>
  <c r="E350" i="24"/>
  <c r="C350" i="24"/>
  <c r="O349" i="24"/>
  <c r="N349" i="24"/>
  <c r="M349" i="24"/>
  <c r="L349" i="24"/>
  <c r="K349" i="24"/>
  <c r="J349" i="24"/>
  <c r="I349" i="24"/>
  <c r="H349" i="24"/>
  <c r="G349" i="24"/>
  <c r="F349" i="24"/>
  <c r="E349" i="24"/>
  <c r="O348" i="24"/>
  <c r="N348" i="24"/>
  <c r="M348" i="24"/>
  <c r="L348" i="24"/>
  <c r="K348" i="24"/>
  <c r="J348" i="24"/>
  <c r="I348" i="24"/>
  <c r="H348" i="24"/>
  <c r="G348" i="24"/>
  <c r="F348" i="24"/>
  <c r="E348" i="24"/>
  <c r="C348" i="24"/>
  <c r="O347" i="24"/>
  <c r="N347" i="24"/>
  <c r="M347" i="24"/>
  <c r="L347" i="24"/>
  <c r="K347" i="24"/>
  <c r="J347" i="24"/>
  <c r="I347" i="24"/>
  <c r="H347" i="24"/>
  <c r="G347" i="24"/>
  <c r="F347" i="24"/>
  <c r="E347" i="24"/>
  <c r="O346" i="24"/>
  <c r="N346" i="24"/>
  <c r="M346" i="24"/>
  <c r="L346" i="24"/>
  <c r="K346" i="24"/>
  <c r="J346" i="24"/>
  <c r="I346" i="24"/>
  <c r="H346" i="24"/>
  <c r="G346" i="24"/>
  <c r="F346" i="24"/>
  <c r="E346" i="24"/>
  <c r="O345" i="24"/>
  <c r="N345" i="24"/>
  <c r="M345" i="24"/>
  <c r="L345" i="24"/>
  <c r="K345" i="24"/>
  <c r="J345" i="24"/>
  <c r="I345" i="24"/>
  <c r="H345" i="24"/>
  <c r="G345" i="24"/>
  <c r="F345" i="24"/>
  <c r="E345" i="24"/>
  <c r="C345" i="24"/>
  <c r="B345" i="24"/>
  <c r="O344" i="24"/>
  <c r="N344" i="24"/>
  <c r="M344" i="24"/>
  <c r="L344" i="24"/>
  <c r="K344" i="24"/>
  <c r="J344" i="24"/>
  <c r="I344" i="24"/>
  <c r="H344" i="24"/>
  <c r="G344" i="24"/>
  <c r="F344" i="24"/>
  <c r="E344" i="24"/>
  <c r="O343" i="24"/>
  <c r="N343" i="24"/>
  <c r="M343" i="24"/>
  <c r="L343" i="24"/>
  <c r="K343" i="24"/>
  <c r="J343" i="24"/>
  <c r="I343" i="24"/>
  <c r="H343" i="24"/>
  <c r="G343" i="24"/>
  <c r="F343" i="24"/>
  <c r="E343" i="24"/>
  <c r="O342" i="24"/>
  <c r="N342" i="24"/>
  <c r="M342" i="24"/>
  <c r="L342" i="24"/>
  <c r="K342" i="24"/>
  <c r="J342" i="24"/>
  <c r="I342" i="24"/>
  <c r="H342" i="24"/>
  <c r="G342" i="24"/>
  <c r="F342" i="24"/>
  <c r="E342" i="24"/>
  <c r="C342" i="24"/>
  <c r="B342" i="24"/>
  <c r="O341" i="24"/>
  <c r="N341" i="24"/>
  <c r="M341" i="24"/>
  <c r="L341" i="24"/>
  <c r="K341" i="24"/>
  <c r="J341" i="24"/>
  <c r="I341" i="24"/>
  <c r="H341" i="24"/>
  <c r="G341" i="24"/>
  <c r="F341" i="24"/>
  <c r="E341" i="24"/>
  <c r="C341" i="24"/>
  <c r="O340" i="24"/>
  <c r="N340" i="24"/>
  <c r="M340" i="24"/>
  <c r="L340" i="24"/>
  <c r="K340" i="24"/>
  <c r="J340" i="24"/>
  <c r="I340" i="24"/>
  <c r="H340" i="24"/>
  <c r="G340" i="24"/>
  <c r="F340" i="24"/>
  <c r="E340" i="24"/>
  <c r="O339" i="24"/>
  <c r="N339" i="24"/>
  <c r="M339" i="24"/>
  <c r="L339" i="24"/>
  <c r="K339" i="24"/>
  <c r="J339" i="24"/>
  <c r="I339" i="24"/>
  <c r="H339" i="24"/>
  <c r="G339" i="24"/>
  <c r="F339" i="24"/>
  <c r="E339" i="24"/>
  <c r="C339" i="24"/>
  <c r="O338" i="24"/>
  <c r="N338" i="24"/>
  <c r="M338" i="24"/>
  <c r="L338" i="24"/>
  <c r="K338" i="24"/>
  <c r="J338" i="24"/>
  <c r="I338" i="24"/>
  <c r="H338" i="24"/>
  <c r="G338" i="24"/>
  <c r="F338" i="24"/>
  <c r="E338" i="24"/>
  <c r="O337" i="24"/>
  <c r="N337" i="24"/>
  <c r="M337" i="24"/>
  <c r="L337" i="24"/>
  <c r="K337" i="24"/>
  <c r="J337" i="24"/>
  <c r="I337" i="24"/>
  <c r="H337" i="24"/>
  <c r="G337" i="24"/>
  <c r="F337" i="24"/>
  <c r="E337" i="24"/>
  <c r="O336" i="24"/>
  <c r="N336" i="24"/>
  <c r="M336" i="24"/>
  <c r="L336" i="24"/>
  <c r="K336" i="24"/>
  <c r="J336" i="24"/>
  <c r="I336" i="24"/>
  <c r="H336" i="24"/>
  <c r="G336" i="24"/>
  <c r="F336" i="24"/>
  <c r="E336" i="24"/>
  <c r="C336" i="24"/>
  <c r="B336" i="24"/>
  <c r="O335" i="24"/>
  <c r="N335" i="24"/>
  <c r="M335" i="24"/>
  <c r="L335" i="24"/>
  <c r="K335" i="24"/>
  <c r="J335" i="24"/>
  <c r="I335" i="24"/>
  <c r="H335" i="24"/>
  <c r="G335" i="24"/>
  <c r="F335" i="24"/>
  <c r="E335" i="24"/>
  <c r="O334" i="24"/>
  <c r="N334" i="24"/>
  <c r="M334" i="24"/>
  <c r="L334" i="24"/>
  <c r="K334" i="24"/>
  <c r="J334" i="24"/>
  <c r="I334" i="24"/>
  <c r="H334" i="24"/>
  <c r="G334" i="24"/>
  <c r="F334" i="24"/>
  <c r="E334" i="24"/>
  <c r="O333" i="24"/>
  <c r="N333" i="24"/>
  <c r="M333" i="24"/>
  <c r="L333" i="24"/>
  <c r="K333" i="24"/>
  <c r="J333" i="24"/>
  <c r="I333" i="24"/>
  <c r="H333" i="24"/>
  <c r="G333" i="24"/>
  <c r="F333" i="24"/>
  <c r="E333" i="24"/>
  <c r="C333" i="24"/>
  <c r="O332" i="24"/>
  <c r="N332" i="24"/>
  <c r="M332" i="24"/>
  <c r="L332" i="24"/>
  <c r="K332" i="24"/>
  <c r="J332" i="24"/>
  <c r="I332" i="24"/>
  <c r="H332" i="24"/>
  <c r="G332" i="24"/>
  <c r="F332" i="24"/>
  <c r="E332" i="24"/>
  <c r="O331" i="24"/>
  <c r="N331" i="24"/>
  <c r="M331" i="24"/>
  <c r="L331" i="24"/>
  <c r="K331" i="24"/>
  <c r="J331" i="24"/>
  <c r="I331" i="24"/>
  <c r="H331" i="24"/>
  <c r="G331" i="24"/>
  <c r="F331" i="24"/>
  <c r="E331" i="24"/>
  <c r="O330" i="24"/>
  <c r="N330" i="24"/>
  <c r="M330" i="24"/>
  <c r="L330" i="24"/>
  <c r="K330" i="24"/>
  <c r="J330" i="24"/>
  <c r="I330" i="24"/>
  <c r="H330" i="24"/>
  <c r="G330" i="24"/>
  <c r="F330" i="24"/>
  <c r="E330" i="24"/>
  <c r="C330" i="24"/>
  <c r="O329" i="24"/>
  <c r="N329" i="24"/>
  <c r="M329" i="24"/>
  <c r="L329" i="24"/>
  <c r="K329" i="24"/>
  <c r="J329" i="24"/>
  <c r="I329" i="24"/>
  <c r="H329" i="24"/>
  <c r="G329" i="24"/>
  <c r="F329" i="24"/>
  <c r="E329" i="24"/>
  <c r="O328" i="24"/>
  <c r="N328" i="24"/>
  <c r="M328" i="24"/>
  <c r="L328" i="24"/>
  <c r="K328" i="24"/>
  <c r="J328" i="24"/>
  <c r="I328" i="24"/>
  <c r="H328" i="24"/>
  <c r="G328" i="24"/>
  <c r="F328" i="24"/>
  <c r="E328" i="24"/>
  <c r="O327" i="24"/>
  <c r="N327" i="24"/>
  <c r="M327" i="24"/>
  <c r="L327" i="24"/>
  <c r="K327" i="24"/>
  <c r="J327" i="24"/>
  <c r="I327" i="24"/>
  <c r="H327" i="24"/>
  <c r="G327" i="24"/>
  <c r="F327" i="24"/>
  <c r="E327" i="24"/>
  <c r="O326" i="24"/>
  <c r="N326" i="24"/>
  <c r="M326" i="24"/>
  <c r="L326" i="24"/>
  <c r="K326" i="24"/>
  <c r="J326" i="24"/>
  <c r="I326" i="24"/>
  <c r="H326" i="24"/>
  <c r="G326" i="24"/>
  <c r="F326" i="24"/>
  <c r="E326" i="24"/>
  <c r="O325" i="24"/>
  <c r="N325" i="24"/>
  <c r="M325" i="24"/>
  <c r="L325" i="24"/>
  <c r="K325" i="24"/>
  <c r="J325" i="24"/>
  <c r="I325" i="24"/>
  <c r="H325" i="24"/>
  <c r="G325" i="24"/>
  <c r="F325" i="24"/>
  <c r="E325" i="24"/>
  <c r="O324" i="24"/>
  <c r="N324" i="24"/>
  <c r="M324" i="24"/>
  <c r="L324" i="24"/>
  <c r="K324" i="24"/>
  <c r="J324" i="24"/>
  <c r="I324" i="24"/>
  <c r="H324" i="24"/>
  <c r="G324" i="24"/>
  <c r="F324" i="24"/>
  <c r="E324" i="24"/>
  <c r="O323" i="24"/>
  <c r="N323" i="24"/>
  <c r="M323" i="24"/>
  <c r="L323" i="24"/>
  <c r="K323" i="24"/>
  <c r="J323" i="24"/>
  <c r="I323" i="24"/>
  <c r="H323" i="24"/>
  <c r="G323" i="24"/>
  <c r="F323" i="24"/>
  <c r="E323" i="24"/>
  <c r="O322" i="24"/>
  <c r="N322" i="24"/>
  <c r="M322" i="24"/>
  <c r="L322" i="24"/>
  <c r="K322" i="24"/>
  <c r="J322" i="24"/>
  <c r="I322" i="24"/>
  <c r="H322" i="24"/>
  <c r="G322" i="24"/>
  <c r="F322" i="24"/>
  <c r="E322" i="24"/>
  <c r="O321" i="24"/>
  <c r="N321" i="24"/>
  <c r="M321" i="24"/>
  <c r="L321" i="24"/>
  <c r="K321" i="24"/>
  <c r="J321" i="24"/>
  <c r="I321" i="24"/>
  <c r="H321" i="24"/>
  <c r="G321" i="24"/>
  <c r="F321" i="24"/>
  <c r="E321" i="24"/>
  <c r="O320" i="24"/>
  <c r="N320" i="24"/>
  <c r="M320" i="24"/>
  <c r="L320" i="24"/>
  <c r="K320" i="24"/>
  <c r="J320" i="24"/>
  <c r="I320" i="24"/>
  <c r="H320" i="24"/>
  <c r="G320" i="24"/>
  <c r="F320" i="24"/>
  <c r="E320" i="24"/>
  <c r="O319" i="24"/>
  <c r="N319" i="24"/>
  <c r="M319" i="24"/>
  <c r="L319" i="24"/>
  <c r="K319" i="24"/>
  <c r="J319" i="24"/>
  <c r="I319" i="24"/>
  <c r="H319" i="24"/>
  <c r="G319" i="24"/>
  <c r="F319" i="24"/>
  <c r="E319" i="24"/>
  <c r="O318" i="24"/>
  <c r="N318" i="24"/>
  <c r="M318" i="24"/>
  <c r="L318" i="24"/>
  <c r="K318" i="24"/>
  <c r="J318" i="24"/>
  <c r="I318" i="24"/>
  <c r="H318" i="24"/>
  <c r="G318" i="24"/>
  <c r="F318" i="24"/>
  <c r="E318" i="24"/>
  <c r="C318" i="24"/>
  <c r="B318" i="24"/>
  <c r="O317" i="24"/>
  <c r="N317" i="24"/>
  <c r="M317" i="24"/>
  <c r="L317" i="24"/>
  <c r="K317" i="24"/>
  <c r="J317" i="24"/>
  <c r="I317" i="24"/>
  <c r="H317" i="24"/>
  <c r="G317" i="24"/>
  <c r="F317" i="24"/>
  <c r="E317" i="24"/>
  <c r="O316" i="24"/>
  <c r="N316" i="24"/>
  <c r="M316" i="24"/>
  <c r="L316" i="24"/>
  <c r="K316" i="24"/>
  <c r="J316" i="24"/>
  <c r="I316" i="24"/>
  <c r="H316" i="24"/>
  <c r="G316" i="24"/>
  <c r="F316" i="24"/>
  <c r="E316" i="24"/>
  <c r="D316" i="24"/>
  <c r="O315" i="24"/>
  <c r="N315" i="24"/>
  <c r="M315" i="24"/>
  <c r="L315" i="24"/>
  <c r="K315" i="24"/>
  <c r="J315" i="24"/>
  <c r="I315" i="24"/>
  <c r="H315" i="24"/>
  <c r="G315" i="24"/>
  <c r="F315" i="24"/>
  <c r="E315" i="24"/>
  <c r="C315" i="24"/>
  <c r="O314" i="24"/>
  <c r="N314" i="24"/>
  <c r="M314" i="24"/>
  <c r="L314" i="24"/>
  <c r="K314" i="24"/>
  <c r="J314" i="24"/>
  <c r="I314" i="24"/>
  <c r="H314" i="24"/>
  <c r="G314" i="24"/>
  <c r="F314" i="24"/>
  <c r="E314" i="24"/>
  <c r="O313" i="24"/>
  <c r="N313" i="24"/>
  <c r="M313" i="24"/>
  <c r="L313" i="24"/>
  <c r="K313" i="24"/>
  <c r="J313" i="24"/>
  <c r="I313" i="24"/>
  <c r="H313" i="24"/>
  <c r="G313" i="24"/>
  <c r="F313" i="24"/>
  <c r="E313" i="24"/>
  <c r="O312" i="24"/>
  <c r="N312" i="24"/>
  <c r="M312" i="24"/>
  <c r="L312" i="24"/>
  <c r="K312" i="24"/>
  <c r="J312" i="24"/>
  <c r="I312" i="24"/>
  <c r="H312" i="24"/>
  <c r="G312" i="24"/>
  <c r="F312" i="24"/>
  <c r="E312" i="24"/>
  <c r="C312" i="24"/>
  <c r="O311" i="24"/>
  <c r="N311" i="24"/>
  <c r="M311" i="24"/>
  <c r="L311" i="24"/>
  <c r="K311" i="24"/>
  <c r="J311" i="24"/>
  <c r="I311" i="24"/>
  <c r="H311" i="24"/>
  <c r="G311" i="24"/>
  <c r="F311" i="24"/>
  <c r="E311" i="24"/>
  <c r="O310" i="24"/>
  <c r="N310" i="24"/>
  <c r="M310" i="24"/>
  <c r="L310" i="24"/>
  <c r="K310" i="24"/>
  <c r="J310" i="24"/>
  <c r="I310" i="24"/>
  <c r="H310" i="24"/>
  <c r="G310" i="24"/>
  <c r="F310" i="24"/>
  <c r="E310" i="24"/>
  <c r="C310" i="24"/>
  <c r="C311" i="24" s="1"/>
  <c r="O309" i="24"/>
  <c r="N309" i="24"/>
  <c r="M309" i="24"/>
  <c r="L309" i="24"/>
  <c r="K309" i="24"/>
  <c r="J309" i="24"/>
  <c r="I309" i="24"/>
  <c r="H309" i="24"/>
  <c r="G309" i="24"/>
  <c r="F309" i="24"/>
  <c r="E309" i="24"/>
  <c r="O308" i="24"/>
  <c r="N308" i="24"/>
  <c r="M308" i="24"/>
  <c r="L308" i="24"/>
  <c r="K308" i="24"/>
  <c r="J308" i="24"/>
  <c r="I308" i="24"/>
  <c r="H308" i="24"/>
  <c r="G308" i="24"/>
  <c r="F308" i="24"/>
  <c r="E308" i="24"/>
  <c r="O307" i="24"/>
  <c r="N307" i="24"/>
  <c r="M307" i="24"/>
  <c r="L307" i="24"/>
  <c r="K307" i="24"/>
  <c r="J307" i="24"/>
  <c r="I307" i="24"/>
  <c r="H307" i="24"/>
  <c r="G307" i="24"/>
  <c r="F307" i="24"/>
  <c r="E307" i="24"/>
  <c r="C307" i="24"/>
  <c r="B307" i="24"/>
  <c r="O306" i="24"/>
  <c r="N306" i="24"/>
  <c r="M306" i="24"/>
  <c r="L306" i="24"/>
  <c r="K306" i="24"/>
  <c r="J306" i="24"/>
  <c r="I306" i="24"/>
  <c r="H306" i="24"/>
  <c r="G306" i="24"/>
  <c r="F306" i="24"/>
  <c r="E306" i="24"/>
  <c r="O305" i="24"/>
  <c r="N305" i="24"/>
  <c r="M305" i="24"/>
  <c r="L305" i="24"/>
  <c r="K305" i="24"/>
  <c r="J305" i="24"/>
  <c r="I305" i="24"/>
  <c r="H305" i="24"/>
  <c r="G305" i="24"/>
  <c r="F305" i="24"/>
  <c r="E305" i="24"/>
  <c r="O304" i="24"/>
  <c r="N304" i="24"/>
  <c r="M304" i="24"/>
  <c r="L304" i="24"/>
  <c r="K304" i="24"/>
  <c r="J304" i="24"/>
  <c r="I304" i="24"/>
  <c r="H304" i="24"/>
  <c r="G304" i="24"/>
  <c r="F304" i="24"/>
  <c r="E304" i="24"/>
  <c r="C304" i="24"/>
  <c r="B304" i="24"/>
  <c r="O303" i="24"/>
  <c r="N303" i="24"/>
  <c r="M303" i="24"/>
  <c r="L303" i="24"/>
  <c r="K303" i="24"/>
  <c r="J303" i="24"/>
  <c r="I303" i="24"/>
  <c r="H303" i="24"/>
  <c r="G303" i="24"/>
  <c r="F303" i="24"/>
  <c r="E303" i="24"/>
  <c r="C303" i="24"/>
  <c r="O302" i="24"/>
  <c r="N302" i="24"/>
  <c r="M302" i="24"/>
  <c r="L302" i="24"/>
  <c r="K302" i="24"/>
  <c r="J302" i="24"/>
  <c r="I302" i="24"/>
  <c r="H302" i="24"/>
  <c r="G302" i="24"/>
  <c r="F302" i="24"/>
  <c r="E302" i="24"/>
  <c r="O301" i="24"/>
  <c r="N301" i="24"/>
  <c r="M301" i="24"/>
  <c r="L301" i="24"/>
  <c r="K301" i="24"/>
  <c r="J301" i="24"/>
  <c r="I301" i="24"/>
  <c r="H301" i="24"/>
  <c r="G301" i="24"/>
  <c r="F301" i="24"/>
  <c r="E301" i="24"/>
  <c r="C301" i="24"/>
  <c r="O300" i="24"/>
  <c r="N300" i="24"/>
  <c r="M300" i="24"/>
  <c r="L300" i="24"/>
  <c r="K300" i="24"/>
  <c r="J300" i="24"/>
  <c r="I300" i="24"/>
  <c r="H300" i="24"/>
  <c r="G300" i="24"/>
  <c r="F300" i="24"/>
  <c r="E300" i="24"/>
  <c r="O299" i="24"/>
  <c r="N299" i="24"/>
  <c r="M299" i="24"/>
  <c r="L299" i="24"/>
  <c r="K299" i="24"/>
  <c r="J299" i="24"/>
  <c r="I299" i="24"/>
  <c r="H299" i="24"/>
  <c r="G299" i="24"/>
  <c r="F299" i="24"/>
  <c r="E299" i="24"/>
  <c r="O298" i="24"/>
  <c r="N298" i="24"/>
  <c r="M298" i="24"/>
  <c r="L298" i="24"/>
  <c r="K298" i="24"/>
  <c r="J298" i="24"/>
  <c r="I298" i="24"/>
  <c r="H298" i="24"/>
  <c r="G298" i="24"/>
  <c r="F298" i="24"/>
  <c r="E298" i="24"/>
  <c r="C298" i="24"/>
  <c r="B298" i="24"/>
  <c r="O297" i="24"/>
  <c r="N297" i="24"/>
  <c r="M297" i="24"/>
  <c r="L297" i="24"/>
  <c r="K297" i="24"/>
  <c r="J297" i="24"/>
  <c r="I297" i="24"/>
  <c r="H297" i="24"/>
  <c r="G297" i="24"/>
  <c r="F297" i="24"/>
  <c r="E297" i="24"/>
  <c r="O296" i="24"/>
  <c r="N296" i="24"/>
  <c r="M296" i="24"/>
  <c r="L296" i="24"/>
  <c r="K296" i="24"/>
  <c r="J296" i="24"/>
  <c r="I296" i="24"/>
  <c r="H296" i="24"/>
  <c r="G296" i="24"/>
  <c r="F296" i="24"/>
  <c r="E296" i="24"/>
  <c r="O295" i="24"/>
  <c r="N295" i="24"/>
  <c r="M295" i="24"/>
  <c r="L295" i="24"/>
  <c r="K295" i="24"/>
  <c r="J295" i="24"/>
  <c r="I295" i="24"/>
  <c r="H295" i="24"/>
  <c r="G295" i="24"/>
  <c r="F295" i="24"/>
  <c r="E295" i="24"/>
  <c r="C295" i="24"/>
  <c r="O294" i="24"/>
  <c r="N294" i="24"/>
  <c r="M294" i="24"/>
  <c r="L294" i="24"/>
  <c r="K294" i="24"/>
  <c r="J294" i="24"/>
  <c r="I294" i="24"/>
  <c r="H294" i="24"/>
  <c r="G294" i="24"/>
  <c r="F294" i="24"/>
  <c r="E294" i="24"/>
  <c r="O293" i="24"/>
  <c r="N293" i="24"/>
  <c r="M293" i="24"/>
  <c r="L293" i="24"/>
  <c r="K293" i="24"/>
  <c r="J293" i="24"/>
  <c r="I293" i="24"/>
  <c r="H293" i="24"/>
  <c r="G293" i="24"/>
  <c r="F293" i="24"/>
  <c r="E293" i="24"/>
  <c r="O292" i="24"/>
  <c r="N292" i="24"/>
  <c r="M292" i="24"/>
  <c r="L292" i="24"/>
  <c r="K292" i="24"/>
  <c r="J292" i="24"/>
  <c r="I292" i="24"/>
  <c r="H292" i="24"/>
  <c r="G292" i="24"/>
  <c r="F292" i="24"/>
  <c r="E292" i="24"/>
  <c r="C292" i="24"/>
  <c r="O291" i="24"/>
  <c r="N291" i="24"/>
  <c r="M291" i="24"/>
  <c r="L291" i="24"/>
  <c r="K291" i="24"/>
  <c r="J291" i="24"/>
  <c r="I291" i="24"/>
  <c r="H291" i="24"/>
  <c r="G291" i="24"/>
  <c r="F291" i="24"/>
  <c r="E291" i="24"/>
  <c r="O290" i="24"/>
  <c r="N290" i="24"/>
  <c r="M290" i="24"/>
  <c r="L290" i="24"/>
  <c r="K290" i="24"/>
  <c r="J290" i="24"/>
  <c r="I290" i="24"/>
  <c r="H290" i="24"/>
  <c r="G290" i="24"/>
  <c r="F290" i="24"/>
  <c r="E290" i="24"/>
  <c r="O289" i="24"/>
  <c r="N289" i="24"/>
  <c r="M289" i="24"/>
  <c r="L289" i="24"/>
  <c r="K289" i="24"/>
  <c r="J289" i="24"/>
  <c r="I289" i="24"/>
  <c r="H289" i="24"/>
  <c r="G289" i="24"/>
  <c r="F289" i="24"/>
  <c r="E289" i="24"/>
  <c r="O288" i="24"/>
  <c r="N288" i="24"/>
  <c r="M288" i="24"/>
  <c r="L288" i="24"/>
  <c r="K288" i="24"/>
  <c r="J288" i="24"/>
  <c r="I288" i="24"/>
  <c r="H288" i="24"/>
  <c r="G288" i="24"/>
  <c r="F288" i="24"/>
  <c r="E288" i="24"/>
  <c r="O287" i="24"/>
  <c r="N287" i="24"/>
  <c r="M287" i="24"/>
  <c r="L287" i="24"/>
  <c r="K287" i="24"/>
  <c r="J287" i="24"/>
  <c r="I287" i="24"/>
  <c r="H287" i="24"/>
  <c r="G287" i="24"/>
  <c r="F287" i="24"/>
  <c r="E287" i="24"/>
  <c r="O286" i="24"/>
  <c r="N286" i="24"/>
  <c r="M286" i="24"/>
  <c r="L286" i="24"/>
  <c r="K286" i="24"/>
  <c r="J286" i="24"/>
  <c r="I286" i="24"/>
  <c r="H286" i="24"/>
  <c r="G286" i="24"/>
  <c r="F286" i="24"/>
  <c r="E286" i="24"/>
  <c r="O285" i="24"/>
  <c r="N285" i="24"/>
  <c r="M285" i="24"/>
  <c r="L285" i="24"/>
  <c r="K285" i="24"/>
  <c r="J285" i="24"/>
  <c r="I285" i="24"/>
  <c r="H285" i="24"/>
  <c r="G285" i="24"/>
  <c r="F285" i="24"/>
  <c r="E285" i="24"/>
  <c r="O284" i="24"/>
  <c r="N284" i="24"/>
  <c r="M284" i="24"/>
  <c r="L284" i="24"/>
  <c r="K284" i="24"/>
  <c r="J284" i="24"/>
  <c r="I284" i="24"/>
  <c r="H284" i="24"/>
  <c r="G284" i="24"/>
  <c r="F284" i="24"/>
  <c r="E284" i="24"/>
  <c r="O283" i="24"/>
  <c r="N283" i="24"/>
  <c r="M283" i="24"/>
  <c r="L283" i="24"/>
  <c r="K283" i="24"/>
  <c r="J283" i="24"/>
  <c r="I283" i="24"/>
  <c r="H283" i="24"/>
  <c r="G283" i="24"/>
  <c r="F283" i="24"/>
  <c r="E283" i="24"/>
  <c r="O282" i="24"/>
  <c r="N282" i="24"/>
  <c r="M282" i="24"/>
  <c r="L282" i="24"/>
  <c r="K282" i="24"/>
  <c r="J282" i="24"/>
  <c r="I282" i="24"/>
  <c r="H282" i="24"/>
  <c r="G282" i="24"/>
  <c r="F282" i="24"/>
  <c r="E282" i="24"/>
  <c r="O281" i="24"/>
  <c r="N281" i="24"/>
  <c r="M281" i="24"/>
  <c r="L281" i="24"/>
  <c r="K281" i="24"/>
  <c r="J281" i="24"/>
  <c r="I281" i="24"/>
  <c r="H281" i="24"/>
  <c r="G281" i="24"/>
  <c r="F281" i="24"/>
  <c r="E281" i="24"/>
  <c r="O280" i="24"/>
  <c r="N280" i="24"/>
  <c r="M280" i="24"/>
  <c r="L280" i="24"/>
  <c r="K280" i="24"/>
  <c r="J280" i="24"/>
  <c r="I280" i="24"/>
  <c r="H280" i="24"/>
  <c r="G280" i="24"/>
  <c r="F280" i="24"/>
  <c r="E280" i="24"/>
  <c r="C280" i="24"/>
  <c r="B280" i="24"/>
  <c r="O279" i="24"/>
  <c r="N279" i="24"/>
  <c r="M279" i="24"/>
  <c r="L279" i="24"/>
  <c r="K279" i="24"/>
  <c r="J279" i="24"/>
  <c r="I279" i="24"/>
  <c r="H279" i="24"/>
  <c r="G279" i="24"/>
  <c r="F279" i="24"/>
  <c r="E279" i="24"/>
  <c r="O278" i="24"/>
  <c r="N278" i="24"/>
  <c r="M278" i="24"/>
  <c r="L278" i="24"/>
  <c r="K278" i="24"/>
  <c r="J278" i="24"/>
  <c r="I278" i="24"/>
  <c r="H278" i="24"/>
  <c r="G278" i="24"/>
  <c r="F278" i="24"/>
  <c r="E278" i="24"/>
  <c r="D278" i="24"/>
  <c r="O277" i="24"/>
  <c r="N277" i="24"/>
  <c r="M277" i="24"/>
  <c r="L277" i="24"/>
  <c r="K277" i="24"/>
  <c r="J277" i="24"/>
  <c r="I277" i="24"/>
  <c r="H277" i="24"/>
  <c r="G277" i="24"/>
  <c r="F277" i="24"/>
  <c r="E277" i="24"/>
  <c r="C277" i="24"/>
  <c r="O276" i="24"/>
  <c r="N276" i="24"/>
  <c r="M276" i="24"/>
  <c r="L276" i="24"/>
  <c r="K276" i="24"/>
  <c r="J276" i="24"/>
  <c r="I276" i="24"/>
  <c r="H276" i="24"/>
  <c r="G276" i="24"/>
  <c r="F276" i="24"/>
  <c r="E276" i="24"/>
  <c r="O275" i="24"/>
  <c r="N275" i="24"/>
  <c r="M275" i="24"/>
  <c r="L275" i="24"/>
  <c r="K275" i="24"/>
  <c r="J275" i="24"/>
  <c r="I275" i="24"/>
  <c r="H275" i="24"/>
  <c r="G275" i="24"/>
  <c r="F275" i="24"/>
  <c r="E275" i="24"/>
  <c r="O274" i="24"/>
  <c r="N274" i="24"/>
  <c r="M274" i="24"/>
  <c r="L274" i="24"/>
  <c r="K274" i="24"/>
  <c r="J274" i="24"/>
  <c r="I274" i="24"/>
  <c r="H274" i="24"/>
  <c r="G274" i="24"/>
  <c r="F274" i="24"/>
  <c r="E274" i="24"/>
  <c r="C274" i="24"/>
  <c r="C276" i="24" s="1"/>
  <c r="O273" i="24"/>
  <c r="N273" i="24"/>
  <c r="M273" i="24"/>
  <c r="L273" i="24"/>
  <c r="K273" i="24"/>
  <c r="J273" i="24"/>
  <c r="I273" i="24"/>
  <c r="H273" i="24"/>
  <c r="G273" i="24"/>
  <c r="F273" i="24"/>
  <c r="E273" i="24"/>
  <c r="O272" i="24"/>
  <c r="N272" i="24"/>
  <c r="M272" i="24"/>
  <c r="L272" i="24"/>
  <c r="K272" i="24"/>
  <c r="J272" i="24"/>
  <c r="I272" i="24"/>
  <c r="H272" i="24"/>
  <c r="G272" i="24"/>
  <c r="F272" i="24"/>
  <c r="E272" i="24"/>
  <c r="C272" i="24"/>
  <c r="O271" i="24"/>
  <c r="N271" i="24"/>
  <c r="M271" i="24"/>
  <c r="L271" i="24"/>
  <c r="K271" i="24"/>
  <c r="J271" i="24"/>
  <c r="I271" i="24"/>
  <c r="H271" i="24"/>
  <c r="G271" i="24"/>
  <c r="F271" i="24"/>
  <c r="E271" i="24"/>
  <c r="O270" i="24"/>
  <c r="N270" i="24"/>
  <c r="M270" i="24"/>
  <c r="L270" i="24"/>
  <c r="K270" i="24"/>
  <c r="J270" i="24"/>
  <c r="I270" i="24"/>
  <c r="H270" i="24"/>
  <c r="G270" i="24"/>
  <c r="F270" i="24"/>
  <c r="E270" i="24"/>
  <c r="O269" i="24"/>
  <c r="N269" i="24"/>
  <c r="M269" i="24"/>
  <c r="L269" i="24"/>
  <c r="K269" i="24"/>
  <c r="J269" i="24"/>
  <c r="I269" i="24"/>
  <c r="H269" i="24"/>
  <c r="G269" i="24"/>
  <c r="F269" i="24"/>
  <c r="E269" i="24"/>
  <c r="C269" i="24"/>
  <c r="B269" i="24"/>
  <c r="O268" i="24"/>
  <c r="N268" i="24"/>
  <c r="M268" i="24"/>
  <c r="L268" i="24"/>
  <c r="K268" i="24"/>
  <c r="J268" i="24"/>
  <c r="I268" i="24"/>
  <c r="H268" i="24"/>
  <c r="G268" i="24"/>
  <c r="F268" i="24"/>
  <c r="E268" i="24"/>
  <c r="O267" i="24"/>
  <c r="N267" i="24"/>
  <c r="M267" i="24"/>
  <c r="L267" i="24"/>
  <c r="K267" i="24"/>
  <c r="J267" i="24"/>
  <c r="I267" i="24"/>
  <c r="H267" i="24"/>
  <c r="G267" i="24"/>
  <c r="F267" i="24"/>
  <c r="E267" i="24"/>
  <c r="O266" i="24"/>
  <c r="N266" i="24"/>
  <c r="M266" i="24"/>
  <c r="L266" i="24"/>
  <c r="K266" i="24"/>
  <c r="J266" i="24"/>
  <c r="I266" i="24"/>
  <c r="H266" i="24"/>
  <c r="G266" i="24"/>
  <c r="F266" i="24"/>
  <c r="E266" i="24"/>
  <c r="C266" i="24"/>
  <c r="B266" i="24"/>
  <c r="O265" i="24"/>
  <c r="N265" i="24"/>
  <c r="M265" i="24"/>
  <c r="L265" i="24"/>
  <c r="K265" i="24"/>
  <c r="J265" i="24"/>
  <c r="I265" i="24"/>
  <c r="H265" i="24"/>
  <c r="G265" i="24"/>
  <c r="F265" i="24"/>
  <c r="E265" i="24"/>
  <c r="C265" i="24"/>
  <c r="O264" i="24"/>
  <c r="N264" i="24"/>
  <c r="M264" i="24"/>
  <c r="L264" i="24"/>
  <c r="K264" i="24"/>
  <c r="J264" i="24"/>
  <c r="I264" i="24"/>
  <c r="H264" i="24"/>
  <c r="G264" i="24"/>
  <c r="F264" i="24"/>
  <c r="E264" i="24"/>
  <c r="O263" i="24"/>
  <c r="N263" i="24"/>
  <c r="M263" i="24"/>
  <c r="L263" i="24"/>
  <c r="K263" i="24"/>
  <c r="J263" i="24"/>
  <c r="I263" i="24"/>
  <c r="H263" i="24"/>
  <c r="G263" i="24"/>
  <c r="F263" i="24"/>
  <c r="E263" i="24"/>
  <c r="C263" i="24"/>
  <c r="O262" i="24"/>
  <c r="N262" i="24"/>
  <c r="M262" i="24"/>
  <c r="L262" i="24"/>
  <c r="K262" i="24"/>
  <c r="J262" i="24"/>
  <c r="I262" i="24"/>
  <c r="H262" i="24"/>
  <c r="G262" i="24"/>
  <c r="F262" i="24"/>
  <c r="E262" i="24"/>
  <c r="O261" i="24"/>
  <c r="N261" i="24"/>
  <c r="M261" i="24"/>
  <c r="L261" i="24"/>
  <c r="K261" i="24"/>
  <c r="J261" i="24"/>
  <c r="I261" i="24"/>
  <c r="H261" i="24"/>
  <c r="G261" i="24"/>
  <c r="F261" i="24"/>
  <c r="E261" i="24"/>
  <c r="O260" i="24"/>
  <c r="N260" i="24"/>
  <c r="M260" i="24"/>
  <c r="L260" i="24"/>
  <c r="K260" i="24"/>
  <c r="J260" i="24"/>
  <c r="I260" i="24"/>
  <c r="H260" i="24"/>
  <c r="G260" i="24"/>
  <c r="F260" i="24"/>
  <c r="E260" i="24"/>
  <c r="C260" i="24"/>
  <c r="B260" i="24"/>
  <c r="O259" i="24"/>
  <c r="N259" i="24"/>
  <c r="M259" i="24"/>
  <c r="L259" i="24"/>
  <c r="K259" i="24"/>
  <c r="J259" i="24"/>
  <c r="I259" i="24"/>
  <c r="H259" i="24"/>
  <c r="G259" i="24"/>
  <c r="F259" i="24"/>
  <c r="E259" i="24"/>
  <c r="O258" i="24"/>
  <c r="N258" i="24"/>
  <c r="M258" i="24"/>
  <c r="L258" i="24"/>
  <c r="K258" i="24"/>
  <c r="J258" i="24"/>
  <c r="I258" i="24"/>
  <c r="H258" i="24"/>
  <c r="G258" i="24"/>
  <c r="F258" i="24"/>
  <c r="E258" i="24"/>
  <c r="O257" i="24"/>
  <c r="N257" i="24"/>
  <c r="M257" i="24"/>
  <c r="L257" i="24"/>
  <c r="K257" i="24"/>
  <c r="J257" i="24"/>
  <c r="I257" i="24"/>
  <c r="H257" i="24"/>
  <c r="G257" i="24"/>
  <c r="F257" i="24"/>
  <c r="E257" i="24"/>
  <c r="C257" i="24"/>
  <c r="O256" i="24"/>
  <c r="N256" i="24"/>
  <c r="M256" i="24"/>
  <c r="L256" i="24"/>
  <c r="K256" i="24"/>
  <c r="J256" i="24"/>
  <c r="I256" i="24"/>
  <c r="H256" i="24"/>
  <c r="G256" i="24"/>
  <c r="F256" i="24"/>
  <c r="E256" i="24"/>
  <c r="O255" i="24"/>
  <c r="N255" i="24"/>
  <c r="M255" i="24"/>
  <c r="L255" i="24"/>
  <c r="K255" i="24"/>
  <c r="J255" i="24"/>
  <c r="I255" i="24"/>
  <c r="H255" i="24"/>
  <c r="G255" i="24"/>
  <c r="F255" i="24"/>
  <c r="E255" i="24"/>
  <c r="O254" i="24"/>
  <c r="N254" i="24"/>
  <c r="M254" i="24"/>
  <c r="L254" i="24"/>
  <c r="K254" i="24"/>
  <c r="J254" i="24"/>
  <c r="I254" i="24"/>
  <c r="H254" i="24"/>
  <c r="G254" i="24"/>
  <c r="F254" i="24"/>
  <c r="E254" i="24"/>
  <c r="C254" i="24"/>
  <c r="O253" i="24"/>
  <c r="N253" i="24"/>
  <c r="M253" i="24"/>
  <c r="L253" i="24"/>
  <c r="K253" i="24"/>
  <c r="J253" i="24"/>
  <c r="I253" i="24"/>
  <c r="H253" i="24"/>
  <c r="G253" i="24"/>
  <c r="F253" i="24"/>
  <c r="E253" i="24"/>
  <c r="O252" i="24"/>
  <c r="N252" i="24"/>
  <c r="M252" i="24"/>
  <c r="L252" i="24"/>
  <c r="K252" i="24"/>
  <c r="J252" i="24"/>
  <c r="I252" i="24"/>
  <c r="H252" i="24"/>
  <c r="G252" i="24"/>
  <c r="F252" i="24"/>
  <c r="E252" i="24"/>
  <c r="O251" i="24"/>
  <c r="N251" i="24"/>
  <c r="M251" i="24"/>
  <c r="L251" i="24"/>
  <c r="K251" i="24"/>
  <c r="J251" i="24"/>
  <c r="I251" i="24"/>
  <c r="H251" i="24"/>
  <c r="G251" i="24"/>
  <c r="F251" i="24"/>
  <c r="E251" i="24"/>
  <c r="O250" i="24"/>
  <c r="N250" i="24"/>
  <c r="M250" i="24"/>
  <c r="L250" i="24"/>
  <c r="K250" i="24"/>
  <c r="J250" i="24"/>
  <c r="I250" i="24"/>
  <c r="H250" i="24"/>
  <c r="G250" i="24"/>
  <c r="F250" i="24"/>
  <c r="E250" i="24"/>
  <c r="O249" i="24"/>
  <c r="N249" i="24"/>
  <c r="M249" i="24"/>
  <c r="L249" i="24"/>
  <c r="K249" i="24"/>
  <c r="J249" i="24"/>
  <c r="I249" i="24"/>
  <c r="H249" i="24"/>
  <c r="G249" i="24"/>
  <c r="F249" i="24"/>
  <c r="E249" i="24"/>
  <c r="O248" i="24"/>
  <c r="N248" i="24"/>
  <c r="M248" i="24"/>
  <c r="L248" i="24"/>
  <c r="K248" i="24"/>
  <c r="J248" i="24"/>
  <c r="I248" i="24"/>
  <c r="H248" i="24"/>
  <c r="G248" i="24"/>
  <c r="F248" i="24"/>
  <c r="E248" i="24"/>
  <c r="O247" i="24"/>
  <c r="N247" i="24"/>
  <c r="M247" i="24"/>
  <c r="L247" i="24"/>
  <c r="K247" i="24"/>
  <c r="J247" i="24"/>
  <c r="I247" i="24"/>
  <c r="H247" i="24"/>
  <c r="G247" i="24"/>
  <c r="F247" i="24"/>
  <c r="E247" i="24"/>
  <c r="O246" i="24"/>
  <c r="N246" i="24"/>
  <c r="M246" i="24"/>
  <c r="L246" i="24"/>
  <c r="K246" i="24"/>
  <c r="J246" i="24"/>
  <c r="I246" i="24"/>
  <c r="H246" i="24"/>
  <c r="G246" i="24"/>
  <c r="F246" i="24"/>
  <c r="E246" i="24"/>
  <c r="O245" i="24"/>
  <c r="N245" i="24"/>
  <c r="M245" i="24"/>
  <c r="L245" i="24"/>
  <c r="K245" i="24"/>
  <c r="J245" i="24"/>
  <c r="I245" i="24"/>
  <c r="H245" i="24"/>
  <c r="G245" i="24"/>
  <c r="F245" i="24"/>
  <c r="E245" i="24"/>
  <c r="O244" i="24"/>
  <c r="N244" i="24"/>
  <c r="M244" i="24"/>
  <c r="L244" i="24"/>
  <c r="K244" i="24"/>
  <c r="J244" i="24"/>
  <c r="I244" i="24"/>
  <c r="H244" i="24"/>
  <c r="G244" i="24"/>
  <c r="F244" i="24"/>
  <c r="E244" i="24"/>
  <c r="O243" i="24"/>
  <c r="N243" i="24"/>
  <c r="M243" i="24"/>
  <c r="L243" i="24"/>
  <c r="K243" i="24"/>
  <c r="J243" i="24"/>
  <c r="I243" i="24"/>
  <c r="H243" i="24"/>
  <c r="G243" i="24"/>
  <c r="F243" i="24"/>
  <c r="E243" i="24"/>
  <c r="O242" i="24"/>
  <c r="N242" i="24"/>
  <c r="M242" i="24"/>
  <c r="L242" i="24"/>
  <c r="K242" i="24"/>
  <c r="J242" i="24"/>
  <c r="I242" i="24"/>
  <c r="H242" i="24"/>
  <c r="G242" i="24"/>
  <c r="F242" i="24"/>
  <c r="E242" i="24"/>
  <c r="C242" i="24"/>
  <c r="B242" i="24"/>
  <c r="O241" i="24"/>
  <c r="N241" i="24"/>
  <c r="M241" i="24"/>
  <c r="L241" i="24"/>
  <c r="K241" i="24"/>
  <c r="J241" i="24"/>
  <c r="I241" i="24"/>
  <c r="H241" i="24"/>
  <c r="G241" i="24"/>
  <c r="F241" i="24"/>
  <c r="E241" i="24"/>
  <c r="O240" i="24"/>
  <c r="N240" i="24"/>
  <c r="M240" i="24"/>
  <c r="L240" i="24"/>
  <c r="K240" i="24"/>
  <c r="J240" i="24"/>
  <c r="I240" i="24"/>
  <c r="H240" i="24"/>
  <c r="G240" i="24"/>
  <c r="F240" i="24"/>
  <c r="E240" i="24"/>
  <c r="D240" i="24"/>
  <c r="O239" i="24"/>
  <c r="N239" i="24"/>
  <c r="M239" i="24"/>
  <c r="L239" i="24"/>
  <c r="K239" i="24"/>
  <c r="J239" i="24"/>
  <c r="I239" i="24"/>
  <c r="H239" i="24"/>
  <c r="G239" i="24"/>
  <c r="F239" i="24"/>
  <c r="E239" i="24"/>
  <c r="C239" i="24"/>
  <c r="O238" i="24"/>
  <c r="N238" i="24"/>
  <c r="M238" i="24"/>
  <c r="L238" i="24"/>
  <c r="K238" i="24"/>
  <c r="J238" i="24"/>
  <c r="I238" i="24"/>
  <c r="H238" i="24"/>
  <c r="G238" i="24"/>
  <c r="F238" i="24"/>
  <c r="E238" i="24"/>
  <c r="O237" i="24"/>
  <c r="N237" i="24"/>
  <c r="M237" i="24"/>
  <c r="L237" i="24"/>
  <c r="K237" i="24"/>
  <c r="J237" i="24"/>
  <c r="I237" i="24"/>
  <c r="H237" i="24"/>
  <c r="G237" i="24"/>
  <c r="F237" i="24"/>
  <c r="E237" i="24"/>
  <c r="O236" i="24"/>
  <c r="N236" i="24"/>
  <c r="M236" i="24"/>
  <c r="L236" i="24"/>
  <c r="K236" i="24"/>
  <c r="J236" i="24"/>
  <c r="I236" i="24"/>
  <c r="H236" i="24"/>
  <c r="G236" i="24"/>
  <c r="F236" i="24"/>
  <c r="E236" i="24"/>
  <c r="C236" i="24"/>
  <c r="O235" i="24"/>
  <c r="N235" i="24"/>
  <c r="M235" i="24"/>
  <c r="L235" i="24"/>
  <c r="K235" i="24"/>
  <c r="J235" i="24"/>
  <c r="I235" i="24"/>
  <c r="H235" i="24"/>
  <c r="G235" i="24"/>
  <c r="F235" i="24"/>
  <c r="E235" i="24"/>
  <c r="O234" i="24"/>
  <c r="N234" i="24"/>
  <c r="M234" i="24"/>
  <c r="L234" i="24"/>
  <c r="K234" i="24"/>
  <c r="J234" i="24"/>
  <c r="I234" i="24"/>
  <c r="H234" i="24"/>
  <c r="G234" i="24"/>
  <c r="F234" i="24"/>
  <c r="E234" i="24"/>
  <c r="C234" i="24"/>
  <c r="O233" i="24"/>
  <c r="N233" i="24"/>
  <c r="M233" i="24"/>
  <c r="L233" i="24"/>
  <c r="K233" i="24"/>
  <c r="J233" i="24"/>
  <c r="I233" i="24"/>
  <c r="H233" i="24"/>
  <c r="G233" i="24"/>
  <c r="F233" i="24"/>
  <c r="E233" i="24"/>
  <c r="O232" i="24"/>
  <c r="N232" i="24"/>
  <c r="M232" i="24"/>
  <c r="L232" i="24"/>
  <c r="K232" i="24"/>
  <c r="J232" i="24"/>
  <c r="I232" i="24"/>
  <c r="H232" i="24"/>
  <c r="G232" i="24"/>
  <c r="F232" i="24"/>
  <c r="E232" i="24"/>
  <c r="O231" i="24"/>
  <c r="N231" i="24"/>
  <c r="M231" i="24"/>
  <c r="L231" i="24"/>
  <c r="K231" i="24"/>
  <c r="J231" i="24"/>
  <c r="I231" i="24"/>
  <c r="H231" i="24"/>
  <c r="G231" i="24"/>
  <c r="F231" i="24"/>
  <c r="E231" i="24"/>
  <c r="C231" i="24"/>
  <c r="B231" i="24"/>
  <c r="O230" i="24"/>
  <c r="N230" i="24"/>
  <c r="M230" i="24"/>
  <c r="L230" i="24"/>
  <c r="K230" i="24"/>
  <c r="J230" i="24"/>
  <c r="I230" i="24"/>
  <c r="H230" i="24"/>
  <c r="G230" i="24"/>
  <c r="F230" i="24"/>
  <c r="E230" i="24"/>
  <c r="O229" i="24"/>
  <c r="N229" i="24"/>
  <c r="M229" i="24"/>
  <c r="L229" i="24"/>
  <c r="K229" i="24"/>
  <c r="J229" i="24"/>
  <c r="I229" i="24"/>
  <c r="H229" i="24"/>
  <c r="G229" i="24"/>
  <c r="F229" i="24"/>
  <c r="E229" i="24"/>
  <c r="O228" i="24"/>
  <c r="N228" i="24"/>
  <c r="M228" i="24"/>
  <c r="L228" i="24"/>
  <c r="K228" i="24"/>
  <c r="J228" i="24"/>
  <c r="I228" i="24"/>
  <c r="H228" i="24"/>
  <c r="G228" i="24"/>
  <c r="F228" i="24"/>
  <c r="E228" i="24"/>
  <c r="C228" i="24"/>
  <c r="B228" i="24"/>
  <c r="O227" i="24"/>
  <c r="N227" i="24"/>
  <c r="M227" i="24"/>
  <c r="L227" i="24"/>
  <c r="K227" i="24"/>
  <c r="J227" i="24"/>
  <c r="I227" i="24"/>
  <c r="H227" i="24"/>
  <c r="G227" i="24"/>
  <c r="F227" i="24"/>
  <c r="E227" i="24"/>
  <c r="C227" i="24"/>
  <c r="O226" i="24"/>
  <c r="N226" i="24"/>
  <c r="M226" i="24"/>
  <c r="L226" i="24"/>
  <c r="K226" i="24"/>
  <c r="J226" i="24"/>
  <c r="I226" i="24"/>
  <c r="H226" i="24"/>
  <c r="G226" i="24"/>
  <c r="F226" i="24"/>
  <c r="E226" i="24"/>
  <c r="O225" i="24"/>
  <c r="N225" i="24"/>
  <c r="M225" i="24"/>
  <c r="L225" i="24"/>
  <c r="K225" i="24"/>
  <c r="J225" i="24"/>
  <c r="I225" i="24"/>
  <c r="H225" i="24"/>
  <c r="G225" i="24"/>
  <c r="F225" i="24"/>
  <c r="E225" i="24"/>
  <c r="C225" i="24"/>
  <c r="C226" i="24" s="1"/>
  <c r="O224" i="24"/>
  <c r="N224" i="24"/>
  <c r="M224" i="24"/>
  <c r="L224" i="24"/>
  <c r="K224" i="24"/>
  <c r="J224" i="24"/>
  <c r="I224" i="24"/>
  <c r="H224" i="24"/>
  <c r="G224" i="24"/>
  <c r="F224" i="24"/>
  <c r="E224" i="24"/>
  <c r="O223" i="24"/>
  <c r="N223" i="24"/>
  <c r="M223" i="24"/>
  <c r="L223" i="24"/>
  <c r="K223" i="24"/>
  <c r="J223" i="24"/>
  <c r="I223" i="24"/>
  <c r="H223" i="24"/>
  <c r="G223" i="24"/>
  <c r="F223" i="24"/>
  <c r="E223" i="24"/>
  <c r="O222" i="24"/>
  <c r="N222" i="24"/>
  <c r="M222" i="24"/>
  <c r="L222" i="24"/>
  <c r="K222" i="24"/>
  <c r="J222" i="24"/>
  <c r="I222" i="24"/>
  <c r="H222" i="24"/>
  <c r="G222" i="24"/>
  <c r="F222" i="24"/>
  <c r="E222" i="24"/>
  <c r="C222" i="24"/>
  <c r="B222" i="24"/>
  <c r="O221" i="24"/>
  <c r="N221" i="24"/>
  <c r="M221" i="24"/>
  <c r="L221" i="24"/>
  <c r="K221" i="24"/>
  <c r="J221" i="24"/>
  <c r="I221" i="24"/>
  <c r="H221" i="24"/>
  <c r="G221" i="24"/>
  <c r="F221" i="24"/>
  <c r="E221" i="24"/>
  <c r="O220" i="24"/>
  <c r="N220" i="24"/>
  <c r="M220" i="24"/>
  <c r="L220" i="24"/>
  <c r="K220" i="24"/>
  <c r="J220" i="24"/>
  <c r="I220" i="24"/>
  <c r="H220" i="24"/>
  <c r="G220" i="24"/>
  <c r="F220" i="24"/>
  <c r="E220" i="24"/>
  <c r="O219" i="24"/>
  <c r="N219" i="24"/>
  <c r="M219" i="24"/>
  <c r="L219" i="24"/>
  <c r="K219" i="24"/>
  <c r="J219" i="24"/>
  <c r="I219" i="24"/>
  <c r="H219" i="24"/>
  <c r="G219" i="24"/>
  <c r="F219" i="24"/>
  <c r="E219" i="24"/>
  <c r="C219" i="24"/>
  <c r="O218" i="24"/>
  <c r="N218" i="24"/>
  <c r="M218" i="24"/>
  <c r="L218" i="24"/>
  <c r="K218" i="24"/>
  <c r="J218" i="24"/>
  <c r="I218" i="24"/>
  <c r="H218" i="24"/>
  <c r="G218" i="24"/>
  <c r="F218" i="24"/>
  <c r="E218" i="24"/>
  <c r="O217" i="24"/>
  <c r="N217" i="24"/>
  <c r="M217" i="24"/>
  <c r="L217" i="24"/>
  <c r="K217" i="24"/>
  <c r="J217" i="24"/>
  <c r="I217" i="24"/>
  <c r="H217" i="24"/>
  <c r="G217" i="24"/>
  <c r="F217" i="24"/>
  <c r="E217" i="24"/>
  <c r="O216" i="24"/>
  <c r="N216" i="24"/>
  <c r="M216" i="24"/>
  <c r="L216" i="24"/>
  <c r="K216" i="24"/>
  <c r="J216" i="24"/>
  <c r="I216" i="24"/>
  <c r="H216" i="24"/>
  <c r="G216" i="24"/>
  <c r="F216" i="24"/>
  <c r="E216" i="24"/>
  <c r="C216" i="24"/>
  <c r="O215" i="24"/>
  <c r="N215" i="24"/>
  <c r="M215" i="24"/>
  <c r="L215" i="24"/>
  <c r="K215" i="24"/>
  <c r="J215" i="24"/>
  <c r="I215" i="24"/>
  <c r="H215" i="24"/>
  <c r="G215" i="24"/>
  <c r="F215" i="24"/>
  <c r="E215" i="24"/>
  <c r="O214" i="24"/>
  <c r="N214" i="24"/>
  <c r="M214" i="24"/>
  <c r="L214" i="24"/>
  <c r="K214" i="24"/>
  <c r="J214" i="24"/>
  <c r="I214" i="24"/>
  <c r="H214" i="24"/>
  <c r="G214" i="24"/>
  <c r="F214" i="24"/>
  <c r="E214" i="24"/>
  <c r="O213" i="24"/>
  <c r="N213" i="24"/>
  <c r="M213" i="24"/>
  <c r="L213" i="24"/>
  <c r="K213" i="24"/>
  <c r="J213" i="24"/>
  <c r="I213" i="24"/>
  <c r="H213" i="24"/>
  <c r="G213" i="24"/>
  <c r="F213" i="24"/>
  <c r="E213" i="24"/>
  <c r="O212" i="24"/>
  <c r="N212" i="24"/>
  <c r="M212" i="24"/>
  <c r="L212" i="24"/>
  <c r="K212" i="24"/>
  <c r="J212" i="24"/>
  <c r="I212" i="24"/>
  <c r="H212" i="24"/>
  <c r="G212" i="24"/>
  <c r="F212" i="24"/>
  <c r="E212" i="24"/>
  <c r="O211" i="24"/>
  <c r="N211" i="24"/>
  <c r="M211" i="24"/>
  <c r="L211" i="24"/>
  <c r="K211" i="24"/>
  <c r="J211" i="24"/>
  <c r="I211" i="24"/>
  <c r="H211" i="24"/>
  <c r="G211" i="24"/>
  <c r="F211" i="24"/>
  <c r="E211" i="24"/>
  <c r="O210" i="24"/>
  <c r="N210" i="24"/>
  <c r="M210" i="24"/>
  <c r="L210" i="24"/>
  <c r="K210" i="24"/>
  <c r="J210" i="24"/>
  <c r="I210" i="24"/>
  <c r="H210" i="24"/>
  <c r="G210" i="24"/>
  <c r="F210" i="24"/>
  <c r="E210" i="24"/>
  <c r="O209" i="24"/>
  <c r="N209" i="24"/>
  <c r="M209" i="24"/>
  <c r="L209" i="24"/>
  <c r="K209" i="24"/>
  <c r="J209" i="24"/>
  <c r="I209" i="24"/>
  <c r="H209" i="24"/>
  <c r="G209" i="24"/>
  <c r="F209" i="24"/>
  <c r="E209" i="24"/>
  <c r="O208" i="24"/>
  <c r="N208" i="24"/>
  <c r="M208" i="24"/>
  <c r="L208" i="24"/>
  <c r="K208" i="24"/>
  <c r="J208" i="24"/>
  <c r="I208" i="24"/>
  <c r="H208" i="24"/>
  <c r="G208" i="24"/>
  <c r="F208" i="24"/>
  <c r="E208" i="24"/>
  <c r="O207" i="24"/>
  <c r="N207" i="24"/>
  <c r="M207" i="24"/>
  <c r="L207" i="24"/>
  <c r="K207" i="24"/>
  <c r="J207" i="24"/>
  <c r="I207" i="24"/>
  <c r="H207" i="24"/>
  <c r="G207" i="24"/>
  <c r="F207" i="24"/>
  <c r="E207" i="24"/>
  <c r="O206" i="24"/>
  <c r="N206" i="24"/>
  <c r="M206" i="24"/>
  <c r="L206" i="24"/>
  <c r="K206" i="24"/>
  <c r="J206" i="24"/>
  <c r="I206" i="24"/>
  <c r="H206" i="24"/>
  <c r="G206" i="24"/>
  <c r="F206" i="24"/>
  <c r="E206" i="24"/>
  <c r="O205" i="24"/>
  <c r="N205" i="24"/>
  <c r="M205" i="24"/>
  <c r="L205" i="24"/>
  <c r="K205" i="24"/>
  <c r="J205" i="24"/>
  <c r="I205" i="24"/>
  <c r="H205" i="24"/>
  <c r="G205" i="24"/>
  <c r="F205" i="24"/>
  <c r="E205" i="24"/>
  <c r="O204" i="24"/>
  <c r="N204" i="24"/>
  <c r="M204" i="24"/>
  <c r="L204" i="24"/>
  <c r="K204" i="24"/>
  <c r="J204" i="24"/>
  <c r="I204" i="24"/>
  <c r="H204" i="24"/>
  <c r="G204" i="24"/>
  <c r="F204" i="24"/>
  <c r="E204" i="24"/>
  <c r="C204" i="24"/>
  <c r="B204" i="24"/>
  <c r="O203" i="24"/>
  <c r="N203" i="24"/>
  <c r="M203" i="24"/>
  <c r="L203" i="24"/>
  <c r="K203" i="24"/>
  <c r="J203" i="24"/>
  <c r="I203" i="24"/>
  <c r="H203" i="24"/>
  <c r="G203" i="24"/>
  <c r="F203" i="24"/>
  <c r="E203" i="24"/>
  <c r="O202" i="24"/>
  <c r="N202" i="24"/>
  <c r="M202" i="24"/>
  <c r="L202" i="24"/>
  <c r="K202" i="24"/>
  <c r="J202" i="24"/>
  <c r="I202" i="24"/>
  <c r="H202" i="24"/>
  <c r="G202" i="24"/>
  <c r="F202" i="24"/>
  <c r="E202" i="24"/>
  <c r="D202" i="24"/>
  <c r="O201" i="24"/>
  <c r="N201" i="24"/>
  <c r="M201" i="24"/>
  <c r="L201" i="24"/>
  <c r="K201" i="24"/>
  <c r="J201" i="24"/>
  <c r="I201" i="24"/>
  <c r="H201" i="24"/>
  <c r="G201" i="24"/>
  <c r="F201" i="24"/>
  <c r="E201" i="24"/>
  <c r="C201" i="24"/>
  <c r="O200" i="24"/>
  <c r="N200" i="24"/>
  <c r="M200" i="24"/>
  <c r="L200" i="24"/>
  <c r="K200" i="24"/>
  <c r="J200" i="24"/>
  <c r="I200" i="24"/>
  <c r="H200" i="24"/>
  <c r="G200" i="24"/>
  <c r="F200" i="24"/>
  <c r="E200" i="24"/>
  <c r="O199" i="24"/>
  <c r="N199" i="24"/>
  <c r="M199" i="24"/>
  <c r="L199" i="24"/>
  <c r="K199" i="24"/>
  <c r="J199" i="24"/>
  <c r="I199" i="24"/>
  <c r="H199" i="24"/>
  <c r="G199" i="24"/>
  <c r="F199" i="24"/>
  <c r="E199" i="24"/>
  <c r="O198" i="24"/>
  <c r="N198" i="24"/>
  <c r="M198" i="24"/>
  <c r="L198" i="24"/>
  <c r="K198" i="24"/>
  <c r="J198" i="24"/>
  <c r="I198" i="24"/>
  <c r="H198" i="24"/>
  <c r="G198" i="24"/>
  <c r="F198" i="24"/>
  <c r="E198" i="24"/>
  <c r="C198" i="24"/>
  <c r="O197" i="24"/>
  <c r="N197" i="24"/>
  <c r="M197" i="24"/>
  <c r="L197" i="24"/>
  <c r="K197" i="24"/>
  <c r="J197" i="24"/>
  <c r="I197" i="24"/>
  <c r="H197" i="24"/>
  <c r="G197" i="24"/>
  <c r="F197" i="24"/>
  <c r="E197" i="24"/>
  <c r="O196" i="24"/>
  <c r="N196" i="24"/>
  <c r="M196" i="24"/>
  <c r="L196" i="24"/>
  <c r="K196" i="24"/>
  <c r="J196" i="24"/>
  <c r="I196" i="24"/>
  <c r="H196" i="24"/>
  <c r="G196" i="24"/>
  <c r="F196" i="24"/>
  <c r="E196" i="24"/>
  <c r="C196" i="24"/>
  <c r="O195" i="24"/>
  <c r="N195" i="24"/>
  <c r="M195" i="24"/>
  <c r="L195" i="24"/>
  <c r="K195" i="24"/>
  <c r="J195" i="24"/>
  <c r="I195" i="24"/>
  <c r="H195" i="24"/>
  <c r="G195" i="24"/>
  <c r="F195" i="24"/>
  <c r="E195" i="24"/>
  <c r="O194" i="24"/>
  <c r="N194" i="24"/>
  <c r="M194" i="24"/>
  <c r="L194" i="24"/>
  <c r="K194" i="24"/>
  <c r="J194" i="24"/>
  <c r="I194" i="24"/>
  <c r="H194" i="24"/>
  <c r="G194" i="24"/>
  <c r="F194" i="24"/>
  <c r="E194" i="24"/>
  <c r="O193" i="24"/>
  <c r="N193" i="24"/>
  <c r="M193" i="24"/>
  <c r="L193" i="24"/>
  <c r="K193" i="24"/>
  <c r="J193" i="24"/>
  <c r="I193" i="24"/>
  <c r="H193" i="24"/>
  <c r="G193" i="24"/>
  <c r="F193" i="24"/>
  <c r="E193" i="24"/>
  <c r="C193" i="24"/>
  <c r="B193" i="24"/>
  <c r="O192" i="24"/>
  <c r="N192" i="24"/>
  <c r="M192" i="24"/>
  <c r="L192" i="24"/>
  <c r="K192" i="24"/>
  <c r="J192" i="24"/>
  <c r="I192" i="24"/>
  <c r="H192" i="24"/>
  <c r="G192" i="24"/>
  <c r="F192" i="24"/>
  <c r="E192" i="24"/>
  <c r="D192" i="24"/>
  <c r="O191" i="24"/>
  <c r="N191" i="24"/>
  <c r="M191" i="24"/>
  <c r="L191" i="24"/>
  <c r="K191" i="24"/>
  <c r="J191" i="24"/>
  <c r="I191" i="24"/>
  <c r="H191" i="24"/>
  <c r="G191" i="24"/>
  <c r="F191" i="24"/>
  <c r="E191" i="24"/>
  <c r="D191" i="24"/>
  <c r="O190" i="24"/>
  <c r="N190" i="24"/>
  <c r="M190" i="24"/>
  <c r="L190" i="24"/>
  <c r="K190" i="24"/>
  <c r="J190" i="24"/>
  <c r="I190" i="24"/>
  <c r="H190" i="24"/>
  <c r="G190" i="24"/>
  <c r="F190" i="24"/>
  <c r="E190" i="24"/>
  <c r="D190" i="24"/>
  <c r="C190" i="24"/>
  <c r="B190" i="24"/>
  <c r="O189" i="24"/>
  <c r="N189" i="24"/>
  <c r="M189" i="24"/>
  <c r="L189" i="24"/>
  <c r="K189" i="24"/>
  <c r="J189" i="24"/>
  <c r="I189" i="24"/>
  <c r="H189" i="24"/>
  <c r="G189" i="24"/>
  <c r="F189" i="24"/>
  <c r="E189" i="24"/>
  <c r="D189" i="24"/>
  <c r="C189" i="24"/>
  <c r="O188" i="24"/>
  <c r="N188" i="24"/>
  <c r="M188" i="24"/>
  <c r="L188" i="24"/>
  <c r="K188" i="24"/>
  <c r="J188" i="24"/>
  <c r="I188" i="24"/>
  <c r="H188" i="24"/>
  <c r="G188" i="24"/>
  <c r="F188" i="24"/>
  <c r="E188" i="24"/>
  <c r="D188" i="24"/>
  <c r="O187" i="24"/>
  <c r="N187" i="24"/>
  <c r="M187" i="24"/>
  <c r="L187" i="24"/>
  <c r="K187" i="24"/>
  <c r="J187" i="24"/>
  <c r="I187" i="24"/>
  <c r="H187" i="24"/>
  <c r="G187" i="24"/>
  <c r="F187" i="24"/>
  <c r="E187" i="24"/>
  <c r="D187" i="24"/>
  <c r="C187" i="24"/>
  <c r="O186" i="24"/>
  <c r="N186" i="24"/>
  <c r="M186" i="24"/>
  <c r="L186" i="24"/>
  <c r="K186" i="24"/>
  <c r="J186" i="24"/>
  <c r="I186" i="24"/>
  <c r="H186" i="24"/>
  <c r="G186" i="24"/>
  <c r="F186" i="24"/>
  <c r="E186" i="24"/>
  <c r="D186" i="24"/>
  <c r="O185" i="24"/>
  <c r="N185" i="24"/>
  <c r="M185" i="24"/>
  <c r="L185" i="24"/>
  <c r="K185" i="24"/>
  <c r="J185" i="24"/>
  <c r="I185" i="24"/>
  <c r="H185" i="24"/>
  <c r="G185" i="24"/>
  <c r="F185" i="24"/>
  <c r="E185" i="24"/>
  <c r="D185" i="24"/>
  <c r="O184" i="24"/>
  <c r="N184" i="24"/>
  <c r="M184" i="24"/>
  <c r="L184" i="24"/>
  <c r="K184" i="24"/>
  <c r="J184" i="24"/>
  <c r="I184" i="24"/>
  <c r="H184" i="24"/>
  <c r="G184" i="24"/>
  <c r="F184" i="24"/>
  <c r="E184" i="24"/>
  <c r="D184" i="24"/>
  <c r="C184" i="24"/>
  <c r="B184" i="24"/>
  <c r="O183" i="24"/>
  <c r="N183" i="24"/>
  <c r="M183" i="24"/>
  <c r="L183" i="24"/>
  <c r="K183" i="24"/>
  <c r="J183" i="24"/>
  <c r="I183" i="24"/>
  <c r="H183" i="24"/>
  <c r="G183" i="24"/>
  <c r="F183" i="24"/>
  <c r="E183" i="24"/>
  <c r="D183" i="24"/>
  <c r="O182" i="24"/>
  <c r="N182" i="24"/>
  <c r="M182" i="24"/>
  <c r="L182" i="24"/>
  <c r="K182" i="24"/>
  <c r="J182" i="24"/>
  <c r="I182" i="24"/>
  <c r="H182" i="24"/>
  <c r="G182" i="24"/>
  <c r="F182" i="24"/>
  <c r="E182" i="24"/>
  <c r="D182" i="24"/>
  <c r="O181" i="24"/>
  <c r="N181" i="24"/>
  <c r="M181" i="24"/>
  <c r="L181" i="24"/>
  <c r="K181" i="24"/>
  <c r="J181" i="24"/>
  <c r="I181" i="24"/>
  <c r="H181" i="24"/>
  <c r="G181" i="24"/>
  <c r="F181" i="24"/>
  <c r="E181" i="24"/>
  <c r="D181" i="24"/>
  <c r="C181" i="24"/>
  <c r="O180" i="24"/>
  <c r="N180" i="24"/>
  <c r="M180" i="24"/>
  <c r="L180" i="24"/>
  <c r="K180" i="24"/>
  <c r="J180" i="24"/>
  <c r="I180" i="24"/>
  <c r="H180" i="24"/>
  <c r="G180" i="24"/>
  <c r="F180" i="24"/>
  <c r="E180" i="24"/>
  <c r="D180" i="24"/>
  <c r="O179" i="24"/>
  <c r="N179" i="24"/>
  <c r="M179" i="24"/>
  <c r="L179" i="24"/>
  <c r="K179" i="24"/>
  <c r="J179" i="24"/>
  <c r="I179" i="24"/>
  <c r="H179" i="24"/>
  <c r="G179" i="24"/>
  <c r="F179" i="24"/>
  <c r="E179" i="24"/>
  <c r="D179" i="24"/>
  <c r="O178" i="24"/>
  <c r="N178" i="24"/>
  <c r="M178" i="24"/>
  <c r="L178" i="24"/>
  <c r="K178" i="24"/>
  <c r="J178" i="24"/>
  <c r="I178" i="24"/>
  <c r="H178" i="24"/>
  <c r="G178" i="24"/>
  <c r="F178" i="24"/>
  <c r="E178" i="24"/>
  <c r="D178" i="24"/>
  <c r="C178" i="24"/>
  <c r="O177" i="24"/>
  <c r="N177" i="24"/>
  <c r="M177" i="24"/>
  <c r="L177" i="24"/>
  <c r="K177" i="24"/>
  <c r="J177" i="24"/>
  <c r="I177" i="24"/>
  <c r="H177" i="24"/>
  <c r="G177" i="24"/>
  <c r="F177" i="24"/>
  <c r="E177" i="24"/>
  <c r="D177" i="24"/>
  <c r="O176" i="24"/>
  <c r="N176" i="24"/>
  <c r="M176" i="24"/>
  <c r="L176" i="24"/>
  <c r="K176" i="24"/>
  <c r="J176" i="24"/>
  <c r="I176" i="24"/>
  <c r="H176" i="24"/>
  <c r="G176" i="24"/>
  <c r="F176" i="24"/>
  <c r="E176" i="24"/>
  <c r="D176" i="24"/>
  <c r="O175" i="24"/>
  <c r="N175" i="24"/>
  <c r="M175" i="24"/>
  <c r="L175" i="24"/>
  <c r="K175" i="24"/>
  <c r="J175" i="24"/>
  <c r="I175" i="24"/>
  <c r="H175" i="24"/>
  <c r="G175" i="24"/>
  <c r="F175" i="24"/>
  <c r="E175" i="24"/>
  <c r="D175" i="24"/>
  <c r="O174" i="24"/>
  <c r="N174" i="24"/>
  <c r="M174" i="24"/>
  <c r="L174" i="24"/>
  <c r="K174" i="24"/>
  <c r="J174" i="24"/>
  <c r="I174" i="24"/>
  <c r="H174" i="24"/>
  <c r="G174" i="24"/>
  <c r="F174" i="24"/>
  <c r="E174" i="24"/>
  <c r="D174" i="24"/>
  <c r="O173" i="24"/>
  <c r="N173" i="24"/>
  <c r="M173" i="24"/>
  <c r="L173" i="24"/>
  <c r="K173" i="24"/>
  <c r="J173" i="24"/>
  <c r="I173" i="24"/>
  <c r="H173" i="24"/>
  <c r="G173" i="24"/>
  <c r="F173" i="24"/>
  <c r="E173" i="24"/>
  <c r="D173" i="24"/>
  <c r="O172" i="24"/>
  <c r="N172" i="24"/>
  <c r="M172" i="24"/>
  <c r="L172" i="24"/>
  <c r="K172" i="24"/>
  <c r="J172" i="24"/>
  <c r="I172" i="24"/>
  <c r="H172" i="24"/>
  <c r="G172" i="24"/>
  <c r="F172" i="24"/>
  <c r="E172" i="24"/>
  <c r="D172" i="24"/>
  <c r="O171" i="24"/>
  <c r="N171" i="24"/>
  <c r="M171" i="24"/>
  <c r="L171" i="24"/>
  <c r="K171" i="24"/>
  <c r="J171" i="24"/>
  <c r="I171" i="24"/>
  <c r="H171" i="24"/>
  <c r="G171" i="24"/>
  <c r="F171" i="24"/>
  <c r="E171" i="24"/>
  <c r="D171" i="24"/>
  <c r="O170" i="24"/>
  <c r="N170" i="24"/>
  <c r="M170" i="24"/>
  <c r="L170" i="24"/>
  <c r="K170" i="24"/>
  <c r="J170" i="24"/>
  <c r="I170" i="24"/>
  <c r="H170" i="24"/>
  <c r="G170" i="24"/>
  <c r="F170" i="24"/>
  <c r="E170" i="24"/>
  <c r="D170" i="24"/>
  <c r="O169" i="24"/>
  <c r="N169" i="24"/>
  <c r="M169" i="24"/>
  <c r="L169" i="24"/>
  <c r="K169" i="24"/>
  <c r="J169" i="24"/>
  <c r="I169" i="24"/>
  <c r="H169" i="24"/>
  <c r="G169" i="24"/>
  <c r="F169" i="24"/>
  <c r="E169" i="24"/>
  <c r="D169" i="24"/>
  <c r="O168" i="24"/>
  <c r="N168" i="24"/>
  <c r="M168" i="24"/>
  <c r="L168" i="24"/>
  <c r="K168" i="24"/>
  <c r="J168" i="24"/>
  <c r="I168" i="24"/>
  <c r="H168" i="24"/>
  <c r="G168" i="24"/>
  <c r="F168" i="24"/>
  <c r="E168" i="24"/>
  <c r="D168" i="24"/>
  <c r="O167" i="24"/>
  <c r="N167" i="24"/>
  <c r="M167" i="24"/>
  <c r="L167" i="24"/>
  <c r="K167" i="24"/>
  <c r="J167" i="24"/>
  <c r="I167" i="24"/>
  <c r="H167" i="24"/>
  <c r="G167" i="24"/>
  <c r="F167" i="24"/>
  <c r="E167" i="24"/>
  <c r="D167" i="24"/>
  <c r="O166" i="24"/>
  <c r="N166" i="24"/>
  <c r="M166" i="24"/>
  <c r="L166" i="24"/>
  <c r="K166" i="24"/>
  <c r="J166" i="24"/>
  <c r="I166" i="24"/>
  <c r="H166" i="24"/>
  <c r="G166" i="24"/>
  <c r="F166" i="24"/>
  <c r="E166" i="24"/>
  <c r="D166" i="24"/>
  <c r="C166" i="24"/>
  <c r="B166" i="24"/>
  <c r="O165" i="24"/>
  <c r="N165" i="24"/>
  <c r="M165" i="24"/>
  <c r="L165" i="24"/>
  <c r="K165" i="24"/>
  <c r="J165" i="24"/>
  <c r="I165" i="24"/>
  <c r="H165" i="24"/>
  <c r="G165" i="24"/>
  <c r="F165" i="24"/>
  <c r="E165" i="24"/>
  <c r="D165" i="24"/>
  <c r="O164" i="24"/>
  <c r="N164" i="24"/>
  <c r="M164" i="24"/>
  <c r="L164" i="24"/>
  <c r="K164" i="24"/>
  <c r="J164" i="24"/>
  <c r="I164" i="24"/>
  <c r="H164" i="24"/>
  <c r="G164" i="24"/>
  <c r="F164" i="24"/>
  <c r="E164" i="24"/>
  <c r="D164" i="24"/>
  <c r="O163" i="24"/>
  <c r="N163" i="24"/>
  <c r="M163" i="24"/>
  <c r="L163" i="24"/>
  <c r="K163" i="24"/>
  <c r="J163" i="24"/>
  <c r="I163" i="24"/>
  <c r="H163" i="24"/>
  <c r="G163" i="24"/>
  <c r="F163" i="24"/>
  <c r="E163" i="24"/>
  <c r="D163" i="24"/>
  <c r="C163" i="24"/>
  <c r="O162" i="24"/>
  <c r="N162" i="24"/>
  <c r="M162" i="24"/>
  <c r="L162" i="24"/>
  <c r="K162" i="24"/>
  <c r="J162" i="24"/>
  <c r="I162" i="24"/>
  <c r="H162" i="24"/>
  <c r="G162" i="24"/>
  <c r="F162" i="24"/>
  <c r="E162" i="24"/>
  <c r="D162" i="24"/>
  <c r="O161" i="24"/>
  <c r="N161" i="24"/>
  <c r="M161" i="24"/>
  <c r="L161" i="24"/>
  <c r="K161" i="24"/>
  <c r="J161" i="24"/>
  <c r="I161" i="24"/>
  <c r="H161" i="24"/>
  <c r="G161" i="24"/>
  <c r="F161" i="24"/>
  <c r="E161" i="24"/>
  <c r="D161" i="24"/>
  <c r="O160" i="24"/>
  <c r="N160" i="24"/>
  <c r="M160" i="24"/>
  <c r="L160" i="24"/>
  <c r="K160" i="24"/>
  <c r="J160" i="24"/>
  <c r="I160" i="24"/>
  <c r="H160" i="24"/>
  <c r="G160" i="24"/>
  <c r="F160" i="24"/>
  <c r="E160" i="24"/>
  <c r="D160" i="24"/>
  <c r="C160" i="24"/>
  <c r="O159" i="24"/>
  <c r="N159" i="24"/>
  <c r="M159" i="24"/>
  <c r="L159" i="24"/>
  <c r="K159" i="24"/>
  <c r="J159" i="24"/>
  <c r="I159" i="24"/>
  <c r="H159" i="24"/>
  <c r="G159" i="24"/>
  <c r="F159" i="24"/>
  <c r="E159" i="24"/>
  <c r="D159" i="24"/>
  <c r="O158" i="24"/>
  <c r="N158" i="24"/>
  <c r="M158" i="24"/>
  <c r="L158" i="24"/>
  <c r="K158" i="24"/>
  <c r="J158" i="24"/>
  <c r="I158" i="24"/>
  <c r="H158" i="24"/>
  <c r="G158" i="24"/>
  <c r="F158" i="24"/>
  <c r="E158" i="24"/>
  <c r="D158" i="24"/>
  <c r="C158" i="24"/>
  <c r="O157" i="24"/>
  <c r="N157" i="24"/>
  <c r="M157" i="24"/>
  <c r="L157" i="24"/>
  <c r="K157" i="24"/>
  <c r="J157" i="24"/>
  <c r="I157" i="24"/>
  <c r="H157" i="24"/>
  <c r="G157" i="24"/>
  <c r="F157" i="24"/>
  <c r="E157" i="24"/>
  <c r="D157" i="24"/>
  <c r="O156" i="24"/>
  <c r="N156" i="24"/>
  <c r="M156" i="24"/>
  <c r="L156" i="24"/>
  <c r="K156" i="24"/>
  <c r="J156" i="24"/>
  <c r="I156" i="24"/>
  <c r="H156" i="24"/>
  <c r="G156" i="24"/>
  <c r="F156" i="24"/>
  <c r="E156" i="24"/>
  <c r="D156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O154" i="24"/>
  <c r="N154" i="24"/>
  <c r="M154" i="24"/>
  <c r="L154" i="24"/>
  <c r="K154" i="24"/>
  <c r="J154" i="24"/>
  <c r="I154" i="24"/>
  <c r="H154" i="24"/>
  <c r="G154" i="24"/>
  <c r="F154" i="24"/>
  <c r="E154" i="24"/>
  <c r="O153" i="24"/>
  <c r="N153" i="24"/>
  <c r="M153" i="24"/>
  <c r="L153" i="24"/>
  <c r="K153" i="24"/>
  <c r="J153" i="24"/>
  <c r="I153" i="24"/>
  <c r="H153" i="24"/>
  <c r="G153" i="24"/>
  <c r="F153" i="24"/>
  <c r="E153" i="24"/>
  <c r="O152" i="24"/>
  <c r="N152" i="24"/>
  <c r="M152" i="24"/>
  <c r="L152" i="24"/>
  <c r="J152" i="24"/>
  <c r="I152" i="24"/>
  <c r="H152" i="24"/>
  <c r="G152" i="24"/>
  <c r="F152" i="24"/>
  <c r="E152" i="24"/>
  <c r="C152" i="24"/>
  <c r="B152" i="24"/>
  <c r="O151" i="24"/>
  <c r="N151" i="24"/>
  <c r="M151" i="24"/>
  <c r="L151" i="24"/>
  <c r="K151" i="24"/>
  <c r="J151" i="24"/>
  <c r="I151" i="24"/>
  <c r="H151" i="24"/>
  <c r="G151" i="24"/>
  <c r="F151" i="24"/>
  <c r="E151" i="24"/>
  <c r="C151" i="24"/>
  <c r="O150" i="24"/>
  <c r="N150" i="24"/>
  <c r="M150" i="24"/>
  <c r="L150" i="24"/>
  <c r="K150" i="24"/>
  <c r="J150" i="24"/>
  <c r="I150" i="24"/>
  <c r="H150" i="24"/>
  <c r="G150" i="24"/>
  <c r="F150" i="24"/>
  <c r="E150" i="24"/>
  <c r="O149" i="24"/>
  <c r="N149" i="24"/>
  <c r="M149" i="24"/>
  <c r="L149" i="24"/>
  <c r="K149" i="24"/>
  <c r="J149" i="24"/>
  <c r="I149" i="24"/>
  <c r="H149" i="24"/>
  <c r="G149" i="24"/>
  <c r="F149" i="24"/>
  <c r="E149" i="24"/>
  <c r="C149" i="24"/>
  <c r="O148" i="24"/>
  <c r="N148" i="24"/>
  <c r="M148" i="24"/>
  <c r="L148" i="24"/>
  <c r="K148" i="24"/>
  <c r="J148" i="24"/>
  <c r="I148" i="24"/>
  <c r="H148" i="24"/>
  <c r="G148" i="24"/>
  <c r="F148" i="24"/>
  <c r="E148" i="24"/>
  <c r="O147" i="24"/>
  <c r="N147" i="24"/>
  <c r="M147" i="24"/>
  <c r="L147" i="24"/>
  <c r="K147" i="24"/>
  <c r="J147" i="24"/>
  <c r="I147" i="24"/>
  <c r="H147" i="24"/>
  <c r="G147" i="24"/>
  <c r="F147" i="24"/>
  <c r="E147" i="24"/>
  <c r="O146" i="24"/>
  <c r="N146" i="24"/>
  <c r="M146" i="24"/>
  <c r="L146" i="24"/>
  <c r="K146" i="24"/>
  <c r="J146" i="24"/>
  <c r="I146" i="24"/>
  <c r="H146" i="24"/>
  <c r="G146" i="24"/>
  <c r="F146" i="24"/>
  <c r="E146" i="24"/>
  <c r="C146" i="24"/>
  <c r="B146" i="24"/>
  <c r="O145" i="24"/>
  <c r="N145" i="24"/>
  <c r="M145" i="24"/>
  <c r="L145" i="24"/>
  <c r="K145" i="24"/>
  <c r="J145" i="24"/>
  <c r="I145" i="24"/>
  <c r="H145" i="24"/>
  <c r="G145" i="24"/>
  <c r="F145" i="24"/>
  <c r="E145" i="24"/>
  <c r="O144" i="24"/>
  <c r="N144" i="24"/>
  <c r="M144" i="24"/>
  <c r="L144" i="24"/>
  <c r="K144" i="24"/>
  <c r="J144" i="24"/>
  <c r="I144" i="24"/>
  <c r="H144" i="24"/>
  <c r="G144" i="24"/>
  <c r="F144" i="24"/>
  <c r="E144" i="24"/>
  <c r="O143" i="24"/>
  <c r="N143" i="24"/>
  <c r="M143" i="24"/>
  <c r="L143" i="24"/>
  <c r="K143" i="24"/>
  <c r="J143" i="24"/>
  <c r="I143" i="24"/>
  <c r="H143" i="24"/>
  <c r="G143" i="24"/>
  <c r="F143" i="24"/>
  <c r="E143" i="24"/>
  <c r="C143" i="24"/>
  <c r="O142" i="24"/>
  <c r="N142" i="24"/>
  <c r="M142" i="24"/>
  <c r="L142" i="24"/>
  <c r="K142" i="24"/>
  <c r="J142" i="24"/>
  <c r="I142" i="24"/>
  <c r="H142" i="24"/>
  <c r="G142" i="24"/>
  <c r="F142" i="24"/>
  <c r="E142" i="24"/>
  <c r="O141" i="24"/>
  <c r="N141" i="24"/>
  <c r="M141" i="24"/>
  <c r="L141" i="24"/>
  <c r="K141" i="24"/>
  <c r="J141" i="24"/>
  <c r="I141" i="24"/>
  <c r="H141" i="24"/>
  <c r="G141" i="24"/>
  <c r="F141" i="24"/>
  <c r="E141" i="24"/>
  <c r="O140" i="24"/>
  <c r="N140" i="24"/>
  <c r="M140" i="24"/>
  <c r="L140" i="24"/>
  <c r="K140" i="24"/>
  <c r="J140" i="24"/>
  <c r="I140" i="24"/>
  <c r="H140" i="24"/>
  <c r="G140" i="24"/>
  <c r="F140" i="24"/>
  <c r="E140" i="24"/>
  <c r="C140" i="24"/>
  <c r="O139" i="24"/>
  <c r="N139" i="24"/>
  <c r="M139" i="24"/>
  <c r="L139" i="24"/>
  <c r="K139" i="24"/>
  <c r="J139" i="24"/>
  <c r="I139" i="24"/>
  <c r="H139" i="24"/>
  <c r="G139" i="24"/>
  <c r="F139" i="24"/>
  <c r="E139" i="24"/>
  <c r="O138" i="24"/>
  <c r="N138" i="24"/>
  <c r="M138" i="24"/>
  <c r="L138" i="24"/>
  <c r="K138" i="24"/>
  <c r="J138" i="24"/>
  <c r="I138" i="24"/>
  <c r="H138" i="24"/>
  <c r="G138" i="24"/>
  <c r="F138" i="24"/>
  <c r="E138" i="24"/>
  <c r="O137" i="24"/>
  <c r="N137" i="24"/>
  <c r="M137" i="24"/>
  <c r="L137" i="24"/>
  <c r="K137" i="24"/>
  <c r="J137" i="24"/>
  <c r="I137" i="24"/>
  <c r="H137" i="24"/>
  <c r="G137" i="24"/>
  <c r="F137" i="24"/>
  <c r="E137" i="24"/>
  <c r="O136" i="24"/>
  <c r="N136" i="24"/>
  <c r="M136" i="24"/>
  <c r="L136" i="24"/>
  <c r="K136" i="24"/>
  <c r="J136" i="24"/>
  <c r="I136" i="24"/>
  <c r="H136" i="24"/>
  <c r="G136" i="24"/>
  <c r="F136" i="24"/>
  <c r="E136" i="24"/>
  <c r="O135" i="24"/>
  <c r="N135" i="24"/>
  <c r="M135" i="24"/>
  <c r="L135" i="24"/>
  <c r="K135" i="24"/>
  <c r="J135" i="24"/>
  <c r="I135" i="24"/>
  <c r="H135" i="24"/>
  <c r="G135" i="24"/>
  <c r="F135" i="24"/>
  <c r="E135" i="24"/>
  <c r="O134" i="24"/>
  <c r="N134" i="24"/>
  <c r="M134" i="24"/>
  <c r="L134" i="24"/>
  <c r="K134" i="24"/>
  <c r="J134" i="24"/>
  <c r="I134" i="24"/>
  <c r="H134" i="24"/>
  <c r="G134" i="24"/>
  <c r="F134" i="24"/>
  <c r="E134" i="24"/>
  <c r="O133" i="24"/>
  <c r="N133" i="24"/>
  <c r="M133" i="24"/>
  <c r="L133" i="24"/>
  <c r="K133" i="24"/>
  <c r="J133" i="24"/>
  <c r="I133" i="24"/>
  <c r="H133" i="24"/>
  <c r="G133" i="24"/>
  <c r="F133" i="24"/>
  <c r="E133" i="24"/>
  <c r="O132" i="24"/>
  <c r="N132" i="24"/>
  <c r="M132" i="24"/>
  <c r="L132" i="24"/>
  <c r="K132" i="24"/>
  <c r="J132" i="24"/>
  <c r="I132" i="24"/>
  <c r="H132" i="24"/>
  <c r="G132" i="24"/>
  <c r="F132" i="24"/>
  <c r="E132" i="24"/>
  <c r="O131" i="24"/>
  <c r="N131" i="24"/>
  <c r="M131" i="24"/>
  <c r="L131" i="24"/>
  <c r="K131" i="24"/>
  <c r="J131" i="24"/>
  <c r="I131" i="24"/>
  <c r="H131" i="24"/>
  <c r="G131" i="24"/>
  <c r="F131" i="24"/>
  <c r="E131" i="24"/>
  <c r="O130" i="24"/>
  <c r="N130" i="24"/>
  <c r="M130" i="24"/>
  <c r="L130" i="24"/>
  <c r="K130" i="24"/>
  <c r="J130" i="24"/>
  <c r="I130" i="24"/>
  <c r="H130" i="24"/>
  <c r="G130" i="24"/>
  <c r="F130" i="24"/>
  <c r="E130" i="24"/>
  <c r="O129" i="24"/>
  <c r="N129" i="24"/>
  <c r="M129" i="24"/>
  <c r="L129" i="24"/>
  <c r="K129" i="24"/>
  <c r="J129" i="24"/>
  <c r="I129" i="24"/>
  <c r="H129" i="24"/>
  <c r="G129" i="24"/>
  <c r="F129" i="24"/>
  <c r="E129" i="24"/>
  <c r="O128" i="24"/>
  <c r="N128" i="24"/>
  <c r="M128" i="24"/>
  <c r="L128" i="24"/>
  <c r="K128" i="24"/>
  <c r="J128" i="24"/>
  <c r="I128" i="24"/>
  <c r="H128" i="24"/>
  <c r="G128" i="24"/>
  <c r="F128" i="24"/>
  <c r="E128" i="24"/>
  <c r="C128" i="24"/>
  <c r="B128" i="24"/>
  <c r="O127" i="24"/>
  <c r="N127" i="24"/>
  <c r="M127" i="24"/>
  <c r="L127" i="24"/>
  <c r="K127" i="24"/>
  <c r="J127" i="24"/>
  <c r="I127" i="24"/>
  <c r="H127" i="24"/>
  <c r="G127" i="24"/>
  <c r="F127" i="24"/>
  <c r="E127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O125" i="24"/>
  <c r="N125" i="24"/>
  <c r="M125" i="24"/>
  <c r="L125" i="24"/>
  <c r="K125" i="24"/>
  <c r="J125" i="24"/>
  <c r="I125" i="24"/>
  <c r="H125" i="24"/>
  <c r="G125" i="24"/>
  <c r="F125" i="24"/>
  <c r="E125" i="24"/>
  <c r="C125" i="24"/>
  <c r="O124" i="24"/>
  <c r="N124" i="24"/>
  <c r="M124" i="24"/>
  <c r="L124" i="24"/>
  <c r="K124" i="24"/>
  <c r="J124" i="24"/>
  <c r="I124" i="24"/>
  <c r="H124" i="24"/>
  <c r="G124" i="24"/>
  <c r="F124" i="24"/>
  <c r="E124" i="24"/>
  <c r="O123" i="24"/>
  <c r="N123" i="24"/>
  <c r="M123" i="24"/>
  <c r="L123" i="24"/>
  <c r="K123" i="24"/>
  <c r="J123" i="24"/>
  <c r="I123" i="24"/>
  <c r="H123" i="24"/>
  <c r="G123" i="24"/>
  <c r="F123" i="24"/>
  <c r="E123" i="24"/>
  <c r="O122" i="24"/>
  <c r="N122" i="24"/>
  <c r="M122" i="24"/>
  <c r="L122" i="24"/>
  <c r="K122" i="24"/>
  <c r="J122" i="24"/>
  <c r="I122" i="24"/>
  <c r="H122" i="24"/>
  <c r="G122" i="24"/>
  <c r="F122" i="24"/>
  <c r="E122" i="24"/>
  <c r="C122" i="24"/>
  <c r="O121" i="24"/>
  <c r="N121" i="24"/>
  <c r="M121" i="24"/>
  <c r="L121" i="24"/>
  <c r="K121" i="24"/>
  <c r="J121" i="24"/>
  <c r="I121" i="24"/>
  <c r="H121" i="24"/>
  <c r="G121" i="24"/>
  <c r="F121" i="24"/>
  <c r="E121" i="24"/>
  <c r="O120" i="24"/>
  <c r="N120" i="24"/>
  <c r="M120" i="24"/>
  <c r="L120" i="24"/>
  <c r="K120" i="24"/>
  <c r="J120" i="24"/>
  <c r="I120" i="24"/>
  <c r="H120" i="24"/>
  <c r="G120" i="24"/>
  <c r="F120" i="24"/>
  <c r="E120" i="24"/>
  <c r="C120" i="24"/>
  <c r="O119" i="24"/>
  <c r="N119" i="24"/>
  <c r="M119" i="24"/>
  <c r="L119" i="24"/>
  <c r="K119" i="24"/>
  <c r="J119" i="24"/>
  <c r="I119" i="24"/>
  <c r="H119" i="24"/>
  <c r="G119" i="24"/>
  <c r="F119" i="24"/>
  <c r="E119" i="24"/>
  <c r="O118" i="24"/>
  <c r="N118" i="24"/>
  <c r="M118" i="24"/>
  <c r="L118" i="24"/>
  <c r="K118" i="24"/>
  <c r="J118" i="24"/>
  <c r="I118" i="24"/>
  <c r="H118" i="24"/>
  <c r="G118" i="24"/>
  <c r="F118" i="24"/>
  <c r="E118" i="24"/>
  <c r="O117" i="24"/>
  <c r="N117" i="24"/>
  <c r="M117" i="24"/>
  <c r="L117" i="24"/>
  <c r="K117" i="24"/>
  <c r="J117" i="24"/>
  <c r="I117" i="24"/>
  <c r="H117" i="24"/>
  <c r="G117" i="24"/>
  <c r="F117" i="24"/>
  <c r="E117" i="24"/>
  <c r="C117" i="24"/>
  <c r="C118" i="24" s="1"/>
  <c r="B117" i="24"/>
  <c r="O116" i="24"/>
  <c r="N116" i="24"/>
  <c r="M116" i="24"/>
  <c r="L116" i="24"/>
  <c r="K116" i="24"/>
  <c r="J116" i="24"/>
  <c r="I116" i="24"/>
  <c r="H116" i="24"/>
  <c r="G116" i="24"/>
  <c r="F116" i="24"/>
  <c r="E116" i="24"/>
  <c r="O115" i="24"/>
  <c r="N115" i="24"/>
  <c r="M115" i="24"/>
  <c r="L115" i="24"/>
  <c r="K115" i="24"/>
  <c r="J115" i="24"/>
  <c r="I115" i="24"/>
  <c r="H115" i="24"/>
  <c r="G115" i="24"/>
  <c r="F115" i="24"/>
  <c r="E115" i="24"/>
  <c r="O114" i="24"/>
  <c r="N114" i="24"/>
  <c r="M114" i="24"/>
  <c r="L114" i="24"/>
  <c r="K114" i="24"/>
  <c r="J114" i="24"/>
  <c r="I114" i="24"/>
  <c r="H114" i="24"/>
  <c r="G114" i="24"/>
  <c r="F114" i="24"/>
  <c r="E114" i="24"/>
  <c r="C114" i="24"/>
  <c r="B114" i="24"/>
  <c r="O113" i="24"/>
  <c r="N113" i="24"/>
  <c r="M113" i="24"/>
  <c r="L113" i="24"/>
  <c r="K113" i="24"/>
  <c r="J113" i="24"/>
  <c r="I113" i="24"/>
  <c r="H113" i="24"/>
  <c r="G113" i="24"/>
  <c r="F113" i="24"/>
  <c r="E113" i="24"/>
  <c r="C113" i="24"/>
  <c r="O112" i="24"/>
  <c r="N112" i="24"/>
  <c r="M112" i="24"/>
  <c r="L112" i="24"/>
  <c r="K112" i="24"/>
  <c r="J112" i="24"/>
  <c r="I112" i="24"/>
  <c r="H112" i="24"/>
  <c r="G112" i="24"/>
  <c r="F112" i="24"/>
  <c r="E112" i="24"/>
  <c r="O111" i="24"/>
  <c r="N111" i="24"/>
  <c r="M111" i="24"/>
  <c r="L111" i="24"/>
  <c r="K111" i="24"/>
  <c r="J111" i="24"/>
  <c r="I111" i="24"/>
  <c r="H111" i="24"/>
  <c r="G111" i="24"/>
  <c r="F111" i="24"/>
  <c r="E111" i="24"/>
  <c r="C111" i="24"/>
  <c r="O110" i="24"/>
  <c r="N110" i="24"/>
  <c r="M110" i="24"/>
  <c r="L110" i="24"/>
  <c r="K110" i="24"/>
  <c r="J110" i="24"/>
  <c r="I110" i="24"/>
  <c r="H110" i="24"/>
  <c r="G110" i="24"/>
  <c r="F110" i="24"/>
  <c r="E110" i="24"/>
  <c r="O109" i="24"/>
  <c r="N109" i="24"/>
  <c r="M109" i="24"/>
  <c r="L109" i="24"/>
  <c r="K109" i="24"/>
  <c r="J109" i="24"/>
  <c r="I109" i="24"/>
  <c r="H109" i="24"/>
  <c r="G109" i="24"/>
  <c r="F109" i="24"/>
  <c r="E109" i="24"/>
  <c r="O108" i="24"/>
  <c r="N108" i="24"/>
  <c r="M108" i="24"/>
  <c r="L108" i="24"/>
  <c r="K108" i="24"/>
  <c r="J108" i="24"/>
  <c r="I108" i="24"/>
  <c r="H108" i="24"/>
  <c r="G108" i="24"/>
  <c r="F108" i="24"/>
  <c r="E108" i="24"/>
  <c r="C108" i="24"/>
  <c r="B108" i="24"/>
  <c r="O107" i="24"/>
  <c r="N107" i="24"/>
  <c r="M107" i="24"/>
  <c r="L107" i="24"/>
  <c r="K107" i="24"/>
  <c r="J107" i="24"/>
  <c r="I107" i="24"/>
  <c r="H107" i="24"/>
  <c r="G107" i="24"/>
  <c r="F107" i="24"/>
  <c r="E107" i="24"/>
  <c r="O106" i="24"/>
  <c r="N106" i="24"/>
  <c r="M106" i="24"/>
  <c r="L106" i="24"/>
  <c r="K106" i="24"/>
  <c r="J106" i="24"/>
  <c r="I106" i="24"/>
  <c r="H106" i="24"/>
  <c r="G106" i="24"/>
  <c r="F106" i="24"/>
  <c r="E106" i="24"/>
  <c r="O105" i="24"/>
  <c r="N105" i="24"/>
  <c r="M105" i="24"/>
  <c r="L105" i="24"/>
  <c r="K105" i="24"/>
  <c r="J105" i="24"/>
  <c r="I105" i="24"/>
  <c r="H105" i="24"/>
  <c r="G105" i="24"/>
  <c r="F105" i="24"/>
  <c r="E105" i="24"/>
  <c r="C105" i="24"/>
  <c r="O104" i="24"/>
  <c r="N104" i="24"/>
  <c r="M104" i="24"/>
  <c r="L104" i="24"/>
  <c r="K104" i="24"/>
  <c r="J104" i="24"/>
  <c r="I104" i="24"/>
  <c r="H104" i="24"/>
  <c r="G104" i="24"/>
  <c r="F104" i="24"/>
  <c r="E104" i="24"/>
  <c r="O103" i="24"/>
  <c r="N103" i="24"/>
  <c r="M103" i="24"/>
  <c r="L103" i="24"/>
  <c r="K103" i="24"/>
  <c r="J103" i="24"/>
  <c r="I103" i="24"/>
  <c r="H103" i="24"/>
  <c r="G103" i="24"/>
  <c r="F103" i="24"/>
  <c r="E103" i="24"/>
  <c r="O102" i="24"/>
  <c r="N102" i="24"/>
  <c r="M102" i="24"/>
  <c r="L102" i="24"/>
  <c r="K102" i="24"/>
  <c r="J102" i="24"/>
  <c r="I102" i="24"/>
  <c r="H102" i="24"/>
  <c r="G102" i="24"/>
  <c r="F102" i="24"/>
  <c r="E102" i="24"/>
  <c r="C102" i="24"/>
  <c r="O101" i="24"/>
  <c r="N101" i="24"/>
  <c r="M101" i="24"/>
  <c r="L101" i="24"/>
  <c r="K101" i="24"/>
  <c r="J101" i="24"/>
  <c r="I101" i="24"/>
  <c r="H101" i="24"/>
  <c r="G101" i="24"/>
  <c r="F101" i="24"/>
  <c r="E101" i="24"/>
  <c r="O100" i="24"/>
  <c r="N100" i="24"/>
  <c r="M100" i="24"/>
  <c r="L100" i="24"/>
  <c r="K100" i="24"/>
  <c r="J100" i="24"/>
  <c r="I100" i="24"/>
  <c r="H100" i="24"/>
  <c r="G100" i="24"/>
  <c r="F100" i="24"/>
  <c r="E100" i="24"/>
  <c r="O99" i="24"/>
  <c r="N99" i="24"/>
  <c r="M99" i="24"/>
  <c r="L99" i="24"/>
  <c r="K99" i="24"/>
  <c r="J99" i="24"/>
  <c r="I99" i="24"/>
  <c r="H99" i="24"/>
  <c r="G99" i="24"/>
  <c r="F99" i="24"/>
  <c r="E99" i="24"/>
  <c r="O98" i="24"/>
  <c r="N98" i="24"/>
  <c r="M98" i="24"/>
  <c r="L98" i="24"/>
  <c r="K98" i="24"/>
  <c r="J98" i="24"/>
  <c r="I98" i="24"/>
  <c r="H98" i="24"/>
  <c r="G98" i="24"/>
  <c r="F98" i="24"/>
  <c r="E98" i="24"/>
  <c r="O97" i="24"/>
  <c r="N97" i="24"/>
  <c r="M97" i="24"/>
  <c r="L97" i="24"/>
  <c r="K97" i="24"/>
  <c r="J97" i="24"/>
  <c r="I97" i="24"/>
  <c r="H97" i="24"/>
  <c r="G97" i="24"/>
  <c r="F97" i="24"/>
  <c r="E97" i="24"/>
  <c r="O96" i="24"/>
  <c r="N96" i="24"/>
  <c r="M96" i="24"/>
  <c r="L96" i="24"/>
  <c r="K96" i="24"/>
  <c r="J96" i="24"/>
  <c r="I96" i="24"/>
  <c r="H96" i="24"/>
  <c r="G96" i="24"/>
  <c r="F96" i="24"/>
  <c r="E96" i="24"/>
  <c r="O95" i="24"/>
  <c r="N95" i="24"/>
  <c r="M95" i="24"/>
  <c r="L95" i="24"/>
  <c r="K95" i="24"/>
  <c r="J95" i="24"/>
  <c r="I95" i="24"/>
  <c r="H95" i="24"/>
  <c r="G95" i="24"/>
  <c r="F95" i="24"/>
  <c r="E95" i="24"/>
  <c r="O94" i="24"/>
  <c r="N94" i="24"/>
  <c r="M94" i="24"/>
  <c r="L94" i="24"/>
  <c r="K94" i="24"/>
  <c r="J94" i="24"/>
  <c r="I94" i="24"/>
  <c r="H94" i="24"/>
  <c r="G94" i="24"/>
  <c r="F94" i="24"/>
  <c r="E94" i="24"/>
  <c r="O93" i="24"/>
  <c r="N93" i="24"/>
  <c r="M93" i="24"/>
  <c r="L93" i="24"/>
  <c r="K93" i="24"/>
  <c r="J93" i="24"/>
  <c r="I93" i="24"/>
  <c r="H93" i="24"/>
  <c r="G93" i="24"/>
  <c r="F93" i="24"/>
  <c r="E93" i="24"/>
  <c r="O92" i="24"/>
  <c r="N92" i="24"/>
  <c r="M92" i="24"/>
  <c r="L92" i="24"/>
  <c r="K92" i="24"/>
  <c r="J92" i="24"/>
  <c r="I92" i="24"/>
  <c r="H92" i="24"/>
  <c r="G92" i="24"/>
  <c r="F92" i="24"/>
  <c r="E92" i="24"/>
  <c r="O91" i="24"/>
  <c r="N91" i="24"/>
  <c r="M91" i="24"/>
  <c r="L91" i="24"/>
  <c r="K91" i="24"/>
  <c r="J91" i="24"/>
  <c r="I91" i="24"/>
  <c r="H91" i="24"/>
  <c r="G91" i="24"/>
  <c r="F91" i="24"/>
  <c r="E91" i="24"/>
  <c r="O90" i="24"/>
  <c r="N90" i="24"/>
  <c r="M90" i="24"/>
  <c r="L90" i="24"/>
  <c r="K90" i="24"/>
  <c r="J90" i="24"/>
  <c r="I90" i="24"/>
  <c r="H90" i="24"/>
  <c r="G90" i="24"/>
  <c r="F90" i="24"/>
  <c r="E90" i="24"/>
  <c r="C90" i="24"/>
  <c r="C99" i="24" s="1"/>
  <c r="B90" i="24"/>
  <c r="O89" i="24"/>
  <c r="N89" i="24"/>
  <c r="M89" i="24"/>
  <c r="L89" i="24"/>
  <c r="K89" i="24"/>
  <c r="J89" i="24"/>
  <c r="I89" i="24"/>
  <c r="H89" i="24"/>
  <c r="G89" i="24"/>
  <c r="F89" i="24"/>
  <c r="E89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O87" i="24"/>
  <c r="N87" i="24"/>
  <c r="M87" i="24"/>
  <c r="L87" i="24"/>
  <c r="K87" i="24"/>
  <c r="J87" i="24"/>
  <c r="I87" i="24"/>
  <c r="H87" i="24"/>
  <c r="G87" i="24"/>
  <c r="F87" i="24"/>
  <c r="E87" i="24"/>
  <c r="C87" i="24"/>
  <c r="O86" i="24"/>
  <c r="N86" i="24"/>
  <c r="M86" i="24"/>
  <c r="L86" i="24"/>
  <c r="K86" i="24"/>
  <c r="J86" i="24"/>
  <c r="I86" i="24"/>
  <c r="H86" i="24"/>
  <c r="G86" i="24"/>
  <c r="F86" i="24"/>
  <c r="E86" i="24"/>
  <c r="O85" i="24"/>
  <c r="N85" i="24"/>
  <c r="M85" i="24"/>
  <c r="L85" i="24"/>
  <c r="K85" i="24"/>
  <c r="J85" i="24"/>
  <c r="I85" i="24"/>
  <c r="H85" i="24"/>
  <c r="G85" i="24"/>
  <c r="F85" i="24"/>
  <c r="E85" i="24"/>
  <c r="O84" i="24"/>
  <c r="N84" i="24"/>
  <c r="M84" i="24"/>
  <c r="L84" i="24"/>
  <c r="K84" i="24"/>
  <c r="J84" i="24"/>
  <c r="I84" i="24"/>
  <c r="H84" i="24"/>
  <c r="G84" i="24"/>
  <c r="F84" i="24"/>
  <c r="E84" i="24"/>
  <c r="C84" i="24"/>
  <c r="O83" i="24"/>
  <c r="N83" i="24"/>
  <c r="M83" i="24"/>
  <c r="L83" i="24"/>
  <c r="K83" i="24"/>
  <c r="J83" i="24"/>
  <c r="I83" i="24"/>
  <c r="H83" i="24"/>
  <c r="G83" i="24"/>
  <c r="F83" i="24"/>
  <c r="E83" i="24"/>
  <c r="O82" i="24"/>
  <c r="N82" i="24"/>
  <c r="M82" i="24"/>
  <c r="L82" i="24"/>
  <c r="K82" i="24"/>
  <c r="J82" i="24"/>
  <c r="I82" i="24"/>
  <c r="H82" i="24"/>
  <c r="G82" i="24"/>
  <c r="F82" i="24"/>
  <c r="E82" i="24"/>
  <c r="C82" i="24"/>
  <c r="O81" i="24"/>
  <c r="N81" i="24"/>
  <c r="M81" i="24"/>
  <c r="L81" i="24"/>
  <c r="K81" i="24"/>
  <c r="J81" i="24"/>
  <c r="I81" i="24"/>
  <c r="H81" i="24"/>
  <c r="G81" i="24"/>
  <c r="F81" i="24"/>
  <c r="E81" i="24"/>
  <c r="O80" i="24"/>
  <c r="N80" i="24"/>
  <c r="M80" i="24"/>
  <c r="L80" i="24"/>
  <c r="K80" i="24"/>
  <c r="J80" i="24"/>
  <c r="I80" i="24"/>
  <c r="H80" i="24"/>
  <c r="G80" i="24"/>
  <c r="F80" i="24"/>
  <c r="E80" i="24"/>
  <c r="O79" i="24"/>
  <c r="N79" i="24"/>
  <c r="M79" i="24"/>
  <c r="L79" i="24"/>
  <c r="K79" i="24"/>
  <c r="J79" i="24"/>
  <c r="I79" i="24"/>
  <c r="H79" i="24"/>
  <c r="G79" i="24"/>
  <c r="F79" i="24"/>
  <c r="E79" i="24"/>
  <c r="C79" i="24"/>
  <c r="B79" i="24"/>
  <c r="O78" i="24"/>
  <c r="N78" i="24"/>
  <c r="M78" i="24"/>
  <c r="L78" i="24"/>
  <c r="K78" i="24"/>
  <c r="J78" i="24"/>
  <c r="I78" i="24"/>
  <c r="H78" i="24"/>
  <c r="G78" i="24"/>
  <c r="F78" i="24"/>
  <c r="E78" i="24"/>
  <c r="O77" i="24"/>
  <c r="N77" i="24"/>
  <c r="M77" i="24"/>
  <c r="L77" i="24"/>
  <c r="K77" i="24"/>
  <c r="J77" i="24"/>
  <c r="I77" i="24"/>
  <c r="H77" i="24"/>
  <c r="G77" i="24"/>
  <c r="F77" i="24"/>
  <c r="E77" i="24"/>
  <c r="O76" i="24"/>
  <c r="N76" i="24"/>
  <c r="M76" i="24"/>
  <c r="L76" i="24"/>
  <c r="K76" i="24"/>
  <c r="J76" i="24"/>
  <c r="I76" i="24"/>
  <c r="H76" i="24"/>
  <c r="G76" i="24"/>
  <c r="F76" i="24"/>
  <c r="E76" i="24"/>
  <c r="C76" i="24"/>
  <c r="B76" i="24"/>
  <c r="O75" i="24"/>
  <c r="N75" i="24"/>
  <c r="M75" i="24"/>
  <c r="L75" i="24"/>
  <c r="K75" i="24"/>
  <c r="J75" i="24"/>
  <c r="I75" i="24"/>
  <c r="H75" i="24"/>
  <c r="G75" i="24"/>
  <c r="F75" i="24"/>
  <c r="E75" i="24"/>
  <c r="C75" i="24"/>
  <c r="O74" i="24"/>
  <c r="N74" i="24"/>
  <c r="M74" i="24"/>
  <c r="L74" i="24"/>
  <c r="K74" i="24"/>
  <c r="J74" i="24"/>
  <c r="I74" i="24"/>
  <c r="H74" i="24"/>
  <c r="G74" i="24"/>
  <c r="F74" i="24"/>
  <c r="E74" i="24"/>
  <c r="O73" i="24"/>
  <c r="N73" i="24"/>
  <c r="M73" i="24"/>
  <c r="L73" i="24"/>
  <c r="K73" i="24"/>
  <c r="J73" i="24"/>
  <c r="I73" i="24"/>
  <c r="H73" i="24"/>
  <c r="G73" i="24"/>
  <c r="F73" i="24"/>
  <c r="E73" i="24"/>
  <c r="C73" i="24"/>
  <c r="O72" i="24"/>
  <c r="N72" i="24"/>
  <c r="M72" i="24"/>
  <c r="L72" i="24"/>
  <c r="K72" i="24"/>
  <c r="J72" i="24"/>
  <c r="I72" i="24"/>
  <c r="H72" i="24"/>
  <c r="G72" i="24"/>
  <c r="F72" i="24"/>
  <c r="E72" i="24"/>
  <c r="O71" i="24"/>
  <c r="N71" i="24"/>
  <c r="M71" i="24"/>
  <c r="L71" i="24"/>
  <c r="K71" i="24"/>
  <c r="J71" i="24"/>
  <c r="I71" i="24"/>
  <c r="H71" i="24"/>
  <c r="G71" i="24"/>
  <c r="F71" i="24"/>
  <c r="E71" i="24"/>
  <c r="O70" i="24"/>
  <c r="N70" i="24"/>
  <c r="M70" i="24"/>
  <c r="L70" i="24"/>
  <c r="K70" i="24"/>
  <c r="J70" i="24"/>
  <c r="I70" i="24"/>
  <c r="H70" i="24"/>
  <c r="G70" i="24"/>
  <c r="F70" i="24"/>
  <c r="E70" i="24"/>
  <c r="C70" i="24"/>
  <c r="B70" i="24"/>
  <c r="O69" i="24"/>
  <c r="N69" i="24"/>
  <c r="M69" i="24"/>
  <c r="L69" i="24"/>
  <c r="K69" i="24"/>
  <c r="J69" i="24"/>
  <c r="I69" i="24"/>
  <c r="H69" i="24"/>
  <c r="G69" i="24"/>
  <c r="F69" i="24"/>
  <c r="E69" i="24"/>
  <c r="O68" i="24"/>
  <c r="N68" i="24"/>
  <c r="M68" i="24"/>
  <c r="L68" i="24"/>
  <c r="K68" i="24"/>
  <c r="J68" i="24"/>
  <c r="I68" i="24"/>
  <c r="H68" i="24"/>
  <c r="G68" i="24"/>
  <c r="F68" i="24"/>
  <c r="E68" i="24"/>
  <c r="O67" i="24"/>
  <c r="N67" i="24"/>
  <c r="M67" i="24"/>
  <c r="L67" i="24"/>
  <c r="K67" i="24"/>
  <c r="J67" i="24"/>
  <c r="I67" i="24"/>
  <c r="H67" i="24"/>
  <c r="G67" i="24"/>
  <c r="F67" i="24"/>
  <c r="E67" i="24"/>
  <c r="C67" i="24"/>
  <c r="O66" i="24"/>
  <c r="N66" i="24"/>
  <c r="M66" i="24"/>
  <c r="L66" i="24"/>
  <c r="K66" i="24"/>
  <c r="J66" i="24"/>
  <c r="I66" i="24"/>
  <c r="H66" i="24"/>
  <c r="G66" i="24"/>
  <c r="F66" i="24"/>
  <c r="E66" i="24"/>
  <c r="O65" i="24"/>
  <c r="N65" i="24"/>
  <c r="M65" i="24"/>
  <c r="L65" i="24"/>
  <c r="K65" i="24"/>
  <c r="J65" i="24"/>
  <c r="I65" i="24"/>
  <c r="H65" i="24"/>
  <c r="G65" i="24"/>
  <c r="F65" i="24"/>
  <c r="E65" i="24"/>
  <c r="O64" i="24"/>
  <c r="N64" i="24"/>
  <c r="M64" i="24"/>
  <c r="L64" i="24"/>
  <c r="K64" i="24"/>
  <c r="J64" i="24"/>
  <c r="I64" i="24"/>
  <c r="H64" i="24"/>
  <c r="G64" i="24"/>
  <c r="F64" i="24"/>
  <c r="E64" i="24"/>
  <c r="C64" i="24"/>
  <c r="O63" i="24"/>
  <c r="N63" i="24"/>
  <c r="M63" i="24"/>
  <c r="L63" i="24"/>
  <c r="K63" i="24"/>
  <c r="J63" i="24"/>
  <c r="I63" i="24"/>
  <c r="H63" i="24"/>
  <c r="G63" i="24"/>
  <c r="F63" i="24"/>
  <c r="E63" i="24"/>
  <c r="O62" i="24"/>
  <c r="N62" i="24"/>
  <c r="M62" i="24"/>
  <c r="L62" i="24"/>
  <c r="K62" i="24"/>
  <c r="J62" i="24"/>
  <c r="I62" i="24"/>
  <c r="H62" i="24"/>
  <c r="G62" i="24"/>
  <c r="F62" i="24"/>
  <c r="E62" i="24"/>
  <c r="O61" i="24"/>
  <c r="N61" i="24"/>
  <c r="M61" i="24"/>
  <c r="L61" i="24"/>
  <c r="K61" i="24"/>
  <c r="J61" i="24"/>
  <c r="I61" i="24"/>
  <c r="H61" i="24"/>
  <c r="G61" i="24"/>
  <c r="F61" i="24"/>
  <c r="E61" i="24"/>
  <c r="O60" i="24"/>
  <c r="N60" i="24"/>
  <c r="M60" i="24"/>
  <c r="L60" i="24"/>
  <c r="K60" i="24"/>
  <c r="J60" i="24"/>
  <c r="I60" i="24"/>
  <c r="H60" i="24"/>
  <c r="G60" i="24"/>
  <c r="F60" i="24"/>
  <c r="E60" i="24"/>
  <c r="O59" i="24"/>
  <c r="N59" i="24"/>
  <c r="M59" i="24"/>
  <c r="L59" i="24"/>
  <c r="K59" i="24"/>
  <c r="J59" i="24"/>
  <c r="I59" i="24"/>
  <c r="H59" i="24"/>
  <c r="G59" i="24"/>
  <c r="F59" i="24"/>
  <c r="E59" i="24"/>
  <c r="O58" i="24"/>
  <c r="N58" i="24"/>
  <c r="M58" i="24"/>
  <c r="L58" i="24"/>
  <c r="K58" i="24"/>
  <c r="J58" i="24"/>
  <c r="I58" i="24"/>
  <c r="H58" i="24"/>
  <c r="G58" i="24"/>
  <c r="F58" i="24"/>
  <c r="E58" i="24"/>
  <c r="O57" i="24"/>
  <c r="N57" i="24"/>
  <c r="M57" i="24"/>
  <c r="L57" i="24"/>
  <c r="K57" i="24"/>
  <c r="J57" i="24"/>
  <c r="I57" i="24"/>
  <c r="H57" i="24"/>
  <c r="G57" i="24"/>
  <c r="F57" i="24"/>
  <c r="E57" i="24"/>
  <c r="O56" i="24"/>
  <c r="N56" i="24"/>
  <c r="M56" i="24"/>
  <c r="L56" i="24"/>
  <c r="K56" i="24"/>
  <c r="J56" i="24"/>
  <c r="I56" i="24"/>
  <c r="H56" i="24"/>
  <c r="G56" i="24"/>
  <c r="F56" i="24"/>
  <c r="E56" i="24"/>
  <c r="O55" i="24"/>
  <c r="N55" i="24"/>
  <c r="M55" i="24"/>
  <c r="L55" i="24"/>
  <c r="K55" i="24"/>
  <c r="J55" i="24"/>
  <c r="I55" i="24"/>
  <c r="H55" i="24"/>
  <c r="G55" i="24"/>
  <c r="F55" i="24"/>
  <c r="E55" i="24"/>
  <c r="O54" i="24"/>
  <c r="N54" i="24"/>
  <c r="M54" i="24"/>
  <c r="L54" i="24"/>
  <c r="K54" i="24"/>
  <c r="J54" i="24"/>
  <c r="I54" i="24"/>
  <c r="H54" i="24"/>
  <c r="G54" i="24"/>
  <c r="F54" i="24"/>
  <c r="E54" i="24"/>
  <c r="O53" i="24"/>
  <c r="N53" i="24"/>
  <c r="M53" i="24"/>
  <c r="L53" i="24"/>
  <c r="K53" i="24"/>
  <c r="J53" i="24"/>
  <c r="I53" i="24"/>
  <c r="H53" i="24"/>
  <c r="G53" i="24"/>
  <c r="F53" i="24"/>
  <c r="E53" i="24"/>
  <c r="O52" i="24"/>
  <c r="N52" i="24"/>
  <c r="M52" i="24"/>
  <c r="L52" i="24"/>
  <c r="K52" i="24"/>
  <c r="J52" i="24"/>
  <c r="I52" i="24"/>
  <c r="H52" i="24"/>
  <c r="G52" i="24"/>
  <c r="F52" i="24"/>
  <c r="E52" i="24"/>
  <c r="C52" i="24"/>
  <c r="B52" i="24"/>
  <c r="O51" i="24"/>
  <c r="N51" i="24"/>
  <c r="M51" i="24"/>
  <c r="L51" i="24"/>
  <c r="K51" i="24"/>
  <c r="J51" i="24"/>
  <c r="I51" i="24"/>
  <c r="H51" i="24"/>
  <c r="G51" i="24"/>
  <c r="F51" i="24"/>
  <c r="E51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O49" i="24"/>
  <c r="N49" i="24"/>
  <c r="M49" i="24"/>
  <c r="L49" i="24"/>
  <c r="K49" i="24"/>
  <c r="J49" i="24"/>
  <c r="I49" i="24"/>
  <c r="H49" i="24"/>
  <c r="G49" i="24"/>
  <c r="F49" i="24"/>
  <c r="E49" i="24"/>
  <c r="C49" i="24"/>
  <c r="O48" i="24"/>
  <c r="N48" i="24"/>
  <c r="M48" i="24"/>
  <c r="L48" i="24"/>
  <c r="K48" i="24"/>
  <c r="J48" i="24"/>
  <c r="I48" i="24"/>
  <c r="H48" i="24"/>
  <c r="G48" i="24"/>
  <c r="F48" i="24"/>
  <c r="E48" i="24"/>
  <c r="O47" i="24"/>
  <c r="N47" i="24"/>
  <c r="M47" i="24"/>
  <c r="L47" i="24"/>
  <c r="K47" i="24"/>
  <c r="J47" i="24"/>
  <c r="I47" i="24"/>
  <c r="H47" i="24"/>
  <c r="G47" i="24"/>
  <c r="F47" i="24"/>
  <c r="E47" i="24"/>
  <c r="O46" i="24"/>
  <c r="N46" i="24"/>
  <c r="M46" i="24"/>
  <c r="L46" i="24"/>
  <c r="K46" i="24"/>
  <c r="J46" i="24"/>
  <c r="I46" i="24"/>
  <c r="H46" i="24"/>
  <c r="G46" i="24"/>
  <c r="F46" i="24"/>
  <c r="E46" i="24"/>
  <c r="C46" i="24"/>
  <c r="O45" i="24"/>
  <c r="N45" i="24"/>
  <c r="M45" i="24"/>
  <c r="L45" i="24"/>
  <c r="K45" i="24"/>
  <c r="J45" i="24"/>
  <c r="I45" i="24"/>
  <c r="H45" i="24"/>
  <c r="G45" i="24"/>
  <c r="F45" i="24"/>
  <c r="E45" i="24"/>
  <c r="O44" i="24"/>
  <c r="N44" i="24"/>
  <c r="M44" i="24"/>
  <c r="L44" i="24"/>
  <c r="K44" i="24"/>
  <c r="J44" i="24"/>
  <c r="I44" i="24"/>
  <c r="H44" i="24"/>
  <c r="G44" i="24"/>
  <c r="F44" i="24"/>
  <c r="E44" i="24"/>
  <c r="C44" i="24"/>
  <c r="O43" i="24"/>
  <c r="N43" i="24"/>
  <c r="M43" i="24"/>
  <c r="L43" i="24"/>
  <c r="K43" i="24"/>
  <c r="J43" i="24"/>
  <c r="I43" i="24"/>
  <c r="H43" i="24"/>
  <c r="G43" i="24"/>
  <c r="F43" i="24"/>
  <c r="E43" i="24"/>
  <c r="O42" i="24"/>
  <c r="N42" i="24"/>
  <c r="M42" i="24"/>
  <c r="L42" i="24"/>
  <c r="K42" i="24"/>
  <c r="J42" i="24"/>
  <c r="I42" i="24"/>
  <c r="H42" i="24"/>
  <c r="G42" i="24"/>
  <c r="F42" i="24"/>
  <c r="E42" i="24"/>
  <c r="O41" i="24"/>
  <c r="N41" i="24"/>
  <c r="M41" i="24"/>
  <c r="L41" i="24"/>
  <c r="K41" i="24"/>
  <c r="J41" i="24"/>
  <c r="I41" i="24"/>
  <c r="H41" i="24"/>
  <c r="G41" i="24"/>
  <c r="F41" i="24"/>
  <c r="E41" i="24"/>
  <c r="C41" i="24"/>
  <c r="B41" i="24"/>
  <c r="O40" i="24"/>
  <c r="N40" i="24"/>
  <c r="M40" i="24"/>
  <c r="L40" i="24"/>
  <c r="K40" i="24"/>
  <c r="J40" i="24"/>
  <c r="I40" i="24"/>
  <c r="H40" i="24"/>
  <c r="G40" i="24"/>
  <c r="F40" i="24"/>
  <c r="E40" i="24"/>
  <c r="O39" i="24"/>
  <c r="N39" i="24"/>
  <c r="M39" i="24"/>
  <c r="L39" i="24"/>
  <c r="K39" i="24"/>
  <c r="J39" i="24"/>
  <c r="I39" i="24"/>
  <c r="H39" i="24"/>
  <c r="G39" i="24"/>
  <c r="F39" i="24"/>
  <c r="E39" i="24"/>
  <c r="O38" i="24"/>
  <c r="N38" i="24"/>
  <c r="M38" i="24"/>
  <c r="L38" i="24"/>
  <c r="K38" i="24"/>
  <c r="J38" i="24"/>
  <c r="I38" i="24"/>
  <c r="H38" i="24"/>
  <c r="G38" i="24"/>
  <c r="F38" i="24"/>
  <c r="E38" i="24"/>
  <c r="C38" i="24"/>
  <c r="B38" i="24"/>
  <c r="O37" i="24"/>
  <c r="N37" i="24"/>
  <c r="M37" i="24"/>
  <c r="L37" i="24"/>
  <c r="K37" i="24"/>
  <c r="J37" i="24"/>
  <c r="I37" i="24"/>
  <c r="H37" i="24"/>
  <c r="G37" i="24"/>
  <c r="F37" i="24"/>
  <c r="E37" i="24"/>
  <c r="C37" i="24"/>
  <c r="O36" i="24"/>
  <c r="N36" i="24"/>
  <c r="M36" i="24"/>
  <c r="L36" i="24"/>
  <c r="K36" i="24"/>
  <c r="J36" i="24"/>
  <c r="I36" i="24"/>
  <c r="H36" i="24"/>
  <c r="G36" i="24"/>
  <c r="F36" i="24"/>
  <c r="E36" i="24"/>
  <c r="O35" i="24"/>
  <c r="N35" i="24"/>
  <c r="M35" i="24"/>
  <c r="L35" i="24"/>
  <c r="K35" i="24"/>
  <c r="J35" i="24"/>
  <c r="I35" i="24"/>
  <c r="H35" i="24"/>
  <c r="G35" i="24"/>
  <c r="F35" i="24"/>
  <c r="E35" i="24"/>
  <c r="C35" i="24"/>
  <c r="O34" i="24"/>
  <c r="N34" i="24"/>
  <c r="M34" i="24"/>
  <c r="L34" i="24"/>
  <c r="K34" i="24"/>
  <c r="J34" i="24"/>
  <c r="I34" i="24"/>
  <c r="H34" i="24"/>
  <c r="G34" i="24"/>
  <c r="F34" i="24"/>
  <c r="E34" i="24"/>
  <c r="O33" i="24"/>
  <c r="N33" i="24"/>
  <c r="M33" i="24"/>
  <c r="L33" i="24"/>
  <c r="K33" i="24"/>
  <c r="J33" i="24"/>
  <c r="I33" i="24"/>
  <c r="H33" i="24"/>
  <c r="G33" i="24"/>
  <c r="F33" i="24"/>
  <c r="E33" i="24"/>
  <c r="O32" i="24"/>
  <c r="N32" i="24"/>
  <c r="M32" i="24"/>
  <c r="L32" i="24"/>
  <c r="K32" i="24"/>
  <c r="J32" i="24"/>
  <c r="I32" i="24"/>
  <c r="H32" i="24"/>
  <c r="G32" i="24"/>
  <c r="F32" i="24"/>
  <c r="E32" i="24"/>
  <c r="C32" i="24"/>
  <c r="B32" i="24"/>
  <c r="O31" i="24"/>
  <c r="N31" i="24"/>
  <c r="M31" i="24"/>
  <c r="L31" i="24"/>
  <c r="K31" i="24"/>
  <c r="J31" i="24"/>
  <c r="I31" i="24"/>
  <c r="H31" i="24"/>
  <c r="G31" i="24"/>
  <c r="F31" i="24"/>
  <c r="E31" i="24"/>
  <c r="O30" i="24"/>
  <c r="N30" i="24"/>
  <c r="M30" i="24"/>
  <c r="L30" i="24"/>
  <c r="K30" i="24"/>
  <c r="J30" i="24"/>
  <c r="I30" i="24"/>
  <c r="H30" i="24"/>
  <c r="G30" i="24"/>
  <c r="F30" i="24"/>
  <c r="E30" i="24"/>
  <c r="O29" i="24"/>
  <c r="N29" i="24"/>
  <c r="M29" i="24"/>
  <c r="L29" i="24"/>
  <c r="K29" i="24"/>
  <c r="J29" i="24"/>
  <c r="I29" i="24"/>
  <c r="H29" i="24"/>
  <c r="G29" i="24"/>
  <c r="F29" i="24"/>
  <c r="E29" i="24"/>
  <c r="O28" i="24"/>
  <c r="N28" i="24"/>
  <c r="M28" i="24"/>
  <c r="L28" i="24"/>
  <c r="K28" i="24"/>
  <c r="J28" i="24"/>
  <c r="I28" i="24"/>
  <c r="H28" i="24"/>
  <c r="F28" i="24"/>
  <c r="E28" i="24"/>
  <c r="D28" i="24"/>
  <c r="C28" i="24"/>
  <c r="O27" i="24"/>
  <c r="N27" i="24"/>
  <c r="M27" i="24"/>
  <c r="L27" i="24"/>
  <c r="K27" i="24"/>
  <c r="J27" i="24"/>
  <c r="I27" i="24"/>
  <c r="H27" i="24"/>
  <c r="G27" i="24"/>
  <c r="F27" i="24"/>
  <c r="E27" i="24"/>
  <c r="O26" i="24"/>
  <c r="N26" i="24"/>
  <c r="M26" i="24"/>
  <c r="L26" i="24"/>
  <c r="K26" i="24"/>
  <c r="J26" i="24"/>
  <c r="I26" i="24"/>
  <c r="H26" i="24"/>
  <c r="G26" i="24"/>
  <c r="F26" i="24"/>
  <c r="E26" i="24"/>
  <c r="O25" i="24"/>
  <c r="N25" i="24"/>
  <c r="M25" i="24"/>
  <c r="L25" i="24"/>
  <c r="K25" i="24"/>
  <c r="J25" i="24"/>
  <c r="I25" i="24"/>
  <c r="H25" i="24"/>
  <c r="G25" i="24"/>
  <c r="F25" i="24"/>
  <c r="E25" i="24"/>
  <c r="C25" i="24"/>
  <c r="O24" i="24"/>
  <c r="N24" i="24"/>
  <c r="M24" i="24"/>
  <c r="L24" i="24"/>
  <c r="K24" i="24"/>
  <c r="J24" i="24"/>
  <c r="I24" i="24"/>
  <c r="H24" i="24"/>
  <c r="G24" i="24"/>
  <c r="F24" i="24"/>
  <c r="E24" i="24"/>
  <c r="O23" i="24"/>
  <c r="N23" i="24"/>
  <c r="M23" i="24"/>
  <c r="L23" i="24"/>
  <c r="K23" i="24"/>
  <c r="J23" i="24"/>
  <c r="I23" i="24"/>
  <c r="H23" i="24"/>
  <c r="G23" i="24"/>
  <c r="F23" i="24"/>
  <c r="E23" i="24"/>
  <c r="O22" i="24"/>
  <c r="N22" i="24"/>
  <c r="M22" i="24"/>
  <c r="L22" i="24"/>
  <c r="K22" i="24"/>
  <c r="J22" i="24"/>
  <c r="I22" i="24"/>
  <c r="H22" i="24"/>
  <c r="G22" i="24"/>
  <c r="F22" i="24"/>
  <c r="E22" i="24"/>
  <c r="O21" i="24"/>
  <c r="N21" i="24"/>
  <c r="M21" i="24"/>
  <c r="L21" i="24"/>
  <c r="K21" i="24"/>
  <c r="J21" i="24"/>
  <c r="I21" i="24"/>
  <c r="H21" i="24"/>
  <c r="G21" i="24"/>
  <c r="F21" i="24"/>
  <c r="E21" i="24"/>
  <c r="O20" i="24"/>
  <c r="N20" i="24"/>
  <c r="M20" i="24"/>
  <c r="L20" i="24"/>
  <c r="K20" i="24"/>
  <c r="J20" i="24"/>
  <c r="I20" i="24"/>
  <c r="H20" i="24"/>
  <c r="G20" i="24"/>
  <c r="F20" i="24"/>
  <c r="E20" i="24"/>
  <c r="O19" i="24"/>
  <c r="N19" i="24"/>
  <c r="M19" i="24"/>
  <c r="L19" i="24"/>
  <c r="K19" i="24"/>
  <c r="J19" i="24"/>
  <c r="I19" i="24"/>
  <c r="H19" i="24"/>
  <c r="G19" i="24"/>
  <c r="F19" i="24"/>
  <c r="E19" i="24"/>
  <c r="O18" i="24"/>
  <c r="N18" i="24"/>
  <c r="M18" i="24"/>
  <c r="L18" i="24"/>
  <c r="K18" i="24"/>
  <c r="J18" i="24"/>
  <c r="I18" i="24"/>
  <c r="H18" i="24"/>
  <c r="G18" i="24"/>
  <c r="F18" i="24"/>
  <c r="E18" i="24"/>
  <c r="O17" i="24"/>
  <c r="N17" i="24"/>
  <c r="M17" i="24"/>
  <c r="L17" i="24"/>
  <c r="K17" i="24"/>
  <c r="J17" i="24"/>
  <c r="I17" i="24"/>
  <c r="H17" i="24"/>
  <c r="G17" i="24"/>
  <c r="F17" i="24"/>
  <c r="E17" i="24"/>
  <c r="O16" i="24"/>
  <c r="N16" i="24"/>
  <c r="M16" i="24"/>
  <c r="L16" i="24"/>
  <c r="K16" i="24"/>
  <c r="J16" i="24"/>
  <c r="I16" i="24"/>
  <c r="H16" i="24"/>
  <c r="G16" i="24"/>
  <c r="F16" i="24"/>
  <c r="E16" i="24"/>
  <c r="O15" i="24"/>
  <c r="N15" i="24"/>
  <c r="M15" i="24"/>
  <c r="L15" i="24"/>
  <c r="K15" i="24"/>
  <c r="J15" i="24"/>
  <c r="I15" i="24"/>
  <c r="H15" i="24"/>
  <c r="G15" i="24"/>
  <c r="F15" i="24"/>
  <c r="E15" i="24"/>
  <c r="O14" i="24"/>
  <c r="N14" i="24"/>
  <c r="M14" i="24"/>
  <c r="L14" i="24"/>
  <c r="K14" i="24"/>
  <c r="J14" i="24"/>
  <c r="I14" i="24"/>
  <c r="H14" i="24"/>
  <c r="G14" i="24"/>
  <c r="F14" i="24"/>
  <c r="E14" i="24"/>
  <c r="O13" i="24"/>
  <c r="N13" i="24"/>
  <c r="M13" i="24"/>
  <c r="L13" i="24"/>
  <c r="K13" i="24"/>
  <c r="J13" i="24"/>
  <c r="I13" i="24"/>
  <c r="H13" i="24"/>
  <c r="G13" i="24"/>
  <c r="F13" i="24"/>
  <c r="E13" i="24"/>
  <c r="C13" i="24"/>
  <c r="B13" i="24"/>
  <c r="O12" i="24"/>
  <c r="N12" i="24"/>
  <c r="M12" i="24"/>
  <c r="L12" i="24"/>
  <c r="K12" i="24"/>
  <c r="J12" i="24"/>
  <c r="I12" i="24"/>
  <c r="H12" i="24"/>
  <c r="G12" i="24"/>
  <c r="F12" i="24"/>
  <c r="E12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O10" i="24"/>
  <c r="N10" i="24"/>
  <c r="M10" i="24"/>
  <c r="L10" i="24"/>
  <c r="K10" i="24"/>
  <c r="J10" i="24"/>
  <c r="I10" i="24"/>
  <c r="H10" i="24"/>
  <c r="G10" i="24"/>
  <c r="F10" i="24"/>
  <c r="E10" i="24"/>
  <c r="C10" i="24"/>
  <c r="O9" i="24"/>
  <c r="N9" i="24"/>
  <c r="M9" i="24"/>
  <c r="L9" i="24"/>
  <c r="K9" i="24"/>
  <c r="J9" i="24"/>
  <c r="I9" i="24"/>
  <c r="H9" i="24"/>
  <c r="G9" i="24"/>
  <c r="F9" i="24"/>
  <c r="E9" i="24"/>
  <c r="O8" i="24"/>
  <c r="N8" i="24"/>
  <c r="M8" i="24"/>
  <c r="L8" i="24"/>
  <c r="K8" i="24"/>
  <c r="J8" i="24"/>
  <c r="I8" i="24"/>
  <c r="H8" i="24"/>
  <c r="G8" i="24"/>
  <c r="F8" i="24"/>
  <c r="E8" i="24"/>
  <c r="O7" i="24"/>
  <c r="N7" i="24"/>
  <c r="M7" i="24"/>
  <c r="L7" i="24"/>
  <c r="K7" i="24"/>
  <c r="J7" i="24"/>
  <c r="I7" i="24"/>
  <c r="H7" i="24"/>
  <c r="G7" i="24"/>
  <c r="F7" i="24"/>
  <c r="E7" i="24"/>
  <c r="C7" i="24"/>
  <c r="O6" i="24"/>
  <c r="N6" i="24"/>
  <c r="M6" i="24"/>
  <c r="L6" i="24"/>
  <c r="K6" i="24"/>
  <c r="J6" i="24"/>
  <c r="I6" i="24"/>
  <c r="H6" i="24"/>
  <c r="G6" i="24"/>
  <c r="F6" i="24"/>
  <c r="E6" i="24"/>
  <c r="O5" i="24"/>
  <c r="N5" i="24"/>
  <c r="M5" i="24"/>
  <c r="L5" i="24"/>
  <c r="K5" i="24"/>
  <c r="J5" i="24"/>
  <c r="I5" i="24"/>
  <c r="H5" i="24"/>
  <c r="G5" i="24"/>
  <c r="F5" i="24"/>
  <c r="E5" i="24"/>
  <c r="C5" i="24"/>
  <c r="O4" i="24"/>
  <c r="N4" i="24"/>
  <c r="M4" i="24"/>
  <c r="L4" i="24"/>
  <c r="K4" i="24"/>
  <c r="J4" i="24"/>
  <c r="I4" i="24"/>
  <c r="H4" i="24"/>
  <c r="G4" i="24"/>
  <c r="F4" i="24"/>
  <c r="E4" i="24"/>
  <c r="O3" i="24"/>
  <c r="N3" i="24"/>
  <c r="M3" i="24"/>
  <c r="L3" i="24"/>
  <c r="K3" i="24"/>
  <c r="J3" i="24"/>
  <c r="I3" i="24"/>
  <c r="H3" i="24"/>
  <c r="G3" i="24"/>
  <c r="F3" i="24"/>
  <c r="E3" i="24"/>
  <c r="O2" i="24"/>
  <c r="N2" i="24"/>
  <c r="M2" i="24"/>
  <c r="L2" i="24"/>
  <c r="K2" i="24"/>
  <c r="J2" i="24"/>
  <c r="I2" i="24"/>
  <c r="H2" i="24"/>
  <c r="G2" i="24"/>
  <c r="F2" i="24"/>
  <c r="E2" i="24"/>
  <c r="C2" i="24"/>
  <c r="B2" i="24"/>
  <c r="O1" i="24"/>
  <c r="N1" i="24"/>
  <c r="M1" i="24"/>
  <c r="L1" i="24"/>
  <c r="K1" i="24"/>
  <c r="J1" i="24"/>
  <c r="I1" i="24"/>
  <c r="H1" i="24"/>
  <c r="G1" i="24"/>
  <c r="F1" i="24"/>
  <c r="E1" i="24"/>
  <c r="D1" i="24"/>
  <c r="C86" i="23"/>
  <c r="C85" i="23"/>
  <c r="C84" i="23"/>
  <c r="C83" i="23"/>
  <c r="C8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D21" i="23"/>
  <c r="C21" i="23"/>
  <c r="D20" i="23"/>
  <c r="C20" i="23"/>
  <c r="D19" i="23"/>
  <c r="C19" i="23"/>
  <c r="D18" i="23"/>
  <c r="C18" i="23"/>
  <c r="D17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E1" i="23"/>
  <c r="D1" i="23"/>
  <c r="C1" i="23"/>
  <c r="K210" i="22"/>
  <c r="K209" i="22"/>
  <c r="K208" i="22"/>
  <c r="K207" i="22"/>
  <c r="K206" i="22"/>
  <c r="K205" i="22"/>
  <c r="K204" i="22"/>
  <c r="K203" i="22"/>
  <c r="K202" i="22"/>
  <c r="K201" i="22"/>
  <c r="L200" i="22"/>
  <c r="K200" i="22"/>
  <c r="H200" i="22"/>
  <c r="G200" i="22"/>
  <c r="F200" i="22"/>
  <c r="E200" i="22"/>
  <c r="D200" i="22"/>
  <c r="C200" i="22"/>
  <c r="A200" i="22"/>
  <c r="K199" i="22"/>
  <c r="K198" i="22"/>
  <c r="K197" i="22"/>
  <c r="K196" i="22"/>
  <c r="K195" i="22"/>
  <c r="K194" i="22"/>
  <c r="K193" i="22"/>
  <c r="K192" i="22"/>
  <c r="K191" i="22"/>
  <c r="K190" i="22"/>
  <c r="M189" i="22"/>
  <c r="L189" i="22"/>
  <c r="K189" i="22"/>
  <c r="H189" i="22"/>
  <c r="G189" i="22"/>
  <c r="F189" i="22"/>
  <c r="E189" i="22"/>
  <c r="D189" i="22"/>
  <c r="C189" i="22"/>
  <c r="A189" i="22"/>
  <c r="K188" i="22"/>
  <c r="K187" i="22"/>
  <c r="K186" i="22"/>
  <c r="K185" i="22"/>
  <c r="K184" i="22"/>
  <c r="K183" i="22"/>
  <c r="K182" i="22"/>
  <c r="K181" i="22"/>
  <c r="K180" i="22"/>
  <c r="K179" i="22"/>
  <c r="L178" i="22"/>
  <c r="K178" i="22"/>
  <c r="H178" i="22"/>
  <c r="G178" i="22"/>
  <c r="F178" i="22"/>
  <c r="E178" i="22"/>
  <c r="D178" i="22"/>
  <c r="D185" i="22" s="1"/>
  <c r="C178" i="22"/>
  <c r="A178" i="22"/>
  <c r="K177" i="22"/>
  <c r="K176" i="22"/>
  <c r="K175" i="22"/>
  <c r="K174" i="22"/>
  <c r="K173" i="22"/>
  <c r="K172" i="22"/>
  <c r="K171" i="22"/>
  <c r="K170" i="22"/>
  <c r="K169" i="22"/>
  <c r="K168" i="22"/>
  <c r="L167" i="22"/>
  <c r="K167" i="22"/>
  <c r="H167" i="22"/>
  <c r="G167" i="22"/>
  <c r="F167" i="22"/>
  <c r="E167" i="22"/>
  <c r="D167" i="22"/>
  <c r="C167" i="22"/>
  <c r="A167" i="22"/>
  <c r="K166" i="22"/>
  <c r="K165" i="22"/>
  <c r="K164" i="22"/>
  <c r="K163" i="22"/>
  <c r="K162" i="22"/>
  <c r="K161" i="22"/>
  <c r="K160" i="22"/>
  <c r="K159" i="22"/>
  <c r="K158" i="22"/>
  <c r="K157" i="22"/>
  <c r="L156" i="22"/>
  <c r="K156" i="22"/>
  <c r="H156" i="22"/>
  <c r="G156" i="22"/>
  <c r="F156" i="22"/>
  <c r="E156" i="22"/>
  <c r="D156" i="22"/>
  <c r="C156" i="22"/>
  <c r="A156" i="22"/>
  <c r="K155" i="22"/>
  <c r="K154" i="22"/>
  <c r="K153" i="22"/>
  <c r="K152" i="22"/>
  <c r="K151" i="22"/>
  <c r="K150" i="22"/>
  <c r="K149" i="22"/>
  <c r="K148" i="22"/>
  <c r="K147" i="22"/>
  <c r="K146" i="22"/>
  <c r="L145" i="22"/>
  <c r="K145" i="22"/>
  <c r="H145" i="22"/>
  <c r="G145" i="22"/>
  <c r="F145" i="22"/>
  <c r="E145" i="22"/>
  <c r="D145" i="22"/>
  <c r="C145" i="22"/>
  <c r="A145" i="22"/>
  <c r="K144" i="22"/>
  <c r="K143" i="22"/>
  <c r="K142" i="22"/>
  <c r="K141" i="22"/>
  <c r="K140" i="22"/>
  <c r="K139" i="22"/>
  <c r="K138" i="22"/>
  <c r="K137" i="22"/>
  <c r="K136" i="22"/>
  <c r="K135" i="22"/>
  <c r="L134" i="22"/>
  <c r="K134" i="22"/>
  <c r="H134" i="22"/>
  <c r="G134" i="22"/>
  <c r="F134" i="22"/>
  <c r="E134" i="22"/>
  <c r="D134" i="22"/>
  <c r="C134" i="22"/>
  <c r="A134" i="22"/>
  <c r="K133" i="22"/>
  <c r="K132" i="22"/>
  <c r="K131" i="22"/>
  <c r="K130" i="22"/>
  <c r="K129" i="22"/>
  <c r="K128" i="22"/>
  <c r="K127" i="22"/>
  <c r="K126" i="22"/>
  <c r="K125" i="22"/>
  <c r="K124" i="22"/>
  <c r="L123" i="22"/>
  <c r="K123" i="22"/>
  <c r="H123" i="22"/>
  <c r="H131" i="22" s="1"/>
  <c r="G123" i="22"/>
  <c r="F123" i="22"/>
  <c r="E123" i="22"/>
  <c r="D123" i="22"/>
  <c r="C123" i="22"/>
  <c r="A123" i="22"/>
  <c r="K122" i="22"/>
  <c r="K121" i="22"/>
  <c r="K120" i="22"/>
  <c r="K119" i="22"/>
  <c r="K118" i="22"/>
  <c r="K117" i="22"/>
  <c r="K116" i="22"/>
  <c r="K115" i="22"/>
  <c r="K114" i="22"/>
  <c r="K113" i="22"/>
  <c r="L112" i="22"/>
  <c r="K112" i="22"/>
  <c r="H112" i="22"/>
  <c r="G112" i="22"/>
  <c r="F112" i="22"/>
  <c r="E112" i="22"/>
  <c r="D112" i="22"/>
  <c r="C112" i="22"/>
  <c r="A112" i="22"/>
  <c r="K111" i="22"/>
  <c r="K110" i="22"/>
  <c r="K109" i="22"/>
  <c r="K108" i="22"/>
  <c r="K107" i="22"/>
  <c r="K106" i="22"/>
  <c r="K105" i="22"/>
  <c r="K104" i="22"/>
  <c r="K103" i="22"/>
  <c r="K102" i="22"/>
  <c r="L101" i="22"/>
  <c r="K101" i="22"/>
  <c r="H101" i="22"/>
  <c r="G101" i="22"/>
  <c r="F101" i="22"/>
  <c r="E101" i="22"/>
  <c r="D101" i="22"/>
  <c r="C101" i="22"/>
  <c r="A101" i="22"/>
  <c r="K100" i="22"/>
  <c r="K99" i="22"/>
  <c r="K98" i="22"/>
  <c r="K97" i="22"/>
  <c r="K96" i="22"/>
  <c r="K95" i="22"/>
  <c r="K94" i="22"/>
  <c r="K93" i="22"/>
  <c r="K92" i="22"/>
  <c r="K91" i="22"/>
  <c r="L90" i="22"/>
  <c r="K90" i="22"/>
  <c r="H90" i="22"/>
  <c r="G90" i="22"/>
  <c r="F90" i="22"/>
  <c r="E90" i="22"/>
  <c r="D90" i="22"/>
  <c r="C90" i="22"/>
  <c r="A90" i="22"/>
  <c r="K89" i="22"/>
  <c r="K88" i="22"/>
  <c r="K87" i="22"/>
  <c r="K86" i="22"/>
  <c r="K85" i="22"/>
  <c r="K84" i="22"/>
  <c r="K83" i="22"/>
  <c r="K82" i="22"/>
  <c r="K81" i="22"/>
  <c r="K80" i="22"/>
  <c r="L79" i="22"/>
  <c r="K79" i="22"/>
  <c r="H79" i="22"/>
  <c r="G79" i="22"/>
  <c r="F79" i="22"/>
  <c r="E79" i="22"/>
  <c r="D79" i="22"/>
  <c r="C79" i="22"/>
  <c r="A79" i="22"/>
  <c r="K78" i="22"/>
  <c r="K77" i="22"/>
  <c r="K76" i="22"/>
  <c r="K75" i="22"/>
  <c r="K74" i="22"/>
  <c r="K73" i="22"/>
  <c r="K72" i="22"/>
  <c r="K71" i="22"/>
  <c r="K70" i="22"/>
  <c r="K69" i="22"/>
  <c r="L68" i="22"/>
  <c r="K68" i="22"/>
  <c r="H68" i="22"/>
  <c r="G68" i="22"/>
  <c r="F68" i="22"/>
  <c r="E68" i="22"/>
  <c r="D68" i="22"/>
  <c r="C68" i="22"/>
  <c r="A68" i="22"/>
  <c r="K67" i="22"/>
  <c r="K66" i="22"/>
  <c r="K65" i="22"/>
  <c r="K64" i="22"/>
  <c r="K63" i="22"/>
  <c r="K62" i="22"/>
  <c r="K61" i="22"/>
  <c r="K60" i="22"/>
  <c r="K59" i="22"/>
  <c r="K58" i="22"/>
  <c r="L57" i="22"/>
  <c r="K57" i="22"/>
  <c r="H57" i="22"/>
  <c r="G57" i="22"/>
  <c r="F57" i="22"/>
  <c r="E57" i="22"/>
  <c r="D57" i="22"/>
  <c r="C57" i="22"/>
  <c r="A57" i="22"/>
  <c r="K56" i="22"/>
  <c r="K55" i="22"/>
  <c r="K54" i="22"/>
  <c r="K53" i="22"/>
  <c r="K52" i="22"/>
  <c r="K51" i="22"/>
  <c r="K50" i="22"/>
  <c r="K49" i="22"/>
  <c r="K48" i="22"/>
  <c r="K47" i="22"/>
  <c r="L46" i="22"/>
  <c r="K46" i="22"/>
  <c r="H46" i="22"/>
  <c r="G46" i="22"/>
  <c r="F46" i="22"/>
  <c r="E46" i="22"/>
  <c r="E53" i="22" s="1"/>
  <c r="D46" i="22"/>
  <c r="C46" i="22"/>
  <c r="A46" i="22"/>
  <c r="K45" i="22"/>
  <c r="K44" i="22"/>
  <c r="K43" i="22"/>
  <c r="K42" i="22"/>
  <c r="K41" i="22"/>
  <c r="K40" i="22"/>
  <c r="K39" i="22"/>
  <c r="K38" i="22"/>
  <c r="K37" i="22"/>
  <c r="K36" i="22"/>
  <c r="L35" i="22"/>
  <c r="K35" i="22"/>
  <c r="H35" i="22"/>
  <c r="H41" i="22" s="1"/>
  <c r="G35" i="22"/>
  <c r="F35" i="22"/>
  <c r="E35" i="22"/>
  <c r="D35" i="22"/>
  <c r="C35" i="22"/>
  <c r="A35" i="22"/>
  <c r="K34" i="22"/>
  <c r="K33" i="22"/>
  <c r="K32" i="22"/>
  <c r="K31" i="22"/>
  <c r="K30" i="22"/>
  <c r="K29" i="22"/>
  <c r="K28" i="22"/>
  <c r="K27" i="22"/>
  <c r="K26" i="22"/>
  <c r="K25" i="22"/>
  <c r="L24" i="22"/>
  <c r="K24" i="22"/>
  <c r="H24" i="22"/>
  <c r="G24" i="22"/>
  <c r="F24" i="22"/>
  <c r="E24" i="22"/>
  <c r="D24" i="22"/>
  <c r="C24" i="22"/>
  <c r="A24" i="22"/>
  <c r="K23" i="22"/>
  <c r="J23" i="22"/>
  <c r="I23" i="22"/>
  <c r="K22" i="22"/>
  <c r="J22" i="22"/>
  <c r="K21" i="22"/>
  <c r="J21" i="22"/>
  <c r="K20" i="22"/>
  <c r="J20" i="22"/>
  <c r="I20" i="22"/>
  <c r="K19" i="22"/>
  <c r="J19" i="22"/>
  <c r="K18" i="22"/>
  <c r="J18" i="22"/>
  <c r="K17" i="22"/>
  <c r="J17" i="22"/>
  <c r="I17" i="22"/>
  <c r="K16" i="22"/>
  <c r="J16" i="22"/>
  <c r="K15" i="22"/>
  <c r="J15" i="22"/>
  <c r="K14" i="22"/>
  <c r="J14" i="22"/>
  <c r="L13" i="22"/>
  <c r="K13" i="22"/>
  <c r="J13" i="22"/>
  <c r="I13" i="22"/>
  <c r="H13" i="22"/>
  <c r="G13" i="22"/>
  <c r="F13" i="22"/>
  <c r="E13" i="22"/>
  <c r="D13" i="22"/>
  <c r="C13" i="22"/>
  <c r="A13" i="22"/>
  <c r="K12" i="22"/>
  <c r="J12" i="22"/>
  <c r="I12" i="22"/>
  <c r="K11" i="22"/>
  <c r="J11" i="22"/>
  <c r="K10" i="22"/>
  <c r="J10" i="22"/>
  <c r="K9" i="22"/>
  <c r="J9" i="22"/>
  <c r="I9" i="22"/>
  <c r="K8" i="22"/>
  <c r="J8" i="22"/>
  <c r="K7" i="22"/>
  <c r="J7" i="22"/>
  <c r="K6" i="22"/>
  <c r="J6" i="22"/>
  <c r="I6" i="22"/>
  <c r="K5" i="22"/>
  <c r="J5" i="22"/>
  <c r="K4" i="22"/>
  <c r="J4" i="22"/>
  <c r="K3" i="22"/>
  <c r="J3" i="22"/>
  <c r="L2" i="22"/>
  <c r="K2" i="22"/>
  <c r="J2" i="22"/>
  <c r="I2" i="22"/>
  <c r="H2" i="22"/>
  <c r="G2" i="22"/>
  <c r="G10" i="22" s="1"/>
  <c r="F2" i="22"/>
  <c r="E2" i="22"/>
  <c r="D2" i="22"/>
  <c r="C2" i="22"/>
  <c r="A2" i="22"/>
  <c r="M1" i="22"/>
  <c r="L1" i="22"/>
  <c r="H1" i="22"/>
  <c r="G1" i="22"/>
  <c r="F1" i="22"/>
  <c r="E1" i="22"/>
  <c r="D1" i="22"/>
  <c r="C1" i="22"/>
  <c r="B1" i="22"/>
  <c r="A1" i="22"/>
  <c r="C686" i="24"/>
  <c r="B686" i="24"/>
  <c r="C685" i="24"/>
  <c r="B685" i="24"/>
  <c r="B683" i="24"/>
  <c r="C682" i="24"/>
  <c r="B682" i="24"/>
  <c r="B681" i="24"/>
  <c r="C680" i="24"/>
  <c r="B680" i="24"/>
  <c r="C679" i="24"/>
  <c r="B679" i="24"/>
  <c r="C677" i="24"/>
  <c r="B677" i="24"/>
  <c r="C676" i="24"/>
  <c r="B676" i="24"/>
  <c r="B675" i="24"/>
  <c r="C674" i="24"/>
  <c r="B674" i="24"/>
  <c r="C673" i="24"/>
  <c r="B673" i="24"/>
  <c r="B672" i="24"/>
  <c r="C671" i="24"/>
  <c r="B671" i="24"/>
  <c r="C670" i="24"/>
  <c r="B670" i="24"/>
  <c r="C669" i="24"/>
  <c r="B669" i="24"/>
  <c r="C668" i="24"/>
  <c r="B668" i="24"/>
  <c r="C667" i="24"/>
  <c r="B667" i="24"/>
  <c r="C666" i="24"/>
  <c r="B666" i="24"/>
  <c r="C665" i="24"/>
  <c r="B665" i="24"/>
  <c r="C664" i="24"/>
  <c r="B664" i="24"/>
  <c r="C663" i="24"/>
  <c r="B663" i="24"/>
  <c r="C662" i="24"/>
  <c r="B662" i="24"/>
  <c r="C661" i="24"/>
  <c r="B661" i="24"/>
  <c r="C659" i="24"/>
  <c r="B659" i="24"/>
  <c r="C658" i="24"/>
  <c r="B658" i="24"/>
  <c r="B657" i="24"/>
  <c r="B656" i="24"/>
  <c r="B655" i="24"/>
  <c r="B654" i="24"/>
  <c r="C653" i="24"/>
  <c r="B653" i="24"/>
  <c r="B652" i="24"/>
  <c r="C651" i="24"/>
  <c r="B651" i="24"/>
  <c r="C650" i="24"/>
  <c r="B650" i="24"/>
  <c r="C648" i="24"/>
  <c r="B648" i="24"/>
  <c r="C647" i="24"/>
  <c r="B647" i="24"/>
  <c r="B645" i="24"/>
  <c r="C644" i="24"/>
  <c r="B644" i="24"/>
  <c r="B643" i="24"/>
  <c r="C642" i="24"/>
  <c r="B642" i="24"/>
  <c r="C641" i="24"/>
  <c r="B641" i="24"/>
  <c r="B639" i="24"/>
  <c r="C638" i="24"/>
  <c r="B638" i="24"/>
  <c r="B637" i="24"/>
  <c r="C636" i="24"/>
  <c r="B636" i="24"/>
  <c r="C635" i="24"/>
  <c r="B635" i="24"/>
  <c r="B634" i="24"/>
  <c r="C633" i="24"/>
  <c r="B633" i="24"/>
  <c r="C632" i="24"/>
  <c r="B632" i="24"/>
  <c r="C631" i="24"/>
  <c r="B631" i="24"/>
  <c r="C630" i="24"/>
  <c r="B630" i="24"/>
  <c r="C629" i="24"/>
  <c r="B629" i="24"/>
  <c r="C628" i="24"/>
  <c r="B628" i="24"/>
  <c r="C627" i="24"/>
  <c r="B627" i="24"/>
  <c r="C626" i="24"/>
  <c r="B626" i="24"/>
  <c r="C625" i="24"/>
  <c r="B625" i="24"/>
  <c r="C624" i="24"/>
  <c r="B624" i="24"/>
  <c r="C623" i="24"/>
  <c r="B623" i="24"/>
  <c r="C621" i="24"/>
  <c r="B621" i="24"/>
  <c r="C620" i="24"/>
  <c r="B620" i="24"/>
  <c r="B619" i="24"/>
  <c r="C618" i="24"/>
  <c r="B618" i="24"/>
  <c r="C617" i="24"/>
  <c r="B617" i="24"/>
  <c r="B616" i="24"/>
  <c r="C615" i="24"/>
  <c r="B615" i="24"/>
  <c r="B614" i="24"/>
  <c r="C613" i="24"/>
  <c r="B613" i="24"/>
  <c r="C612" i="24"/>
  <c r="B612" i="24"/>
  <c r="C610" i="24"/>
  <c r="B610" i="24"/>
  <c r="C609" i="24"/>
  <c r="B609" i="24"/>
  <c r="C606" i="24"/>
  <c r="C604" i="24"/>
  <c r="B604" i="24"/>
  <c r="C603" i="24"/>
  <c r="C601" i="24"/>
  <c r="C600" i="24"/>
  <c r="B599" i="24"/>
  <c r="C598" i="24"/>
  <c r="C597" i="24"/>
  <c r="B597" i="24"/>
  <c r="C595" i="24"/>
  <c r="B595" i="24"/>
  <c r="B598" i="24" s="1"/>
  <c r="C594" i="24"/>
  <c r="B594" i="24"/>
  <c r="C593" i="24"/>
  <c r="B593" i="24"/>
  <c r="C592" i="24"/>
  <c r="B592" i="24"/>
  <c r="C591" i="24"/>
  <c r="B591" i="24"/>
  <c r="C590" i="24"/>
  <c r="B590" i="24"/>
  <c r="C589" i="24"/>
  <c r="B589" i="24"/>
  <c r="C588" i="24"/>
  <c r="B588" i="24"/>
  <c r="C587" i="24"/>
  <c r="B587" i="24"/>
  <c r="C586" i="24"/>
  <c r="B586" i="24"/>
  <c r="C585" i="24"/>
  <c r="B585" i="24"/>
  <c r="C583" i="24"/>
  <c r="B583" i="24"/>
  <c r="C582" i="24"/>
  <c r="B582" i="24"/>
  <c r="B581" i="24"/>
  <c r="C580" i="24"/>
  <c r="B580" i="24"/>
  <c r="C579" i="24"/>
  <c r="B579" i="24"/>
  <c r="B578" i="24"/>
  <c r="C577" i="24"/>
  <c r="B577" i="24"/>
  <c r="B576" i="24"/>
  <c r="C575" i="24"/>
  <c r="B575" i="24"/>
  <c r="C574" i="24"/>
  <c r="B574" i="24"/>
  <c r="C572" i="24"/>
  <c r="B572" i="24"/>
  <c r="C571" i="24"/>
  <c r="B571" i="24"/>
  <c r="B569" i="24"/>
  <c r="C568" i="24"/>
  <c r="B568" i="24"/>
  <c r="B567" i="24"/>
  <c r="C566" i="24"/>
  <c r="B566" i="24"/>
  <c r="C565" i="24"/>
  <c r="B565" i="24"/>
  <c r="C563" i="24"/>
  <c r="C562" i="24"/>
  <c r="C560" i="24"/>
  <c r="C559" i="24"/>
  <c r="C557" i="24"/>
  <c r="B557" i="24"/>
  <c r="C556" i="24"/>
  <c r="B556" i="24"/>
  <c r="C555" i="24"/>
  <c r="B555" i="24"/>
  <c r="C554" i="24"/>
  <c r="B554" i="24"/>
  <c r="C553" i="24"/>
  <c r="B553" i="24"/>
  <c r="C552" i="24"/>
  <c r="B552" i="24"/>
  <c r="C551" i="24"/>
  <c r="B551" i="24"/>
  <c r="C550" i="24"/>
  <c r="B550" i="24"/>
  <c r="C549" i="24"/>
  <c r="B549" i="24"/>
  <c r="C548" i="24"/>
  <c r="B548" i="24"/>
  <c r="C547" i="24"/>
  <c r="B547" i="24"/>
  <c r="C545" i="24"/>
  <c r="B545" i="24"/>
  <c r="C544" i="24"/>
  <c r="B544" i="24"/>
  <c r="B543" i="24"/>
  <c r="B542" i="24"/>
  <c r="B541" i="24"/>
  <c r="B540" i="24"/>
  <c r="B539" i="24"/>
  <c r="B538" i="24"/>
  <c r="C537" i="24"/>
  <c r="B537" i="24"/>
  <c r="C536" i="24"/>
  <c r="B536" i="24"/>
  <c r="C534" i="24"/>
  <c r="B534" i="24"/>
  <c r="C533" i="24"/>
  <c r="B533" i="24"/>
  <c r="B531" i="24"/>
  <c r="C530" i="24"/>
  <c r="B530" i="24"/>
  <c r="B529" i="24"/>
  <c r="C528" i="24"/>
  <c r="B528" i="24"/>
  <c r="C527" i="24"/>
  <c r="B527" i="24"/>
  <c r="C525" i="24"/>
  <c r="C524" i="24"/>
  <c r="C522" i="24"/>
  <c r="C521" i="24"/>
  <c r="C519" i="24"/>
  <c r="B519" i="24"/>
  <c r="C518" i="24"/>
  <c r="B518" i="24"/>
  <c r="C517" i="24"/>
  <c r="B517" i="24"/>
  <c r="C516" i="24"/>
  <c r="B516" i="24"/>
  <c r="C515" i="24"/>
  <c r="B515" i="24"/>
  <c r="C514" i="24"/>
  <c r="B514" i="24"/>
  <c r="C513" i="24"/>
  <c r="B513" i="24"/>
  <c r="C512" i="24"/>
  <c r="B512" i="24"/>
  <c r="C511" i="24"/>
  <c r="B511" i="24"/>
  <c r="C510" i="24"/>
  <c r="B510" i="24"/>
  <c r="C509" i="24"/>
  <c r="B509" i="24"/>
  <c r="C507" i="24"/>
  <c r="B507" i="24"/>
  <c r="C506" i="24"/>
  <c r="B506" i="24"/>
  <c r="B505" i="24"/>
  <c r="C504" i="24"/>
  <c r="B504" i="24"/>
  <c r="C503" i="24"/>
  <c r="B503" i="24"/>
  <c r="B502" i="24"/>
  <c r="C501" i="24"/>
  <c r="B501" i="24"/>
  <c r="B500" i="24"/>
  <c r="C499" i="24"/>
  <c r="B499" i="24"/>
  <c r="C498" i="24"/>
  <c r="B498" i="24"/>
  <c r="C496" i="24"/>
  <c r="B496" i="24"/>
  <c r="C495" i="24"/>
  <c r="B495" i="24"/>
  <c r="B493" i="24"/>
  <c r="B492" i="24"/>
  <c r="B491" i="24"/>
  <c r="C490" i="24"/>
  <c r="B490" i="24"/>
  <c r="C489" i="24"/>
  <c r="B489" i="24"/>
  <c r="C487" i="24"/>
  <c r="B487" i="24"/>
  <c r="C486" i="24"/>
  <c r="B486" i="24"/>
  <c r="B485" i="24"/>
  <c r="C484" i="24"/>
  <c r="B484" i="24"/>
  <c r="C483" i="24"/>
  <c r="B483" i="24"/>
  <c r="B482" i="24"/>
  <c r="C481" i="24"/>
  <c r="B481" i="24"/>
  <c r="C480" i="24"/>
  <c r="B480" i="24"/>
  <c r="C479" i="24"/>
  <c r="B479" i="24"/>
  <c r="C478" i="24"/>
  <c r="B478" i="24"/>
  <c r="C477" i="24"/>
  <c r="B477" i="24"/>
  <c r="C476" i="24"/>
  <c r="B476" i="24"/>
  <c r="C475" i="24"/>
  <c r="B475" i="24"/>
  <c r="C474" i="24"/>
  <c r="B474" i="24"/>
  <c r="C473" i="24"/>
  <c r="B473" i="24"/>
  <c r="C472" i="24"/>
  <c r="B472" i="24"/>
  <c r="C471" i="24"/>
  <c r="B471" i="24"/>
  <c r="C469" i="24"/>
  <c r="B469" i="24"/>
  <c r="C468" i="24"/>
  <c r="B468" i="24"/>
  <c r="B467" i="24"/>
  <c r="C466" i="24"/>
  <c r="B466" i="24"/>
  <c r="C465" i="24"/>
  <c r="B465" i="24"/>
  <c r="B464" i="24"/>
  <c r="C463" i="24"/>
  <c r="B463" i="24"/>
  <c r="B462" i="24"/>
  <c r="C461" i="24"/>
  <c r="B461" i="24"/>
  <c r="C460" i="24"/>
  <c r="B460" i="24"/>
  <c r="B458" i="24"/>
  <c r="B457" i="24"/>
  <c r="B455" i="24"/>
  <c r="C454" i="24"/>
  <c r="B454" i="24"/>
  <c r="B453" i="24"/>
  <c r="C452" i="24"/>
  <c r="B452" i="24"/>
  <c r="C451" i="24"/>
  <c r="B451" i="24"/>
  <c r="C449" i="24"/>
  <c r="B449" i="24"/>
  <c r="C448" i="24"/>
  <c r="B447" i="24"/>
  <c r="C446" i="24"/>
  <c r="C445" i="24"/>
  <c r="B445" i="24"/>
  <c r="B444" i="24"/>
  <c r="C443" i="24"/>
  <c r="C442" i="24"/>
  <c r="C441" i="24"/>
  <c r="C440" i="24"/>
  <c r="B440" i="24"/>
  <c r="C439" i="24"/>
  <c r="C438" i="24"/>
  <c r="C437" i="24"/>
  <c r="C436" i="24"/>
  <c r="B436" i="24"/>
  <c r="C435" i="24"/>
  <c r="C434" i="24"/>
  <c r="C433" i="24"/>
  <c r="B431" i="24"/>
  <c r="B429" i="24"/>
  <c r="C428" i="24"/>
  <c r="C427" i="24"/>
  <c r="B427" i="24"/>
  <c r="B426" i="24"/>
  <c r="C425" i="24"/>
  <c r="B424" i="24"/>
  <c r="C423" i="24"/>
  <c r="B423" i="24"/>
  <c r="B430" i="24" s="1"/>
  <c r="C422" i="24"/>
  <c r="B422" i="24"/>
  <c r="C420" i="24"/>
  <c r="C419" i="24"/>
  <c r="B417" i="24"/>
  <c r="C416" i="24"/>
  <c r="B416" i="24"/>
  <c r="B415" i="24"/>
  <c r="O414" i="24"/>
  <c r="C414" i="24"/>
  <c r="B414" i="24"/>
  <c r="C413" i="24"/>
  <c r="B413" i="24"/>
  <c r="C411" i="24"/>
  <c r="C410" i="24"/>
  <c r="C408" i="24"/>
  <c r="B408" i="24"/>
  <c r="B409" i="24" s="1"/>
  <c r="C407" i="24"/>
  <c r="C405" i="24"/>
  <c r="B405" i="24"/>
  <c r="C404" i="24"/>
  <c r="B404" i="24"/>
  <c r="C403" i="24"/>
  <c r="B403" i="24"/>
  <c r="C402" i="24"/>
  <c r="B402" i="24"/>
  <c r="C401" i="24"/>
  <c r="B401" i="24"/>
  <c r="C400" i="24"/>
  <c r="B400" i="24"/>
  <c r="C399" i="24"/>
  <c r="B399" i="24"/>
  <c r="C398" i="24"/>
  <c r="B398" i="24"/>
  <c r="C397" i="24"/>
  <c r="B397" i="24"/>
  <c r="C396" i="24"/>
  <c r="B396" i="24"/>
  <c r="C395" i="24"/>
  <c r="B395" i="24"/>
  <c r="C393" i="24"/>
  <c r="B393" i="24"/>
  <c r="C392" i="24"/>
  <c r="B392" i="24"/>
  <c r="B391" i="24"/>
  <c r="C390" i="24"/>
  <c r="B390" i="24"/>
  <c r="C389" i="24"/>
  <c r="B389" i="24"/>
  <c r="B388" i="24"/>
  <c r="C387" i="24"/>
  <c r="B387" i="24"/>
  <c r="B386" i="24"/>
  <c r="C385" i="24"/>
  <c r="B385" i="24"/>
  <c r="C384" i="24"/>
  <c r="B384" i="24"/>
  <c r="C382" i="24"/>
  <c r="B382" i="24"/>
  <c r="C381" i="24"/>
  <c r="B381" i="24"/>
  <c r="C378" i="24"/>
  <c r="B378" i="24"/>
  <c r="B379" i="24" s="1"/>
  <c r="B377" i="24"/>
  <c r="C376" i="24"/>
  <c r="B376" i="24"/>
  <c r="C375" i="24"/>
  <c r="B375" i="24"/>
  <c r="B371" i="24"/>
  <c r="C370" i="24"/>
  <c r="C369" i="24"/>
  <c r="B368" i="24"/>
  <c r="C367" i="24"/>
  <c r="B367" i="24"/>
  <c r="B372" i="24" s="1"/>
  <c r="C366" i="24"/>
  <c r="B366" i="24"/>
  <c r="C365" i="24"/>
  <c r="B365" i="24"/>
  <c r="C364" i="24"/>
  <c r="B364" i="24"/>
  <c r="C363" i="24"/>
  <c r="B363" i="24"/>
  <c r="C362" i="24"/>
  <c r="B362" i="24"/>
  <c r="C361" i="24"/>
  <c r="B361" i="24"/>
  <c r="C360" i="24"/>
  <c r="B360" i="24"/>
  <c r="C359" i="24"/>
  <c r="B359" i="24"/>
  <c r="C358" i="24"/>
  <c r="B358" i="24"/>
  <c r="C357" i="24"/>
  <c r="B357" i="24"/>
  <c r="C355" i="24"/>
  <c r="B355" i="24"/>
  <c r="C354" i="24"/>
  <c r="B354" i="24"/>
  <c r="B353" i="24"/>
  <c r="C352" i="24"/>
  <c r="B352" i="24"/>
  <c r="C351" i="24"/>
  <c r="B351" i="24"/>
  <c r="B350" i="24"/>
  <c r="C349" i="24"/>
  <c r="B349" i="24"/>
  <c r="B348" i="24"/>
  <c r="C347" i="24"/>
  <c r="B347" i="24"/>
  <c r="C346" i="24"/>
  <c r="B346" i="24"/>
  <c r="C344" i="24"/>
  <c r="B344" i="24"/>
  <c r="C343" i="24"/>
  <c r="B343" i="24"/>
  <c r="C340" i="24"/>
  <c r="C338" i="24"/>
  <c r="C337" i="24"/>
  <c r="B337" i="24"/>
  <c r="C335" i="24"/>
  <c r="B335" i="24"/>
  <c r="C334" i="24"/>
  <c r="B334" i="24"/>
  <c r="B333" i="24"/>
  <c r="C332" i="24"/>
  <c r="B332" i="24"/>
  <c r="C331" i="24"/>
  <c r="B331" i="24"/>
  <c r="B330" i="24"/>
  <c r="C329" i="24"/>
  <c r="B329" i="24"/>
  <c r="C328" i="24"/>
  <c r="B328" i="24"/>
  <c r="C327" i="24"/>
  <c r="B327" i="24"/>
  <c r="C326" i="24"/>
  <c r="B326" i="24"/>
  <c r="C325" i="24"/>
  <c r="B325" i="24"/>
  <c r="C324" i="24"/>
  <c r="B324" i="24"/>
  <c r="C323" i="24"/>
  <c r="B323" i="24"/>
  <c r="C322" i="24"/>
  <c r="B322" i="24"/>
  <c r="C321" i="24"/>
  <c r="B321" i="24"/>
  <c r="C320" i="24"/>
  <c r="B320" i="24"/>
  <c r="C319" i="24"/>
  <c r="B319" i="24"/>
  <c r="C317" i="24"/>
  <c r="C316" i="24"/>
  <c r="C314" i="24"/>
  <c r="B314" i="24"/>
  <c r="C313" i="24"/>
  <c r="C309" i="24"/>
  <c r="B309" i="24"/>
  <c r="C308" i="24"/>
  <c r="B308" i="24"/>
  <c r="C306" i="24"/>
  <c r="B306" i="24"/>
  <c r="C305" i="24"/>
  <c r="B305" i="24"/>
  <c r="B303" i="24"/>
  <c r="C302" i="24"/>
  <c r="B302" i="24"/>
  <c r="B301" i="24"/>
  <c r="C300" i="24"/>
  <c r="B300" i="24"/>
  <c r="C299" i="24"/>
  <c r="B299" i="24"/>
  <c r="C297" i="24"/>
  <c r="B297" i="24"/>
  <c r="C296" i="24"/>
  <c r="B296" i="24"/>
  <c r="B295" i="24"/>
  <c r="C294" i="24"/>
  <c r="B294" i="24"/>
  <c r="C293" i="24"/>
  <c r="B293" i="24"/>
  <c r="B292" i="24"/>
  <c r="C291" i="24"/>
  <c r="B291" i="24"/>
  <c r="C290" i="24"/>
  <c r="B290" i="24"/>
  <c r="C289" i="24"/>
  <c r="B289" i="24"/>
  <c r="C288" i="24"/>
  <c r="B288" i="24"/>
  <c r="C287" i="24"/>
  <c r="B287" i="24"/>
  <c r="C286" i="24"/>
  <c r="B286" i="24"/>
  <c r="C285" i="24"/>
  <c r="B285" i="24"/>
  <c r="C284" i="24"/>
  <c r="B284" i="24"/>
  <c r="C283" i="24"/>
  <c r="B283" i="24"/>
  <c r="C282" i="24"/>
  <c r="B282" i="24"/>
  <c r="C281" i="24"/>
  <c r="B281" i="24"/>
  <c r="C279" i="24"/>
  <c r="C278" i="24"/>
  <c r="C275" i="24"/>
  <c r="B275" i="24"/>
  <c r="B274" i="24"/>
  <c r="C273" i="24"/>
  <c r="B272" i="24"/>
  <c r="B273" i="24" s="1"/>
  <c r="C271" i="24"/>
  <c r="B271" i="24"/>
  <c r="C270" i="24"/>
  <c r="B270" i="24"/>
  <c r="C268" i="24"/>
  <c r="B268" i="24"/>
  <c r="C267" i="24"/>
  <c r="B267" i="24"/>
  <c r="C264" i="24"/>
  <c r="B264" i="24"/>
  <c r="B263" i="24"/>
  <c r="C262" i="24"/>
  <c r="B262" i="24"/>
  <c r="B265" i="24" s="1"/>
  <c r="C261" i="24"/>
  <c r="B261" i="24"/>
  <c r="C259" i="24"/>
  <c r="C258" i="24"/>
  <c r="B258" i="24"/>
  <c r="C256" i="24"/>
  <c r="C255" i="24"/>
  <c r="C253" i="24"/>
  <c r="B253" i="24"/>
  <c r="C252" i="24"/>
  <c r="B252" i="24"/>
  <c r="C251" i="24"/>
  <c r="B251" i="24"/>
  <c r="C250" i="24"/>
  <c r="B250" i="24"/>
  <c r="C249" i="24"/>
  <c r="B249" i="24"/>
  <c r="C248" i="24"/>
  <c r="B248" i="24"/>
  <c r="C247" i="24"/>
  <c r="B247" i="24"/>
  <c r="C246" i="24"/>
  <c r="B246" i="24"/>
  <c r="C245" i="24"/>
  <c r="B245" i="24"/>
  <c r="C244" i="24"/>
  <c r="B244" i="24"/>
  <c r="C243" i="24"/>
  <c r="B243" i="24"/>
  <c r="C241" i="24"/>
  <c r="B241" i="24"/>
  <c r="C240" i="24"/>
  <c r="B240" i="24"/>
  <c r="B239" i="24"/>
  <c r="C238" i="24"/>
  <c r="B238" i="24"/>
  <c r="C237" i="24"/>
  <c r="B237" i="24"/>
  <c r="B236" i="24"/>
  <c r="C235" i="24"/>
  <c r="B235" i="24"/>
  <c r="B234" i="24"/>
  <c r="C233" i="24"/>
  <c r="B233" i="24"/>
  <c r="C232" i="24"/>
  <c r="B232" i="24"/>
  <c r="C230" i="24"/>
  <c r="B230" i="24"/>
  <c r="C229" i="24"/>
  <c r="B229" i="24"/>
  <c r="B227" i="24"/>
  <c r="B226" i="24"/>
  <c r="B225" i="24"/>
  <c r="C224" i="24"/>
  <c r="B224" i="24"/>
  <c r="C223" i="24"/>
  <c r="B223" i="24"/>
  <c r="C221" i="24"/>
  <c r="B221" i="24"/>
  <c r="C220" i="24"/>
  <c r="B220" i="24"/>
  <c r="B219" i="24"/>
  <c r="C218" i="24"/>
  <c r="B218" i="24"/>
  <c r="C217" i="24"/>
  <c r="B217" i="24"/>
  <c r="B216" i="24"/>
  <c r="C215" i="24"/>
  <c r="B215" i="24"/>
  <c r="C214" i="24"/>
  <c r="B214" i="24"/>
  <c r="C213" i="24"/>
  <c r="B213" i="24"/>
  <c r="C212" i="24"/>
  <c r="B212" i="24"/>
  <c r="C211" i="24"/>
  <c r="B211" i="24"/>
  <c r="C210" i="24"/>
  <c r="B210" i="24"/>
  <c r="C209" i="24"/>
  <c r="B209" i="24"/>
  <c r="C208" i="24"/>
  <c r="B208" i="24"/>
  <c r="C207" i="24"/>
  <c r="B207" i="24"/>
  <c r="C206" i="24"/>
  <c r="B206" i="24"/>
  <c r="C205" i="24"/>
  <c r="B205" i="24"/>
  <c r="C203" i="24"/>
  <c r="C202" i="24"/>
  <c r="C200" i="24"/>
  <c r="B200" i="24"/>
  <c r="C199" i="24"/>
  <c r="B199" i="24"/>
  <c r="B198" i="24"/>
  <c r="C197" i="24"/>
  <c r="B196" i="24"/>
  <c r="B197" i="24" s="1"/>
  <c r="C195" i="24"/>
  <c r="B195" i="24"/>
  <c r="C194" i="24"/>
  <c r="B194" i="24"/>
  <c r="C192" i="24"/>
  <c r="B192" i="24"/>
  <c r="C191" i="24"/>
  <c r="B191" i="24"/>
  <c r="B189" i="24"/>
  <c r="C188" i="24"/>
  <c r="B188" i="24"/>
  <c r="B187" i="24"/>
  <c r="C186" i="24"/>
  <c r="B186" i="24"/>
  <c r="C185" i="24"/>
  <c r="B185" i="24"/>
  <c r="C183" i="24"/>
  <c r="B183" i="24"/>
  <c r="C182" i="24"/>
  <c r="B178" i="24"/>
  <c r="C177" i="24"/>
  <c r="B177" i="24"/>
  <c r="C176" i="24"/>
  <c r="B176" i="24"/>
  <c r="C175" i="24"/>
  <c r="B175" i="24"/>
  <c r="C174" i="24"/>
  <c r="B174" i="24"/>
  <c r="C173" i="24"/>
  <c r="B173" i="24"/>
  <c r="C172" i="24"/>
  <c r="B172" i="24"/>
  <c r="C171" i="24"/>
  <c r="B171" i="24"/>
  <c r="C170" i="24"/>
  <c r="B170" i="24"/>
  <c r="C169" i="24"/>
  <c r="B169" i="24"/>
  <c r="C168" i="24"/>
  <c r="B168" i="24"/>
  <c r="C167" i="24"/>
  <c r="B167" i="24"/>
  <c r="C165" i="24"/>
  <c r="B165" i="24"/>
  <c r="C164" i="24"/>
  <c r="B164" i="24"/>
  <c r="B163" i="24"/>
  <c r="C162" i="24"/>
  <c r="B162" i="24"/>
  <c r="C161" i="24"/>
  <c r="B161" i="24"/>
  <c r="B160" i="24"/>
  <c r="C159" i="24"/>
  <c r="B159" i="24"/>
  <c r="B158" i="24"/>
  <c r="C157" i="24"/>
  <c r="B157" i="24"/>
  <c r="C156" i="24"/>
  <c r="B156" i="24"/>
  <c r="C154" i="24"/>
  <c r="B154" i="24"/>
  <c r="C153" i="24"/>
  <c r="B153" i="24"/>
  <c r="K152" i="24"/>
  <c r="C150" i="24"/>
  <c r="C148" i="24"/>
  <c r="B148" i="24"/>
  <c r="B151" i="24" s="1"/>
  <c r="C147" i="24"/>
  <c r="B147" i="24"/>
  <c r="C145" i="24"/>
  <c r="B145" i="24"/>
  <c r="C144" i="24"/>
  <c r="B144" i="24"/>
  <c r="B143" i="24"/>
  <c r="C142" i="24"/>
  <c r="B142" i="24"/>
  <c r="C141" i="24"/>
  <c r="B141" i="24"/>
  <c r="B140" i="24"/>
  <c r="C139" i="24"/>
  <c r="B139" i="24"/>
  <c r="C138" i="24"/>
  <c r="B138" i="24"/>
  <c r="C137" i="24"/>
  <c r="B137" i="24"/>
  <c r="C136" i="24"/>
  <c r="B136" i="24"/>
  <c r="C135" i="24"/>
  <c r="B135" i="24"/>
  <c r="C134" i="24"/>
  <c r="B134" i="24"/>
  <c r="C133" i="24"/>
  <c r="B133" i="24"/>
  <c r="C132" i="24"/>
  <c r="B132" i="24"/>
  <c r="C131" i="24"/>
  <c r="B131" i="24"/>
  <c r="C130" i="24"/>
  <c r="B130" i="24"/>
  <c r="C129" i="24"/>
  <c r="B129" i="24"/>
  <c r="C127" i="24"/>
  <c r="C126" i="24"/>
  <c r="B126" i="24"/>
  <c r="B125" i="24"/>
  <c r="C124" i="24"/>
  <c r="C123" i="24"/>
  <c r="C121" i="24"/>
  <c r="B121" i="24"/>
  <c r="B120" i="24"/>
  <c r="B119" i="24"/>
  <c r="B124" i="24" s="1"/>
  <c r="B118" i="24"/>
  <c r="C116" i="24"/>
  <c r="B116" i="24"/>
  <c r="C115" i="24"/>
  <c r="B115" i="24"/>
  <c r="B113" i="24"/>
  <c r="C112" i="24"/>
  <c r="B112" i="24"/>
  <c r="B111" i="24"/>
  <c r="C110" i="24"/>
  <c r="B110" i="24"/>
  <c r="C109" i="24"/>
  <c r="B109" i="24"/>
  <c r="C107" i="24"/>
  <c r="B107" i="24"/>
  <c r="C106" i="24"/>
  <c r="C104" i="24"/>
  <c r="B104" i="24"/>
  <c r="C103" i="24"/>
  <c r="B103" i="24"/>
  <c r="B102" i="24"/>
  <c r="B101" i="24"/>
  <c r="B106" i="24" s="1"/>
  <c r="B100" i="24"/>
  <c r="B99" i="24"/>
  <c r="C98" i="24"/>
  <c r="B98" i="24"/>
  <c r="B97" i="24"/>
  <c r="B96" i="24"/>
  <c r="C95" i="24"/>
  <c r="B95" i="24"/>
  <c r="B94" i="24"/>
  <c r="B93" i="24"/>
  <c r="B92" i="24"/>
  <c r="C91" i="24"/>
  <c r="B91" i="24"/>
  <c r="C89" i="24"/>
  <c r="C88" i="24"/>
  <c r="C86" i="24"/>
  <c r="C85" i="24"/>
  <c r="C83" i="24"/>
  <c r="C81" i="24"/>
  <c r="B81" i="24"/>
  <c r="C80" i="24"/>
  <c r="B80" i="24"/>
  <c r="C78" i="24"/>
  <c r="B78" i="24"/>
  <c r="C77" i="24"/>
  <c r="B77" i="24"/>
  <c r="B75" i="24"/>
  <c r="C74" i="24"/>
  <c r="B74" i="24"/>
  <c r="B73" i="24"/>
  <c r="C72" i="24"/>
  <c r="B72" i="24"/>
  <c r="C71" i="24"/>
  <c r="B71" i="24"/>
  <c r="C69" i="24"/>
  <c r="B69" i="24"/>
  <c r="C68" i="24"/>
  <c r="B68" i="24"/>
  <c r="B67" i="24"/>
  <c r="C66" i="24"/>
  <c r="B66" i="24"/>
  <c r="C65" i="24"/>
  <c r="B65" i="24"/>
  <c r="B64" i="24"/>
  <c r="C63" i="24"/>
  <c r="B63" i="24"/>
  <c r="C62" i="24"/>
  <c r="B62" i="24"/>
  <c r="C61" i="24"/>
  <c r="B61" i="24"/>
  <c r="C60" i="24"/>
  <c r="B60" i="24"/>
  <c r="C59" i="24"/>
  <c r="B59" i="24"/>
  <c r="C58" i="24"/>
  <c r="B58" i="24"/>
  <c r="C57" i="24"/>
  <c r="B57" i="24"/>
  <c r="C56" i="24"/>
  <c r="B56" i="24"/>
  <c r="C55" i="24"/>
  <c r="B55" i="24"/>
  <c r="C54" i="24"/>
  <c r="B54" i="24"/>
  <c r="C53" i="24"/>
  <c r="B53" i="24"/>
  <c r="C51" i="24"/>
  <c r="C50" i="24"/>
  <c r="C48" i="24"/>
  <c r="C47" i="24"/>
  <c r="C45" i="24"/>
  <c r="B45" i="24"/>
  <c r="B44" i="24"/>
  <c r="C43" i="24"/>
  <c r="B43" i="24"/>
  <c r="C42" i="24"/>
  <c r="B42" i="24"/>
  <c r="C40" i="24"/>
  <c r="B40" i="24"/>
  <c r="C39" i="24"/>
  <c r="B39" i="24"/>
  <c r="C36" i="24"/>
  <c r="B35" i="24"/>
  <c r="C34" i="24"/>
  <c r="B34" i="24"/>
  <c r="C33" i="24"/>
  <c r="B33" i="24"/>
  <c r="C31" i="24"/>
  <c r="C30" i="24"/>
  <c r="C29" i="24"/>
  <c r="B29" i="24"/>
  <c r="C27" i="24"/>
  <c r="C26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2" i="24"/>
  <c r="B12" i="24"/>
  <c r="C11" i="24"/>
  <c r="B11" i="24"/>
  <c r="B10" i="24"/>
  <c r="C9" i="24"/>
  <c r="C8" i="24"/>
  <c r="B7" i="24"/>
  <c r="C6" i="24"/>
  <c r="B6" i="24"/>
  <c r="B5" i="24"/>
  <c r="C4" i="24"/>
  <c r="B4" i="24"/>
  <c r="B9" i="24" s="1"/>
  <c r="C3" i="24"/>
  <c r="B3" i="24"/>
  <c r="N210" i="22"/>
  <c r="L210" i="22"/>
  <c r="H210" i="22"/>
  <c r="G210" i="22"/>
  <c r="F210" i="22"/>
  <c r="E210" i="22"/>
  <c r="D210" i="22"/>
  <c r="C210" i="22"/>
  <c r="A210" i="22"/>
  <c r="N209" i="22"/>
  <c r="L209" i="22"/>
  <c r="H209" i="22"/>
  <c r="G209" i="22"/>
  <c r="F209" i="22"/>
  <c r="E209" i="22"/>
  <c r="D209" i="22"/>
  <c r="C209" i="22"/>
  <c r="A209" i="22"/>
  <c r="N208" i="22"/>
  <c r="L208" i="22"/>
  <c r="H208" i="22"/>
  <c r="G208" i="22"/>
  <c r="F208" i="22"/>
  <c r="E208" i="22"/>
  <c r="C208" i="22"/>
  <c r="A208" i="22"/>
  <c r="N207" i="22"/>
  <c r="L207" i="22"/>
  <c r="H207" i="22"/>
  <c r="G207" i="22"/>
  <c r="F207" i="22"/>
  <c r="E207" i="22"/>
  <c r="D207" i="22"/>
  <c r="C207" i="22"/>
  <c r="A207" i="22"/>
  <c r="N206" i="22"/>
  <c r="L206" i="22"/>
  <c r="H206" i="22"/>
  <c r="G206" i="22"/>
  <c r="F206" i="22"/>
  <c r="E206" i="22"/>
  <c r="D206" i="22"/>
  <c r="C206" i="22"/>
  <c r="A206" i="22"/>
  <c r="N205" i="22"/>
  <c r="L205" i="22"/>
  <c r="H205" i="22"/>
  <c r="G205" i="22"/>
  <c r="F205" i="22"/>
  <c r="E205" i="22"/>
  <c r="C205" i="22"/>
  <c r="A205" i="22"/>
  <c r="N204" i="22"/>
  <c r="L204" i="22"/>
  <c r="H204" i="22"/>
  <c r="G204" i="22"/>
  <c r="F204" i="22"/>
  <c r="E204" i="22"/>
  <c r="D204" i="22"/>
  <c r="C204" i="22"/>
  <c r="A204" i="22"/>
  <c r="N203" i="22"/>
  <c r="L203" i="22"/>
  <c r="H203" i="22"/>
  <c r="G203" i="22"/>
  <c r="F203" i="22"/>
  <c r="E203" i="22"/>
  <c r="C203" i="22"/>
  <c r="A203" i="22"/>
  <c r="N202" i="22"/>
  <c r="L202" i="22"/>
  <c r="H202" i="22"/>
  <c r="G202" i="22"/>
  <c r="F202" i="22"/>
  <c r="E202" i="22"/>
  <c r="D202" i="22"/>
  <c r="C202" i="22"/>
  <c r="A202" i="22"/>
  <c r="N201" i="22"/>
  <c r="L201" i="22"/>
  <c r="H201" i="22"/>
  <c r="G201" i="22"/>
  <c r="F201" i="22"/>
  <c r="E201" i="22"/>
  <c r="D201" i="22"/>
  <c r="C201" i="22"/>
  <c r="A201" i="22"/>
  <c r="N200" i="22"/>
  <c r="M199" i="22"/>
  <c r="L199" i="22"/>
  <c r="G199" i="22"/>
  <c r="F199" i="22"/>
  <c r="E199" i="22"/>
  <c r="D199" i="22"/>
  <c r="C199" i="22"/>
  <c r="A199" i="22"/>
  <c r="M198" i="22"/>
  <c r="L198" i="22"/>
  <c r="H198" i="22"/>
  <c r="G198" i="22"/>
  <c r="F198" i="22"/>
  <c r="E198" i="22"/>
  <c r="D198" i="22"/>
  <c r="C198" i="22"/>
  <c r="A198" i="22"/>
  <c r="M197" i="22"/>
  <c r="L197" i="22"/>
  <c r="H197" i="22"/>
  <c r="G197" i="22"/>
  <c r="F197" i="22"/>
  <c r="E197" i="22"/>
  <c r="D197" i="22"/>
  <c r="C197" i="22"/>
  <c r="A197" i="22"/>
  <c r="M196" i="22"/>
  <c r="L196" i="22"/>
  <c r="G196" i="22"/>
  <c r="F196" i="22"/>
  <c r="E196" i="22"/>
  <c r="D196" i="22"/>
  <c r="C196" i="22"/>
  <c r="A196" i="22"/>
  <c r="M195" i="22"/>
  <c r="L195" i="22"/>
  <c r="H195" i="22"/>
  <c r="G195" i="22"/>
  <c r="F195" i="22"/>
  <c r="E195" i="22"/>
  <c r="D195" i="22"/>
  <c r="C195" i="22"/>
  <c r="A195" i="22"/>
  <c r="M194" i="22"/>
  <c r="L194" i="22"/>
  <c r="H194" i="22"/>
  <c r="G194" i="22"/>
  <c r="F194" i="22"/>
  <c r="E194" i="22"/>
  <c r="D194" i="22"/>
  <c r="C194" i="22"/>
  <c r="A194" i="22"/>
  <c r="M193" i="22"/>
  <c r="L193" i="22"/>
  <c r="G193" i="22"/>
  <c r="F193" i="22"/>
  <c r="E193" i="22"/>
  <c r="D193" i="22"/>
  <c r="C193" i="22"/>
  <c r="A193" i="22"/>
  <c r="M192" i="22"/>
  <c r="L192" i="22"/>
  <c r="H192" i="22"/>
  <c r="G192" i="22"/>
  <c r="F192" i="22"/>
  <c r="E192" i="22"/>
  <c r="D192" i="22"/>
  <c r="C192" i="22"/>
  <c r="A192" i="22"/>
  <c r="M191" i="22"/>
  <c r="L191" i="22"/>
  <c r="G191" i="22"/>
  <c r="F191" i="22"/>
  <c r="E191" i="22"/>
  <c r="D191" i="22"/>
  <c r="C191" i="22"/>
  <c r="A191" i="22"/>
  <c r="M190" i="22"/>
  <c r="L190" i="22"/>
  <c r="H190" i="22"/>
  <c r="G190" i="22"/>
  <c r="F190" i="22"/>
  <c r="E190" i="22"/>
  <c r="D190" i="22"/>
  <c r="C190" i="22"/>
  <c r="A190" i="22"/>
  <c r="M188" i="22"/>
  <c r="L188" i="22"/>
  <c r="H188" i="22"/>
  <c r="G188" i="22"/>
  <c r="F188" i="22"/>
  <c r="E188" i="22"/>
  <c r="D188" i="22"/>
  <c r="C188" i="22"/>
  <c r="A188" i="22"/>
  <c r="L187" i="22"/>
  <c r="H187" i="22"/>
  <c r="G187" i="22"/>
  <c r="F187" i="22"/>
  <c r="E187" i="22"/>
  <c r="D187" i="22"/>
  <c r="C187" i="22"/>
  <c r="A187" i="22"/>
  <c r="L186" i="22"/>
  <c r="H186" i="22"/>
  <c r="G186" i="22"/>
  <c r="F186" i="22"/>
  <c r="E186" i="22"/>
  <c r="C186" i="22"/>
  <c r="A186" i="22"/>
  <c r="L185" i="22"/>
  <c r="H185" i="22"/>
  <c r="G185" i="22"/>
  <c r="F185" i="22"/>
  <c r="E185" i="22"/>
  <c r="C185" i="22"/>
  <c r="A185" i="22"/>
  <c r="L184" i="22"/>
  <c r="H184" i="22"/>
  <c r="G184" i="22"/>
  <c r="F184" i="22"/>
  <c r="E184" i="22"/>
  <c r="C184" i="22"/>
  <c r="A184" i="22"/>
  <c r="L183" i="22"/>
  <c r="H183" i="22"/>
  <c r="G183" i="22"/>
  <c r="F183" i="22"/>
  <c r="E183" i="22"/>
  <c r="D183" i="22"/>
  <c r="C183" i="22"/>
  <c r="A183" i="22"/>
  <c r="M182" i="22"/>
  <c r="L182" i="22"/>
  <c r="H182" i="22"/>
  <c r="G182" i="22"/>
  <c r="F182" i="22"/>
  <c r="E182" i="22"/>
  <c r="D182" i="22"/>
  <c r="C182" i="22"/>
  <c r="A182" i="22"/>
  <c r="L181" i="22"/>
  <c r="H181" i="22"/>
  <c r="G181" i="22"/>
  <c r="F181" i="22"/>
  <c r="E181" i="22"/>
  <c r="C181" i="22"/>
  <c r="A181" i="22"/>
  <c r="L180" i="22"/>
  <c r="H180" i="22"/>
  <c r="G180" i="22"/>
  <c r="F180" i="22"/>
  <c r="E180" i="22"/>
  <c r="C180" i="22"/>
  <c r="A180" i="22"/>
  <c r="L179" i="22"/>
  <c r="H179" i="22"/>
  <c r="G179" i="22"/>
  <c r="F179" i="22"/>
  <c r="E179" i="22"/>
  <c r="D179" i="22"/>
  <c r="C179" i="22"/>
  <c r="A179" i="22"/>
  <c r="L177" i="22"/>
  <c r="H177" i="22"/>
  <c r="G177" i="22"/>
  <c r="F177" i="22"/>
  <c r="E177" i="22"/>
  <c r="D177" i="22"/>
  <c r="C177" i="22"/>
  <c r="A177" i="22"/>
  <c r="L176" i="22"/>
  <c r="H176" i="22"/>
  <c r="G176" i="22"/>
  <c r="F176" i="22"/>
  <c r="E176" i="22"/>
  <c r="D176" i="22"/>
  <c r="C176" i="22"/>
  <c r="A176" i="22"/>
  <c r="L175" i="22"/>
  <c r="H175" i="22"/>
  <c r="G175" i="22"/>
  <c r="F175" i="22"/>
  <c r="D175" i="22"/>
  <c r="C175" i="22"/>
  <c r="A175" i="22"/>
  <c r="M174" i="22"/>
  <c r="L174" i="22"/>
  <c r="H174" i="22"/>
  <c r="G174" i="22"/>
  <c r="F174" i="22"/>
  <c r="E174" i="22"/>
  <c r="D174" i="22"/>
  <c r="C174" i="22"/>
  <c r="A174" i="22"/>
  <c r="L173" i="22"/>
  <c r="H173" i="22"/>
  <c r="G173" i="22"/>
  <c r="F173" i="22"/>
  <c r="E173" i="22"/>
  <c r="D173" i="22"/>
  <c r="C173" i="22"/>
  <c r="A173" i="22"/>
  <c r="L172" i="22"/>
  <c r="H172" i="22"/>
  <c r="G172" i="22"/>
  <c r="F172" i="22"/>
  <c r="D172" i="22"/>
  <c r="C172" i="22"/>
  <c r="A172" i="22"/>
  <c r="L171" i="22"/>
  <c r="H171" i="22"/>
  <c r="G171" i="22"/>
  <c r="F171" i="22"/>
  <c r="E171" i="22"/>
  <c r="D171" i="22"/>
  <c r="C171" i="22"/>
  <c r="A171" i="22"/>
  <c r="L170" i="22"/>
  <c r="H170" i="22"/>
  <c r="G170" i="22"/>
  <c r="F170" i="22"/>
  <c r="D170" i="22"/>
  <c r="C170" i="22"/>
  <c r="A170" i="22"/>
  <c r="L169" i="22"/>
  <c r="H169" i="22"/>
  <c r="G169" i="22"/>
  <c r="F169" i="22"/>
  <c r="E169" i="22"/>
  <c r="D169" i="22"/>
  <c r="C169" i="22"/>
  <c r="A169" i="22"/>
  <c r="L168" i="22"/>
  <c r="H168" i="22"/>
  <c r="G168" i="22"/>
  <c r="F168" i="22"/>
  <c r="E168" i="22"/>
  <c r="D168" i="22"/>
  <c r="C168" i="22"/>
  <c r="A168" i="22"/>
  <c r="M166" i="22"/>
  <c r="L166" i="22"/>
  <c r="H166" i="22"/>
  <c r="G166" i="22"/>
  <c r="F166" i="22"/>
  <c r="E166" i="22"/>
  <c r="D166" i="22"/>
  <c r="C166" i="22"/>
  <c r="A166" i="22"/>
  <c r="L165" i="22"/>
  <c r="H165" i="22"/>
  <c r="G165" i="22"/>
  <c r="F165" i="22"/>
  <c r="E165" i="22"/>
  <c r="D165" i="22"/>
  <c r="C165" i="22"/>
  <c r="A165" i="22"/>
  <c r="L164" i="22"/>
  <c r="H164" i="22"/>
  <c r="G164" i="22"/>
  <c r="F164" i="22"/>
  <c r="E164" i="22"/>
  <c r="D164" i="22"/>
  <c r="C164" i="22"/>
  <c r="A164" i="22"/>
  <c r="L163" i="22"/>
  <c r="H163" i="22"/>
  <c r="G163" i="22"/>
  <c r="F163" i="22"/>
  <c r="E163" i="22"/>
  <c r="D163" i="22"/>
  <c r="C163" i="22"/>
  <c r="A163" i="22"/>
  <c r="L162" i="22"/>
  <c r="H162" i="22"/>
  <c r="G162" i="22"/>
  <c r="F162" i="22"/>
  <c r="E162" i="22"/>
  <c r="D162" i="22"/>
  <c r="C162" i="22"/>
  <c r="A162" i="22"/>
  <c r="L161" i="22"/>
  <c r="H161" i="22"/>
  <c r="G161" i="22"/>
  <c r="F161" i="22"/>
  <c r="E161" i="22"/>
  <c r="D161" i="22"/>
  <c r="C161" i="22"/>
  <c r="A161" i="22"/>
  <c r="M160" i="22"/>
  <c r="L160" i="22"/>
  <c r="H160" i="22"/>
  <c r="G160" i="22"/>
  <c r="F160" i="22"/>
  <c r="E160" i="22"/>
  <c r="D160" i="22"/>
  <c r="C160" i="22"/>
  <c r="A160" i="22"/>
  <c r="L159" i="22"/>
  <c r="H159" i="22"/>
  <c r="G159" i="22"/>
  <c r="F159" i="22"/>
  <c r="E159" i="22"/>
  <c r="D159" i="22"/>
  <c r="C159" i="22"/>
  <c r="A159" i="22"/>
  <c r="L158" i="22"/>
  <c r="H158" i="22"/>
  <c r="G158" i="22"/>
  <c r="F158" i="22"/>
  <c r="E158" i="22"/>
  <c r="D158" i="22"/>
  <c r="C158" i="22"/>
  <c r="A158" i="22"/>
  <c r="L157" i="22"/>
  <c r="H157" i="22"/>
  <c r="G157" i="22"/>
  <c r="F157" i="22"/>
  <c r="E157" i="22"/>
  <c r="D157" i="22"/>
  <c r="C157" i="22"/>
  <c r="A157" i="22"/>
  <c r="M155" i="22"/>
  <c r="L155" i="22"/>
  <c r="H155" i="22"/>
  <c r="G155" i="22"/>
  <c r="F155" i="22"/>
  <c r="E155" i="22"/>
  <c r="D155" i="22"/>
  <c r="C155" i="22"/>
  <c r="A155" i="22"/>
  <c r="L154" i="22"/>
  <c r="H154" i="22"/>
  <c r="G154" i="22"/>
  <c r="F154" i="22"/>
  <c r="E154" i="22"/>
  <c r="D154" i="22"/>
  <c r="C154" i="22"/>
  <c r="A154" i="22"/>
  <c r="L153" i="22"/>
  <c r="H153" i="22"/>
  <c r="G153" i="22"/>
  <c r="F153" i="22"/>
  <c r="D153" i="22"/>
  <c r="C153" i="22"/>
  <c r="A153" i="22"/>
  <c r="L152" i="22"/>
  <c r="H152" i="22"/>
  <c r="G152" i="22"/>
  <c r="F152" i="22"/>
  <c r="E152" i="22"/>
  <c r="D152" i="22"/>
  <c r="C152" i="22"/>
  <c r="A152" i="22"/>
  <c r="L151" i="22"/>
  <c r="H151" i="22"/>
  <c r="G151" i="22"/>
  <c r="F151" i="22"/>
  <c r="E151" i="22"/>
  <c r="D151" i="22"/>
  <c r="C151" i="22"/>
  <c r="A151" i="22"/>
  <c r="M150" i="22"/>
  <c r="L150" i="22"/>
  <c r="H150" i="22"/>
  <c r="G150" i="22"/>
  <c r="F150" i="22"/>
  <c r="D150" i="22"/>
  <c r="C150" i="22"/>
  <c r="A150" i="22"/>
  <c r="L149" i="22"/>
  <c r="H149" i="22"/>
  <c r="G149" i="22"/>
  <c r="F149" i="22"/>
  <c r="E149" i="22"/>
  <c r="D149" i="22"/>
  <c r="C149" i="22"/>
  <c r="A149" i="22"/>
  <c r="L148" i="22"/>
  <c r="H148" i="22"/>
  <c r="G148" i="22"/>
  <c r="F148" i="22"/>
  <c r="E148" i="22"/>
  <c r="D148" i="22"/>
  <c r="C148" i="22"/>
  <c r="A148" i="22"/>
  <c r="L147" i="22"/>
  <c r="H147" i="22"/>
  <c r="G147" i="22"/>
  <c r="F147" i="22"/>
  <c r="E147" i="22"/>
  <c r="D147" i="22"/>
  <c r="C147" i="22"/>
  <c r="A147" i="22"/>
  <c r="L146" i="22"/>
  <c r="H146" i="22"/>
  <c r="G146" i="22"/>
  <c r="F146" i="22"/>
  <c r="E146" i="22"/>
  <c r="D146" i="22"/>
  <c r="C146" i="22"/>
  <c r="A146" i="22"/>
  <c r="L144" i="22"/>
  <c r="H144" i="22"/>
  <c r="G144" i="22"/>
  <c r="F144" i="22"/>
  <c r="E144" i="22"/>
  <c r="D144" i="22"/>
  <c r="C144" i="22"/>
  <c r="A144" i="22"/>
  <c r="L143" i="22"/>
  <c r="H143" i="22"/>
  <c r="G143" i="22"/>
  <c r="F143" i="22"/>
  <c r="E143" i="22"/>
  <c r="D143" i="22"/>
  <c r="C143" i="22"/>
  <c r="A143" i="22"/>
  <c r="L142" i="22"/>
  <c r="H142" i="22"/>
  <c r="G142" i="22"/>
  <c r="F142" i="22"/>
  <c r="E142" i="22"/>
  <c r="D142" i="22"/>
  <c r="C142" i="22"/>
  <c r="A142" i="22"/>
  <c r="L141" i="22"/>
  <c r="H141" i="22"/>
  <c r="G141" i="22"/>
  <c r="F141" i="22"/>
  <c r="E141" i="22"/>
  <c r="D141" i="22"/>
  <c r="C141" i="22"/>
  <c r="A141" i="22"/>
  <c r="M140" i="22"/>
  <c r="L140" i="22"/>
  <c r="H140" i="22"/>
  <c r="G140" i="22"/>
  <c r="F140" i="22"/>
  <c r="E140" i="22"/>
  <c r="D140" i="22"/>
  <c r="C140" i="22"/>
  <c r="A140" i="22"/>
  <c r="L139" i="22"/>
  <c r="H139" i="22"/>
  <c r="G139" i="22"/>
  <c r="F139" i="22"/>
  <c r="E139" i="22"/>
  <c r="D139" i="22"/>
  <c r="C139" i="22"/>
  <c r="A139" i="22"/>
  <c r="L138" i="22"/>
  <c r="H138" i="22"/>
  <c r="G138" i="22"/>
  <c r="F138" i="22"/>
  <c r="E138" i="22"/>
  <c r="D138" i="22"/>
  <c r="C138" i="22"/>
  <c r="A138" i="22"/>
  <c r="L137" i="22"/>
  <c r="H137" i="22"/>
  <c r="G137" i="22"/>
  <c r="F137" i="22"/>
  <c r="E137" i="22"/>
  <c r="D137" i="22"/>
  <c r="C137" i="22"/>
  <c r="A137" i="22"/>
  <c r="L136" i="22"/>
  <c r="H136" i="22"/>
  <c r="G136" i="22"/>
  <c r="F136" i="22"/>
  <c r="E136" i="22"/>
  <c r="D136" i="22"/>
  <c r="C136" i="22"/>
  <c r="A136" i="22"/>
  <c r="M135" i="22"/>
  <c r="L135" i="22"/>
  <c r="H135" i="22"/>
  <c r="G135" i="22"/>
  <c r="F135" i="22"/>
  <c r="E135" i="22"/>
  <c r="D135" i="22"/>
  <c r="C135" i="22"/>
  <c r="A135" i="22"/>
  <c r="L133" i="22"/>
  <c r="G133" i="22"/>
  <c r="F133" i="22"/>
  <c r="E133" i="22"/>
  <c r="D133" i="22"/>
  <c r="C133" i="22"/>
  <c r="A133" i="22"/>
  <c r="L132" i="22"/>
  <c r="G132" i="22"/>
  <c r="F132" i="22"/>
  <c r="E132" i="22"/>
  <c r="D132" i="22"/>
  <c r="C132" i="22"/>
  <c r="A132" i="22"/>
  <c r="L131" i="22"/>
  <c r="G131" i="22"/>
  <c r="F131" i="22"/>
  <c r="E131" i="22"/>
  <c r="D131" i="22"/>
  <c r="C131" i="22"/>
  <c r="A131" i="22"/>
  <c r="M130" i="22"/>
  <c r="L130" i="22"/>
  <c r="G130" i="22"/>
  <c r="F130" i="22"/>
  <c r="E130" i="22"/>
  <c r="D130" i="22"/>
  <c r="C130" i="22"/>
  <c r="A130" i="22"/>
  <c r="L129" i="22"/>
  <c r="G129" i="22"/>
  <c r="F129" i="22"/>
  <c r="E129" i="22"/>
  <c r="D129" i="22"/>
  <c r="C129" i="22"/>
  <c r="A129" i="22"/>
  <c r="M128" i="22"/>
  <c r="L128" i="22"/>
  <c r="H128" i="22"/>
  <c r="G128" i="22"/>
  <c r="F128" i="22"/>
  <c r="E128" i="22"/>
  <c r="D128" i="22"/>
  <c r="C128" i="22"/>
  <c r="A128" i="22"/>
  <c r="L127" i="22"/>
  <c r="G127" i="22"/>
  <c r="F127" i="22"/>
  <c r="E127" i="22"/>
  <c r="D127" i="22"/>
  <c r="C127" i="22"/>
  <c r="A127" i="22"/>
  <c r="L126" i="22"/>
  <c r="H126" i="22"/>
  <c r="G126" i="22"/>
  <c r="F126" i="22"/>
  <c r="E126" i="22"/>
  <c r="D126" i="22"/>
  <c r="C126" i="22"/>
  <c r="A126" i="22"/>
  <c r="L125" i="22"/>
  <c r="G125" i="22"/>
  <c r="F125" i="22"/>
  <c r="E125" i="22"/>
  <c r="D125" i="22"/>
  <c r="C125" i="22"/>
  <c r="A125" i="22"/>
  <c r="L124" i="22"/>
  <c r="G124" i="22"/>
  <c r="F124" i="22"/>
  <c r="E124" i="22"/>
  <c r="D124" i="22"/>
  <c r="C124" i="22"/>
  <c r="A124" i="22"/>
  <c r="L122" i="22"/>
  <c r="H122" i="22"/>
  <c r="G122" i="22"/>
  <c r="F122" i="22"/>
  <c r="E122" i="22"/>
  <c r="D122" i="22"/>
  <c r="C122" i="22"/>
  <c r="A122" i="22"/>
  <c r="L121" i="22"/>
  <c r="H121" i="22"/>
  <c r="G121" i="22"/>
  <c r="F121" i="22"/>
  <c r="E121" i="22"/>
  <c r="D121" i="22"/>
  <c r="C121" i="22"/>
  <c r="A121" i="22"/>
  <c r="L120" i="22"/>
  <c r="H120" i="22"/>
  <c r="G120" i="22"/>
  <c r="F120" i="22"/>
  <c r="E120" i="22"/>
  <c r="C120" i="22"/>
  <c r="A120" i="22"/>
  <c r="M119" i="22"/>
  <c r="L119" i="22"/>
  <c r="H119" i="22"/>
  <c r="G119" i="22"/>
  <c r="F119" i="22"/>
  <c r="E119" i="22"/>
  <c r="D119" i="22"/>
  <c r="C119" i="22"/>
  <c r="A119" i="22"/>
  <c r="L118" i="22"/>
  <c r="H118" i="22"/>
  <c r="G118" i="22"/>
  <c r="F118" i="22"/>
  <c r="E118" i="22"/>
  <c r="D118" i="22"/>
  <c r="C118" i="22"/>
  <c r="A118" i="22"/>
  <c r="L117" i="22"/>
  <c r="H117" i="22"/>
  <c r="G117" i="22"/>
  <c r="F117" i="22"/>
  <c r="E117" i="22"/>
  <c r="D117" i="22"/>
  <c r="C117" i="22"/>
  <c r="A117" i="22"/>
  <c r="M116" i="22"/>
  <c r="L116" i="22"/>
  <c r="H116" i="22"/>
  <c r="G116" i="22"/>
  <c r="F116" i="22"/>
  <c r="E116" i="22"/>
  <c r="D116" i="22"/>
  <c r="C116" i="22"/>
  <c r="A116" i="22"/>
  <c r="L115" i="22"/>
  <c r="H115" i="22"/>
  <c r="G115" i="22"/>
  <c r="F115" i="22"/>
  <c r="E115" i="22"/>
  <c r="C115" i="22"/>
  <c r="A115" i="22"/>
  <c r="L114" i="22"/>
  <c r="H114" i="22"/>
  <c r="G114" i="22"/>
  <c r="F114" i="22"/>
  <c r="E114" i="22"/>
  <c r="D114" i="22"/>
  <c r="C114" i="22"/>
  <c r="A114" i="22"/>
  <c r="L113" i="22"/>
  <c r="H113" i="22"/>
  <c r="G113" i="22"/>
  <c r="F113" i="22"/>
  <c r="E113" i="22"/>
  <c r="D113" i="22"/>
  <c r="C113" i="22"/>
  <c r="A113" i="22"/>
  <c r="L111" i="22"/>
  <c r="H111" i="22"/>
  <c r="G111" i="22"/>
  <c r="F111" i="22"/>
  <c r="E111" i="22"/>
  <c r="C111" i="22"/>
  <c r="A111" i="22"/>
  <c r="M110" i="22"/>
  <c r="L110" i="22"/>
  <c r="H110" i="22"/>
  <c r="G110" i="22"/>
  <c r="F110" i="22"/>
  <c r="E110" i="22"/>
  <c r="D110" i="22"/>
  <c r="D111" i="22" s="1"/>
  <c r="C110" i="22"/>
  <c r="A110" i="22"/>
  <c r="L109" i="22"/>
  <c r="H109" i="22"/>
  <c r="G109" i="22"/>
  <c r="F109" i="22"/>
  <c r="E109" i="22"/>
  <c r="D109" i="22"/>
  <c r="C109" i="22"/>
  <c r="A109" i="22"/>
  <c r="L108" i="22"/>
  <c r="H108" i="22"/>
  <c r="G108" i="22"/>
  <c r="F108" i="22"/>
  <c r="E108" i="22"/>
  <c r="D108" i="22"/>
  <c r="C108" i="22"/>
  <c r="A108" i="22"/>
  <c r="L107" i="22"/>
  <c r="H107" i="22"/>
  <c r="G107" i="22"/>
  <c r="F107" i="22"/>
  <c r="E107" i="22"/>
  <c r="D107" i="22"/>
  <c r="C107" i="22"/>
  <c r="A107" i="22"/>
  <c r="M106" i="22"/>
  <c r="L106" i="22"/>
  <c r="H106" i="22"/>
  <c r="G106" i="22"/>
  <c r="F106" i="22"/>
  <c r="E106" i="22"/>
  <c r="D106" i="22"/>
  <c r="C106" i="22"/>
  <c r="A106" i="22"/>
  <c r="L105" i="22"/>
  <c r="H105" i="22"/>
  <c r="G105" i="22"/>
  <c r="F105" i="22"/>
  <c r="E105" i="22"/>
  <c r="D105" i="22"/>
  <c r="C105" i="22"/>
  <c r="A105" i="22"/>
  <c r="L104" i="22"/>
  <c r="H104" i="22"/>
  <c r="G104" i="22"/>
  <c r="F104" i="22"/>
  <c r="E104" i="22"/>
  <c r="D104" i="22"/>
  <c r="C104" i="22"/>
  <c r="A104" i="22"/>
  <c r="L103" i="22"/>
  <c r="H103" i="22"/>
  <c r="G103" i="22"/>
  <c r="F103" i="22"/>
  <c r="E103" i="22"/>
  <c r="D103" i="22"/>
  <c r="C103" i="22"/>
  <c r="A103" i="22"/>
  <c r="M102" i="22"/>
  <c r="L102" i="22"/>
  <c r="H102" i="22"/>
  <c r="G102" i="22"/>
  <c r="F102" i="22"/>
  <c r="E102" i="22"/>
  <c r="D102" i="22"/>
  <c r="C102" i="22"/>
  <c r="A102" i="22"/>
  <c r="L100" i="22"/>
  <c r="H100" i="22"/>
  <c r="G100" i="22"/>
  <c r="F100" i="22"/>
  <c r="E100" i="22"/>
  <c r="D100" i="22"/>
  <c r="C100" i="22"/>
  <c r="A100" i="22"/>
  <c r="M99" i="22"/>
  <c r="L99" i="22"/>
  <c r="H99" i="22"/>
  <c r="G99" i="22"/>
  <c r="F99" i="22"/>
  <c r="E99" i="22"/>
  <c r="D99" i="22"/>
  <c r="C99" i="22"/>
  <c r="A99" i="22"/>
  <c r="L98" i="22"/>
  <c r="H98" i="22"/>
  <c r="G98" i="22"/>
  <c r="F98" i="22"/>
  <c r="E98" i="22"/>
  <c r="D98" i="22"/>
  <c r="C98" i="22"/>
  <c r="A98" i="22"/>
  <c r="L97" i="22"/>
  <c r="H97" i="22"/>
  <c r="G97" i="22"/>
  <c r="F97" i="22"/>
  <c r="E97" i="22"/>
  <c r="D97" i="22"/>
  <c r="C97" i="22"/>
  <c r="A97" i="22"/>
  <c r="L96" i="22"/>
  <c r="H96" i="22"/>
  <c r="G96" i="22"/>
  <c r="F96" i="22"/>
  <c r="E96" i="22"/>
  <c r="D96" i="22"/>
  <c r="C96" i="22"/>
  <c r="A96" i="22"/>
  <c r="M95" i="22"/>
  <c r="L95" i="22"/>
  <c r="H95" i="22"/>
  <c r="G95" i="22"/>
  <c r="F95" i="22"/>
  <c r="E95" i="22"/>
  <c r="D95" i="22"/>
  <c r="C95" i="22"/>
  <c r="A95" i="22"/>
  <c r="L94" i="22"/>
  <c r="H94" i="22"/>
  <c r="G94" i="22"/>
  <c r="F94" i="22"/>
  <c r="E94" i="22"/>
  <c r="D94" i="22"/>
  <c r="C94" i="22"/>
  <c r="A94" i="22"/>
  <c r="L93" i="22"/>
  <c r="H93" i="22"/>
  <c r="G93" i="22"/>
  <c r="F93" i="22"/>
  <c r="E93" i="22"/>
  <c r="D93" i="22"/>
  <c r="C93" i="22"/>
  <c r="A93" i="22"/>
  <c r="L92" i="22"/>
  <c r="H92" i="22"/>
  <c r="G92" i="22"/>
  <c r="F92" i="22"/>
  <c r="E92" i="22"/>
  <c r="D92" i="22"/>
  <c r="C92" i="22"/>
  <c r="A92" i="22"/>
  <c r="M91" i="22"/>
  <c r="L91" i="22"/>
  <c r="H91" i="22"/>
  <c r="G91" i="22"/>
  <c r="F91" i="22"/>
  <c r="E91" i="22"/>
  <c r="D91" i="22"/>
  <c r="C91" i="22"/>
  <c r="A91" i="22"/>
  <c r="L89" i="22"/>
  <c r="H89" i="22"/>
  <c r="G89" i="22"/>
  <c r="F89" i="22"/>
  <c r="E89" i="22"/>
  <c r="D89" i="22"/>
  <c r="C89" i="22"/>
  <c r="A89" i="22"/>
  <c r="M88" i="22"/>
  <c r="L88" i="22"/>
  <c r="H88" i="22"/>
  <c r="G88" i="22"/>
  <c r="F88" i="22"/>
  <c r="E88" i="22"/>
  <c r="D88" i="22"/>
  <c r="C88" i="22"/>
  <c r="A88" i="22"/>
  <c r="L87" i="22"/>
  <c r="H87" i="22"/>
  <c r="G87" i="22"/>
  <c r="F87" i="22"/>
  <c r="E87" i="22"/>
  <c r="D87" i="22"/>
  <c r="C87" i="22"/>
  <c r="A87" i="22"/>
  <c r="L86" i="22"/>
  <c r="H86" i="22"/>
  <c r="G86" i="22"/>
  <c r="F86" i="22"/>
  <c r="E86" i="22"/>
  <c r="D86" i="22"/>
  <c r="C86" i="22"/>
  <c r="A86" i="22"/>
  <c r="L85" i="22"/>
  <c r="H85" i="22"/>
  <c r="G85" i="22"/>
  <c r="F85" i="22"/>
  <c r="E85" i="22"/>
  <c r="D85" i="22"/>
  <c r="C85" i="22"/>
  <c r="A85" i="22"/>
  <c r="L84" i="22"/>
  <c r="H84" i="22"/>
  <c r="G84" i="22"/>
  <c r="F84" i="22"/>
  <c r="E84" i="22"/>
  <c r="D84" i="22"/>
  <c r="C84" i="22"/>
  <c r="A84" i="22"/>
  <c r="L83" i="22"/>
  <c r="H83" i="22"/>
  <c r="G83" i="22"/>
  <c r="F83" i="22"/>
  <c r="E83" i="22"/>
  <c r="D83" i="22"/>
  <c r="C83" i="22"/>
  <c r="A83" i="22"/>
  <c r="L82" i="22"/>
  <c r="H82" i="22"/>
  <c r="G82" i="22"/>
  <c r="F82" i="22"/>
  <c r="E82" i="22"/>
  <c r="D82" i="22"/>
  <c r="C82" i="22"/>
  <c r="A82" i="22"/>
  <c r="L81" i="22"/>
  <c r="H81" i="22"/>
  <c r="G81" i="22"/>
  <c r="F81" i="22"/>
  <c r="E81" i="22"/>
  <c r="D81" i="22"/>
  <c r="C81" i="22"/>
  <c r="A81" i="22"/>
  <c r="L80" i="22"/>
  <c r="H80" i="22"/>
  <c r="G80" i="22"/>
  <c r="F80" i="22"/>
  <c r="E80" i="22"/>
  <c r="D80" i="22"/>
  <c r="C80" i="22"/>
  <c r="A80" i="22"/>
  <c r="L78" i="22"/>
  <c r="H78" i="22"/>
  <c r="G78" i="22"/>
  <c r="F78" i="22"/>
  <c r="E78" i="22"/>
  <c r="D78" i="22"/>
  <c r="C78" i="22"/>
  <c r="A78" i="22"/>
  <c r="L77" i="22"/>
  <c r="H77" i="22"/>
  <c r="G77" i="22"/>
  <c r="F77" i="22"/>
  <c r="E77" i="22"/>
  <c r="D77" i="22"/>
  <c r="C77" i="22"/>
  <c r="A77" i="22"/>
  <c r="L76" i="22"/>
  <c r="H76" i="22"/>
  <c r="G76" i="22"/>
  <c r="F76" i="22"/>
  <c r="E76" i="22"/>
  <c r="D76" i="22"/>
  <c r="C76" i="22"/>
  <c r="A76" i="22"/>
  <c r="L75" i="22"/>
  <c r="H75" i="22"/>
  <c r="G75" i="22"/>
  <c r="F75" i="22"/>
  <c r="E75" i="22"/>
  <c r="D75" i="22"/>
  <c r="C75" i="22"/>
  <c r="A75" i="22"/>
  <c r="L74" i="22"/>
  <c r="H74" i="22"/>
  <c r="G74" i="22"/>
  <c r="F74" i="22"/>
  <c r="E74" i="22"/>
  <c r="D74" i="22"/>
  <c r="C74" i="22"/>
  <c r="A74" i="22"/>
  <c r="L73" i="22"/>
  <c r="H73" i="22"/>
  <c r="G73" i="22"/>
  <c r="F73" i="22"/>
  <c r="E73" i="22"/>
  <c r="D73" i="22"/>
  <c r="C73" i="22"/>
  <c r="A73" i="22"/>
  <c r="L72" i="22"/>
  <c r="H72" i="22"/>
  <c r="G72" i="22"/>
  <c r="F72" i="22"/>
  <c r="E72" i="22"/>
  <c r="D72" i="22"/>
  <c r="C72" i="22"/>
  <c r="A72" i="22"/>
  <c r="L71" i="22"/>
  <c r="H71" i="22"/>
  <c r="G71" i="22"/>
  <c r="F71" i="22"/>
  <c r="E71" i="22"/>
  <c r="D71" i="22"/>
  <c r="C71" i="22"/>
  <c r="A71" i="22"/>
  <c r="L70" i="22"/>
  <c r="H70" i="22"/>
  <c r="G70" i="22"/>
  <c r="F70" i="22"/>
  <c r="E70" i="22"/>
  <c r="D70" i="22"/>
  <c r="C70" i="22"/>
  <c r="A70" i="22"/>
  <c r="M69" i="22"/>
  <c r="L69" i="22"/>
  <c r="H69" i="22"/>
  <c r="G69" i="22"/>
  <c r="F69" i="22"/>
  <c r="E69" i="22"/>
  <c r="D69" i="22"/>
  <c r="C69" i="22"/>
  <c r="A69" i="22"/>
  <c r="L67" i="22"/>
  <c r="H67" i="22"/>
  <c r="G67" i="22"/>
  <c r="F67" i="22"/>
  <c r="E67" i="22"/>
  <c r="D67" i="22"/>
  <c r="C67" i="22"/>
  <c r="A67" i="22"/>
  <c r="L66" i="22"/>
  <c r="H66" i="22"/>
  <c r="G66" i="22"/>
  <c r="F66" i="22"/>
  <c r="E66" i="22"/>
  <c r="D66" i="22"/>
  <c r="C66" i="22"/>
  <c r="A66" i="22"/>
  <c r="L65" i="22"/>
  <c r="H65" i="22"/>
  <c r="G65" i="22"/>
  <c r="F65" i="22"/>
  <c r="E65" i="22"/>
  <c r="D65" i="22"/>
  <c r="C65" i="22"/>
  <c r="A65" i="22"/>
  <c r="L64" i="22"/>
  <c r="H64" i="22"/>
  <c r="G64" i="22"/>
  <c r="F64" i="22"/>
  <c r="E64" i="22"/>
  <c r="D64" i="22"/>
  <c r="C64" i="22"/>
  <c r="A64" i="22"/>
  <c r="L63" i="22"/>
  <c r="H63" i="22"/>
  <c r="G63" i="22"/>
  <c r="F63" i="22"/>
  <c r="E63" i="22"/>
  <c r="D63" i="22"/>
  <c r="C63" i="22"/>
  <c r="A63" i="22"/>
  <c r="L62" i="22"/>
  <c r="H62" i="22"/>
  <c r="G62" i="22"/>
  <c r="F62" i="22"/>
  <c r="E62" i="22"/>
  <c r="D62" i="22"/>
  <c r="C62" i="22"/>
  <c r="A62" i="22"/>
  <c r="L61" i="22"/>
  <c r="H61" i="22"/>
  <c r="G61" i="22"/>
  <c r="F61" i="22"/>
  <c r="E61" i="22"/>
  <c r="D61" i="22"/>
  <c r="C61" i="22"/>
  <c r="A61" i="22"/>
  <c r="L60" i="22"/>
  <c r="H60" i="22"/>
  <c r="G60" i="22"/>
  <c r="F60" i="22"/>
  <c r="E60" i="22"/>
  <c r="D60" i="22"/>
  <c r="C60" i="22"/>
  <c r="A60" i="22"/>
  <c r="L59" i="22"/>
  <c r="H59" i="22"/>
  <c r="G59" i="22"/>
  <c r="F59" i="22"/>
  <c r="E59" i="22"/>
  <c r="D59" i="22"/>
  <c r="C59" i="22"/>
  <c r="A59" i="22"/>
  <c r="L58" i="22"/>
  <c r="H58" i="22"/>
  <c r="G58" i="22"/>
  <c r="F58" i="22"/>
  <c r="E58" i="22"/>
  <c r="D58" i="22"/>
  <c r="C58" i="22"/>
  <c r="A58" i="22"/>
  <c r="L56" i="22"/>
  <c r="H56" i="22"/>
  <c r="G56" i="22"/>
  <c r="F56" i="22"/>
  <c r="E56" i="22"/>
  <c r="D56" i="22"/>
  <c r="C56" i="22"/>
  <c r="A56" i="22"/>
  <c r="L55" i="22"/>
  <c r="H55" i="22"/>
  <c r="G55" i="22"/>
  <c r="F55" i="22"/>
  <c r="D55" i="22"/>
  <c r="C55" i="22"/>
  <c r="A55" i="22"/>
  <c r="L54" i="22"/>
  <c r="H54" i="22"/>
  <c r="G54" i="22"/>
  <c r="F54" i="22"/>
  <c r="E54" i="22"/>
  <c r="D54" i="22"/>
  <c r="C54" i="22"/>
  <c r="A54" i="22"/>
  <c r="L53" i="22"/>
  <c r="J53" i="22"/>
  <c r="J64" i="22" s="1"/>
  <c r="H53" i="22"/>
  <c r="G53" i="22"/>
  <c r="F53" i="22"/>
  <c r="D53" i="22"/>
  <c r="C53" i="22"/>
  <c r="A53" i="22"/>
  <c r="L52" i="22"/>
  <c r="H52" i="22"/>
  <c r="G52" i="22"/>
  <c r="F52" i="22"/>
  <c r="E52" i="22"/>
  <c r="D52" i="22"/>
  <c r="C52" i="22"/>
  <c r="A52" i="22"/>
  <c r="L51" i="22"/>
  <c r="H51" i="22"/>
  <c r="G51" i="22"/>
  <c r="F51" i="22"/>
  <c r="E51" i="22"/>
  <c r="D51" i="22"/>
  <c r="C51" i="22"/>
  <c r="A51" i="22"/>
  <c r="L50" i="22"/>
  <c r="H50" i="22"/>
  <c r="G50" i="22"/>
  <c r="F50" i="22"/>
  <c r="D50" i="22"/>
  <c r="C50" i="22"/>
  <c r="A50" i="22"/>
  <c r="L49" i="22"/>
  <c r="H49" i="22"/>
  <c r="G49" i="22"/>
  <c r="F49" i="22"/>
  <c r="D49" i="22"/>
  <c r="C49" i="22"/>
  <c r="A49" i="22"/>
  <c r="L48" i="22"/>
  <c r="H48" i="22"/>
  <c r="G48" i="22"/>
  <c r="F48" i="22"/>
  <c r="E48" i="22"/>
  <c r="D48" i="22"/>
  <c r="C48" i="22"/>
  <c r="A48" i="22"/>
  <c r="L47" i="22"/>
  <c r="H47" i="22"/>
  <c r="G47" i="22"/>
  <c r="F47" i="22"/>
  <c r="D47" i="22"/>
  <c r="C47" i="22"/>
  <c r="A47" i="22"/>
  <c r="L45" i="22"/>
  <c r="G45" i="22"/>
  <c r="F45" i="22"/>
  <c r="E45" i="22"/>
  <c r="D45" i="22"/>
  <c r="C45" i="22"/>
  <c r="A45" i="22"/>
  <c r="M44" i="22"/>
  <c r="L44" i="22"/>
  <c r="H44" i="22"/>
  <c r="G44" i="22"/>
  <c r="F44" i="22"/>
  <c r="E44" i="22"/>
  <c r="D44" i="22"/>
  <c r="C44" i="22"/>
  <c r="A44" i="22"/>
  <c r="L43" i="22"/>
  <c r="G43" i="22"/>
  <c r="F43" i="22"/>
  <c r="E43" i="22"/>
  <c r="D43" i="22"/>
  <c r="C43" i="22"/>
  <c r="A43" i="22"/>
  <c r="L42" i="22"/>
  <c r="J42" i="22"/>
  <c r="H42" i="22"/>
  <c r="G42" i="22"/>
  <c r="F42" i="22"/>
  <c r="E42" i="22"/>
  <c r="D42" i="22"/>
  <c r="C42" i="22"/>
  <c r="A42" i="22"/>
  <c r="L41" i="22"/>
  <c r="G41" i="22"/>
  <c r="F41" i="22"/>
  <c r="E41" i="22"/>
  <c r="D41" i="22"/>
  <c r="C41" i="22"/>
  <c r="A41" i="22"/>
  <c r="L40" i="22"/>
  <c r="H40" i="22"/>
  <c r="G40" i="22"/>
  <c r="F40" i="22"/>
  <c r="E40" i="22"/>
  <c r="D40" i="22"/>
  <c r="C40" i="22"/>
  <c r="A40" i="22"/>
  <c r="L39" i="22"/>
  <c r="H39" i="22"/>
  <c r="G39" i="22"/>
  <c r="F39" i="22"/>
  <c r="E39" i="22"/>
  <c r="D39" i="22"/>
  <c r="C39" i="22"/>
  <c r="A39" i="22"/>
  <c r="L38" i="22"/>
  <c r="G38" i="22"/>
  <c r="F38" i="22"/>
  <c r="E38" i="22"/>
  <c r="D38" i="22"/>
  <c r="C38" i="22"/>
  <c r="A38" i="22"/>
  <c r="L37" i="22"/>
  <c r="I37" i="22"/>
  <c r="I48" i="22" s="1"/>
  <c r="G37" i="22"/>
  <c r="F37" i="22"/>
  <c r="E37" i="22"/>
  <c r="D37" i="22"/>
  <c r="C37" i="22"/>
  <c r="A37" i="22"/>
  <c r="L36" i="22"/>
  <c r="H36" i="22"/>
  <c r="G36" i="22"/>
  <c r="F36" i="22"/>
  <c r="E36" i="22"/>
  <c r="D36" i="22"/>
  <c r="C36" i="22"/>
  <c r="A36" i="22"/>
  <c r="L34" i="22"/>
  <c r="J34" i="22"/>
  <c r="J45" i="22" s="1"/>
  <c r="J56" i="22" s="1"/>
  <c r="I34" i="22"/>
  <c r="I45" i="22" s="1"/>
  <c r="I56" i="22" s="1"/>
  <c r="H34" i="22"/>
  <c r="G34" i="22"/>
  <c r="F34" i="22"/>
  <c r="E34" i="22"/>
  <c r="D34" i="22"/>
  <c r="C34" i="22"/>
  <c r="A34" i="22"/>
  <c r="M33" i="22"/>
  <c r="L33" i="22"/>
  <c r="J33" i="22"/>
  <c r="J44" i="22" s="1"/>
  <c r="J55" i="22" s="1"/>
  <c r="H33" i="22"/>
  <c r="G33" i="22"/>
  <c r="F33" i="22"/>
  <c r="E33" i="22"/>
  <c r="D33" i="22"/>
  <c r="C33" i="22"/>
  <c r="A33" i="22"/>
  <c r="L32" i="22"/>
  <c r="J32" i="22"/>
  <c r="J43" i="22" s="1"/>
  <c r="J54" i="22" s="1"/>
  <c r="H32" i="22"/>
  <c r="G32" i="22"/>
  <c r="F32" i="22"/>
  <c r="E32" i="22"/>
  <c r="D32" i="22"/>
  <c r="C32" i="22"/>
  <c r="A32" i="22"/>
  <c r="L31" i="22"/>
  <c r="J31" i="22"/>
  <c r="I31" i="22"/>
  <c r="I42" i="22" s="1"/>
  <c r="I53" i="22" s="1"/>
  <c r="H31" i="22"/>
  <c r="G31" i="22"/>
  <c r="F31" i="22"/>
  <c r="E31" i="22"/>
  <c r="D31" i="22"/>
  <c r="C31" i="22"/>
  <c r="A31" i="22"/>
  <c r="L30" i="22"/>
  <c r="J30" i="22"/>
  <c r="J41" i="22" s="1"/>
  <c r="J52" i="22" s="1"/>
  <c r="I30" i="22"/>
  <c r="I41" i="22" s="1"/>
  <c r="I52" i="22" s="1"/>
  <c r="H30" i="22"/>
  <c r="G30" i="22"/>
  <c r="F30" i="22"/>
  <c r="E30" i="22"/>
  <c r="D30" i="22"/>
  <c r="C30" i="22"/>
  <c r="A30" i="22"/>
  <c r="L29" i="22"/>
  <c r="J29" i="22"/>
  <c r="J40" i="22" s="1"/>
  <c r="J51" i="22" s="1"/>
  <c r="H29" i="22"/>
  <c r="G29" i="22"/>
  <c r="F29" i="22"/>
  <c r="E29" i="22"/>
  <c r="D29" i="22"/>
  <c r="C29" i="22"/>
  <c r="A29" i="22"/>
  <c r="L28" i="22"/>
  <c r="J28" i="22"/>
  <c r="J39" i="22" s="1"/>
  <c r="J50" i="22" s="1"/>
  <c r="I28" i="22"/>
  <c r="I39" i="22" s="1"/>
  <c r="I50" i="22" s="1"/>
  <c r="H28" i="22"/>
  <c r="G28" i="22"/>
  <c r="F28" i="22"/>
  <c r="E28" i="22"/>
  <c r="D28" i="22"/>
  <c r="C28" i="22"/>
  <c r="A28" i="22"/>
  <c r="L27" i="22"/>
  <c r="J27" i="22"/>
  <c r="J38" i="22" s="1"/>
  <c r="J49" i="22" s="1"/>
  <c r="H27" i="22"/>
  <c r="G27" i="22"/>
  <c r="F27" i="22"/>
  <c r="E27" i="22"/>
  <c r="D27" i="22"/>
  <c r="C27" i="22"/>
  <c r="A27" i="22"/>
  <c r="L26" i="22"/>
  <c r="J26" i="22"/>
  <c r="J37" i="22" s="1"/>
  <c r="J48" i="22" s="1"/>
  <c r="I26" i="22"/>
  <c r="H26" i="22"/>
  <c r="G26" i="22"/>
  <c r="F26" i="22"/>
  <c r="E26" i="22"/>
  <c r="D26" i="22"/>
  <c r="C26" i="22"/>
  <c r="A26" i="22"/>
  <c r="L25" i="22"/>
  <c r="J25" i="22"/>
  <c r="J36" i="22" s="1"/>
  <c r="J47" i="22" s="1"/>
  <c r="I25" i="22"/>
  <c r="I36" i="22" s="1"/>
  <c r="I47" i="22" s="1"/>
  <c r="H25" i="22"/>
  <c r="G25" i="22"/>
  <c r="F25" i="22"/>
  <c r="E25" i="22"/>
  <c r="D25" i="22"/>
  <c r="C25" i="22"/>
  <c r="A25" i="22"/>
  <c r="J24" i="22"/>
  <c r="J35" i="22" s="1"/>
  <c r="J46" i="22" s="1"/>
  <c r="I24" i="22"/>
  <c r="I35" i="22" s="1"/>
  <c r="I46" i="22" s="1"/>
  <c r="L23" i="22"/>
  <c r="H23" i="22"/>
  <c r="G23" i="22"/>
  <c r="F23" i="22"/>
  <c r="E23" i="22"/>
  <c r="D23" i="22"/>
  <c r="C23" i="22"/>
  <c r="A23" i="22"/>
  <c r="L22" i="22"/>
  <c r="I22" i="22"/>
  <c r="I33" i="22" s="1"/>
  <c r="I44" i="22" s="1"/>
  <c r="I55" i="22" s="1"/>
  <c r="H22" i="22"/>
  <c r="G22" i="22"/>
  <c r="F22" i="22"/>
  <c r="E22" i="22"/>
  <c r="D22" i="22"/>
  <c r="C22" i="22"/>
  <c r="A22" i="22"/>
  <c r="L21" i="22"/>
  <c r="I21" i="22"/>
  <c r="I32" i="22" s="1"/>
  <c r="I43" i="22" s="1"/>
  <c r="I54" i="22" s="1"/>
  <c r="H21" i="22"/>
  <c r="G21" i="22"/>
  <c r="F21" i="22"/>
  <c r="E21" i="22"/>
  <c r="D21" i="22"/>
  <c r="C21" i="22"/>
  <c r="A21" i="22"/>
  <c r="L20" i="22"/>
  <c r="H20" i="22"/>
  <c r="G20" i="22"/>
  <c r="F20" i="22"/>
  <c r="E20" i="22"/>
  <c r="D20" i="22"/>
  <c r="C20" i="22"/>
  <c r="A20" i="22"/>
  <c r="L19" i="22"/>
  <c r="I19" i="22"/>
  <c r="H19" i="22"/>
  <c r="G19" i="22"/>
  <c r="F19" i="22"/>
  <c r="E19" i="22"/>
  <c r="D19" i="22"/>
  <c r="C19" i="22"/>
  <c r="A19" i="22"/>
  <c r="L18" i="22"/>
  <c r="I18" i="22"/>
  <c r="I29" i="22" s="1"/>
  <c r="I40" i="22" s="1"/>
  <c r="I51" i="22" s="1"/>
  <c r="H18" i="22"/>
  <c r="G18" i="22"/>
  <c r="F18" i="22"/>
  <c r="E18" i="22"/>
  <c r="D18" i="22"/>
  <c r="C18" i="22"/>
  <c r="A18" i="22"/>
  <c r="L17" i="22"/>
  <c r="H17" i="22"/>
  <c r="G17" i="22"/>
  <c r="F17" i="22"/>
  <c r="E17" i="22"/>
  <c r="D17" i="22"/>
  <c r="C17" i="22"/>
  <c r="A17" i="22"/>
  <c r="M16" i="22"/>
  <c r="L16" i="22"/>
  <c r="I16" i="22"/>
  <c r="I27" i="22" s="1"/>
  <c r="I38" i="22" s="1"/>
  <c r="I49" i="22" s="1"/>
  <c r="H16" i="22"/>
  <c r="G16" i="22"/>
  <c r="F16" i="22"/>
  <c r="E16" i="22"/>
  <c r="D16" i="22"/>
  <c r="C16" i="22"/>
  <c r="A16" i="22"/>
  <c r="L15" i="22"/>
  <c r="I15" i="22"/>
  <c r="H15" i="22"/>
  <c r="G15" i="22"/>
  <c r="F15" i="22"/>
  <c r="E15" i="22"/>
  <c r="D15" i="22"/>
  <c r="C15" i="22"/>
  <c r="A15" i="22"/>
  <c r="L14" i="22"/>
  <c r="I14" i="22"/>
  <c r="H14" i="22"/>
  <c r="G14" i="22"/>
  <c r="F14" i="22"/>
  <c r="E14" i="22"/>
  <c r="D14" i="22"/>
  <c r="C14" i="22"/>
  <c r="A14" i="22"/>
  <c r="L12" i="22"/>
  <c r="H12" i="22"/>
  <c r="F12" i="22"/>
  <c r="E12" i="22"/>
  <c r="D12" i="22"/>
  <c r="C12" i="22"/>
  <c r="A12" i="22"/>
  <c r="L11" i="22"/>
  <c r="I11" i="22"/>
  <c r="H11" i="22"/>
  <c r="G11" i="22"/>
  <c r="F11" i="22"/>
  <c r="E11" i="22"/>
  <c r="D11" i="22"/>
  <c r="C11" i="22"/>
  <c r="A11" i="22"/>
  <c r="L10" i="22"/>
  <c r="I10" i="22"/>
  <c r="H10" i="22"/>
  <c r="F10" i="22"/>
  <c r="E10" i="22"/>
  <c r="D10" i="22"/>
  <c r="C10" i="22"/>
  <c r="A10" i="22"/>
  <c r="L9" i="22"/>
  <c r="H9" i="22"/>
  <c r="F9" i="22"/>
  <c r="E9" i="22"/>
  <c r="D9" i="22"/>
  <c r="C9" i="22"/>
  <c r="A9" i="22"/>
  <c r="L8" i="22"/>
  <c r="I8" i="22"/>
  <c r="H8" i="22"/>
  <c r="G8" i="22"/>
  <c r="F8" i="22"/>
  <c r="E8" i="22"/>
  <c r="D8" i="22"/>
  <c r="C8" i="22"/>
  <c r="A8" i="22"/>
  <c r="L7" i="22"/>
  <c r="I7" i="22"/>
  <c r="H7" i="22"/>
  <c r="G7" i="22"/>
  <c r="F7" i="22"/>
  <c r="E7" i="22"/>
  <c r="D7" i="22"/>
  <c r="C7" i="22"/>
  <c r="A7" i="22"/>
  <c r="L6" i="22"/>
  <c r="H6" i="22"/>
  <c r="G6" i="22"/>
  <c r="F6" i="22"/>
  <c r="E6" i="22"/>
  <c r="D6" i="22"/>
  <c r="C6" i="22"/>
  <c r="A6" i="22"/>
  <c r="L5" i="22"/>
  <c r="I5" i="22"/>
  <c r="H5" i="22"/>
  <c r="F5" i="22"/>
  <c r="E5" i="22"/>
  <c r="D5" i="22"/>
  <c r="C5" i="22"/>
  <c r="A5" i="22"/>
  <c r="L4" i="22"/>
  <c r="I4" i="22"/>
  <c r="H4" i="22"/>
  <c r="F4" i="22"/>
  <c r="E4" i="22"/>
  <c r="D4" i="22"/>
  <c r="C4" i="22"/>
  <c r="A4" i="22"/>
  <c r="L3" i="22"/>
  <c r="I3" i="22"/>
  <c r="H3" i="22"/>
  <c r="F3" i="22"/>
  <c r="E3" i="22"/>
  <c r="D3" i="22"/>
  <c r="C3" i="22"/>
  <c r="A3" i="22"/>
  <c r="E66" i="21"/>
  <c r="E21" i="23" s="1"/>
  <c r="E65" i="21"/>
  <c r="E20" i="23" s="1"/>
  <c r="E64" i="21"/>
  <c r="E19" i="23" s="1"/>
  <c r="E63" i="21"/>
  <c r="E18" i="23" s="1"/>
  <c r="E62" i="21"/>
  <c r="E17" i="23" s="1"/>
  <c r="D65" i="20"/>
  <c r="D85" i="23" s="1"/>
  <c r="D64" i="20"/>
  <c r="D84" i="23" s="1"/>
  <c r="D63" i="20"/>
  <c r="D83" i="23" s="1"/>
  <c r="D62" i="20"/>
  <c r="D82" i="23" s="1"/>
  <c r="I59" i="20"/>
  <c r="U21" i="1" s="1"/>
  <c r="M178" i="22" s="1"/>
  <c r="M185" i="22" s="1"/>
  <c r="B58" i="20"/>
  <c r="B57" i="20"/>
  <c r="B56" i="20"/>
  <c r="B54" i="20"/>
  <c r="B52" i="20"/>
  <c r="B51" i="20"/>
  <c r="B49" i="20"/>
  <c r="B48" i="20"/>
  <c r="B47" i="20"/>
  <c r="B45" i="20"/>
  <c r="B44" i="20"/>
  <c r="B43" i="20"/>
  <c r="B41" i="20"/>
  <c r="B40" i="20"/>
  <c r="B39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4" i="20"/>
  <c r="B22" i="20"/>
  <c r="B20" i="20"/>
  <c r="B19" i="20"/>
  <c r="B18" i="20"/>
  <c r="B16" i="20"/>
  <c r="B15" i="20"/>
  <c r="B13" i="20"/>
  <c r="B12" i="20"/>
  <c r="B11" i="20"/>
  <c r="J65" i="19"/>
  <c r="D65" i="19"/>
  <c r="D64" i="19"/>
  <c r="D24" i="23" s="1"/>
  <c r="D63" i="19"/>
  <c r="D23" i="23" s="1"/>
  <c r="D62" i="19"/>
  <c r="D22" i="23" s="1"/>
  <c r="I59" i="19"/>
  <c r="U20" i="1" s="1"/>
  <c r="M167" i="22" s="1"/>
  <c r="M168" i="22" s="1"/>
  <c r="B58" i="19"/>
  <c r="D230" i="24" s="1"/>
  <c r="B57" i="19"/>
  <c r="D229" i="24" s="1"/>
  <c r="B56" i="19"/>
  <c r="D228" i="24" s="1"/>
  <c r="B54" i="19"/>
  <c r="D227" i="24" s="1"/>
  <c r="B52" i="19"/>
  <c r="D226" i="24" s="1"/>
  <c r="B51" i="19"/>
  <c r="D225" i="24" s="1"/>
  <c r="B49" i="19"/>
  <c r="D224" i="24" s="1"/>
  <c r="B48" i="19"/>
  <c r="D223" i="24" s="1"/>
  <c r="B47" i="19"/>
  <c r="D222" i="24" s="1"/>
  <c r="B45" i="19"/>
  <c r="D221" i="24" s="1"/>
  <c r="B44" i="19"/>
  <c r="D220" i="24" s="1"/>
  <c r="B43" i="19"/>
  <c r="D219" i="24" s="1"/>
  <c r="B41" i="19"/>
  <c r="D218" i="24" s="1"/>
  <c r="B40" i="19"/>
  <c r="D217" i="24" s="1"/>
  <c r="B39" i="19"/>
  <c r="D216" i="24" s="1"/>
  <c r="B37" i="19"/>
  <c r="D215" i="24" s="1"/>
  <c r="B36" i="19"/>
  <c r="D214" i="24" s="1"/>
  <c r="B35" i="19"/>
  <c r="D213" i="24" s="1"/>
  <c r="B34" i="19"/>
  <c r="D212" i="24" s="1"/>
  <c r="B33" i="19"/>
  <c r="D211" i="24" s="1"/>
  <c r="B32" i="19"/>
  <c r="D210" i="24" s="1"/>
  <c r="B31" i="19"/>
  <c r="D209" i="24" s="1"/>
  <c r="B30" i="19"/>
  <c r="D208" i="24" s="1"/>
  <c r="B29" i="19"/>
  <c r="D207" i="24" s="1"/>
  <c r="B28" i="19"/>
  <c r="D206" i="24" s="1"/>
  <c r="B27" i="19"/>
  <c r="D205" i="24" s="1"/>
  <c r="B26" i="19"/>
  <c r="D204" i="24" s="1"/>
  <c r="B24" i="19"/>
  <c r="D203" i="24" s="1"/>
  <c r="B22" i="19"/>
  <c r="D201" i="24" s="1"/>
  <c r="B20" i="19"/>
  <c r="D200" i="24" s="1"/>
  <c r="B19" i="19"/>
  <c r="D199" i="24" s="1"/>
  <c r="B18" i="19"/>
  <c r="D198" i="24" s="1"/>
  <c r="B16" i="19"/>
  <c r="D197" i="24" s="1"/>
  <c r="B15" i="19"/>
  <c r="D196" i="24" s="1"/>
  <c r="B13" i="19"/>
  <c r="D195" i="24" s="1"/>
  <c r="B12" i="19"/>
  <c r="D194" i="24" s="1"/>
  <c r="B11" i="19"/>
  <c r="D193" i="24" s="1"/>
  <c r="D65" i="18"/>
  <c r="D64" i="18"/>
  <c r="D63" i="18"/>
  <c r="D78" i="23" s="1"/>
  <c r="D62" i="18"/>
  <c r="D77" i="23" s="1"/>
  <c r="I59" i="18"/>
  <c r="U19" i="1" s="1"/>
  <c r="M156" i="22" s="1"/>
  <c r="M163" i="22" s="1"/>
  <c r="B58" i="18"/>
  <c r="D648" i="24" s="1"/>
  <c r="B57" i="18"/>
  <c r="D647" i="24" s="1"/>
  <c r="B56" i="18"/>
  <c r="D646" i="24" s="1"/>
  <c r="B54" i="18"/>
  <c r="D645" i="24" s="1"/>
  <c r="B52" i="18"/>
  <c r="D644" i="24" s="1"/>
  <c r="B51" i="18"/>
  <c r="D643" i="24" s="1"/>
  <c r="B49" i="18"/>
  <c r="D642" i="24" s="1"/>
  <c r="B48" i="18"/>
  <c r="D641" i="24" s="1"/>
  <c r="B47" i="18"/>
  <c r="D640" i="24" s="1"/>
  <c r="B45" i="18"/>
  <c r="D639" i="24" s="1"/>
  <c r="B44" i="18"/>
  <c r="D638" i="24" s="1"/>
  <c r="B43" i="18"/>
  <c r="D637" i="24" s="1"/>
  <c r="B41" i="18"/>
  <c r="D636" i="24" s="1"/>
  <c r="B40" i="18"/>
  <c r="D635" i="24" s="1"/>
  <c r="B39" i="18"/>
  <c r="D634" i="24" s="1"/>
  <c r="B37" i="18"/>
  <c r="D633" i="24" s="1"/>
  <c r="B36" i="18"/>
  <c r="D632" i="24" s="1"/>
  <c r="B35" i="18"/>
  <c r="D631" i="24" s="1"/>
  <c r="B34" i="18"/>
  <c r="D630" i="24" s="1"/>
  <c r="B33" i="18"/>
  <c r="D629" i="24" s="1"/>
  <c r="B32" i="18"/>
  <c r="D628" i="24" s="1"/>
  <c r="B31" i="18"/>
  <c r="D627" i="24" s="1"/>
  <c r="B30" i="18"/>
  <c r="D626" i="24" s="1"/>
  <c r="B29" i="18"/>
  <c r="D625" i="24" s="1"/>
  <c r="B28" i="18"/>
  <c r="D624" i="24" s="1"/>
  <c r="B27" i="18"/>
  <c r="D623" i="24" s="1"/>
  <c r="B26" i="18"/>
  <c r="D622" i="24" s="1"/>
  <c r="B24" i="18"/>
  <c r="D621" i="24" s="1"/>
  <c r="B22" i="18"/>
  <c r="D619" i="24" s="1"/>
  <c r="B20" i="18"/>
  <c r="D618" i="24" s="1"/>
  <c r="B19" i="18"/>
  <c r="D617" i="24" s="1"/>
  <c r="B18" i="18"/>
  <c r="D616" i="24" s="1"/>
  <c r="B16" i="18"/>
  <c r="D615" i="24" s="1"/>
  <c r="B15" i="18"/>
  <c r="D614" i="24" s="1"/>
  <c r="B13" i="18"/>
  <c r="D613" i="24" s="1"/>
  <c r="B12" i="18"/>
  <c r="D612" i="24" s="1"/>
  <c r="B11" i="18"/>
  <c r="D611" i="24" s="1"/>
  <c r="D65" i="17"/>
  <c r="D64" i="17"/>
  <c r="D74" i="23" s="1"/>
  <c r="D63" i="17"/>
  <c r="D73" i="23" s="1"/>
  <c r="D62" i="17"/>
  <c r="D72" i="23" s="1"/>
  <c r="I59" i="17"/>
  <c r="U18" i="1" s="1"/>
  <c r="M145" i="22" s="1"/>
  <c r="M146" i="22" s="1"/>
  <c r="B58" i="17"/>
  <c r="D610" i="24" s="1"/>
  <c r="B57" i="17"/>
  <c r="D609" i="24" s="1"/>
  <c r="B56" i="17"/>
  <c r="D608" i="24" s="1"/>
  <c r="B54" i="17"/>
  <c r="D607" i="24" s="1"/>
  <c r="B52" i="17"/>
  <c r="D606" i="24" s="1"/>
  <c r="B51" i="17"/>
  <c r="D605" i="24" s="1"/>
  <c r="B49" i="17"/>
  <c r="D604" i="24" s="1"/>
  <c r="B48" i="17"/>
  <c r="D603" i="24" s="1"/>
  <c r="B47" i="17"/>
  <c r="D602" i="24" s="1"/>
  <c r="B45" i="17"/>
  <c r="D601" i="24" s="1"/>
  <c r="B44" i="17"/>
  <c r="D600" i="24" s="1"/>
  <c r="B43" i="17"/>
  <c r="D599" i="24" s="1"/>
  <c r="B41" i="17"/>
  <c r="D598" i="24" s="1"/>
  <c r="B40" i="17"/>
  <c r="D597" i="24" s="1"/>
  <c r="B39" i="17"/>
  <c r="D596" i="24" s="1"/>
  <c r="B37" i="17"/>
  <c r="D595" i="24" s="1"/>
  <c r="B36" i="17"/>
  <c r="D594" i="24" s="1"/>
  <c r="B35" i="17"/>
  <c r="D593" i="24" s="1"/>
  <c r="B34" i="17"/>
  <c r="D592" i="24" s="1"/>
  <c r="B33" i="17"/>
  <c r="D591" i="24" s="1"/>
  <c r="B32" i="17"/>
  <c r="D590" i="24" s="1"/>
  <c r="B31" i="17"/>
  <c r="D589" i="24" s="1"/>
  <c r="B30" i="17"/>
  <c r="D588" i="24" s="1"/>
  <c r="B29" i="17"/>
  <c r="D587" i="24" s="1"/>
  <c r="B28" i="17"/>
  <c r="D586" i="24" s="1"/>
  <c r="B27" i="17"/>
  <c r="D585" i="24" s="1"/>
  <c r="B26" i="17"/>
  <c r="D584" i="24" s="1"/>
  <c r="B24" i="17"/>
  <c r="D583" i="24" s="1"/>
  <c r="B22" i="17"/>
  <c r="D581" i="24" s="1"/>
  <c r="B20" i="17"/>
  <c r="D580" i="24" s="1"/>
  <c r="B19" i="17"/>
  <c r="D579" i="24" s="1"/>
  <c r="B18" i="17"/>
  <c r="D578" i="24" s="1"/>
  <c r="B16" i="17"/>
  <c r="D577" i="24" s="1"/>
  <c r="B15" i="17"/>
  <c r="D576" i="24" s="1"/>
  <c r="B13" i="17"/>
  <c r="D575" i="24" s="1"/>
  <c r="B12" i="17"/>
  <c r="D574" i="24" s="1"/>
  <c r="B11" i="17"/>
  <c r="D573" i="24" s="1"/>
  <c r="D65" i="16"/>
  <c r="D64" i="16"/>
  <c r="D69" i="23" s="1"/>
  <c r="D63" i="16"/>
  <c r="D68" i="23" s="1"/>
  <c r="D62" i="16"/>
  <c r="D67" i="23" s="1"/>
  <c r="I59" i="16"/>
  <c r="U17" i="1" s="1"/>
  <c r="M134" i="22" s="1"/>
  <c r="M141" i="22" s="1"/>
  <c r="B58" i="16"/>
  <c r="D572" i="24" s="1"/>
  <c r="B57" i="16"/>
  <c r="D571" i="24" s="1"/>
  <c r="B56" i="16"/>
  <c r="D570" i="24" s="1"/>
  <c r="B54" i="16"/>
  <c r="D569" i="24" s="1"/>
  <c r="B52" i="16"/>
  <c r="D568" i="24" s="1"/>
  <c r="B51" i="16"/>
  <c r="D567" i="24" s="1"/>
  <c r="B49" i="16"/>
  <c r="D566" i="24" s="1"/>
  <c r="B48" i="16"/>
  <c r="D565" i="24" s="1"/>
  <c r="B47" i="16"/>
  <c r="D564" i="24" s="1"/>
  <c r="B45" i="16"/>
  <c r="D563" i="24" s="1"/>
  <c r="B44" i="16"/>
  <c r="D562" i="24" s="1"/>
  <c r="B43" i="16"/>
  <c r="D561" i="24" s="1"/>
  <c r="B41" i="16"/>
  <c r="D560" i="24" s="1"/>
  <c r="B40" i="16"/>
  <c r="D559" i="24" s="1"/>
  <c r="B39" i="16"/>
  <c r="D558" i="24" s="1"/>
  <c r="B37" i="16"/>
  <c r="D557" i="24" s="1"/>
  <c r="B36" i="16"/>
  <c r="D556" i="24" s="1"/>
  <c r="B35" i="16"/>
  <c r="D555" i="24" s="1"/>
  <c r="B34" i="16"/>
  <c r="D554" i="24" s="1"/>
  <c r="B33" i="16"/>
  <c r="D553" i="24" s="1"/>
  <c r="B32" i="16"/>
  <c r="D552" i="24" s="1"/>
  <c r="B31" i="16"/>
  <c r="D551" i="24" s="1"/>
  <c r="B30" i="16"/>
  <c r="D550" i="24" s="1"/>
  <c r="B29" i="16"/>
  <c r="D549" i="24" s="1"/>
  <c r="B28" i="16"/>
  <c r="D548" i="24" s="1"/>
  <c r="B27" i="16"/>
  <c r="D547" i="24" s="1"/>
  <c r="B26" i="16"/>
  <c r="D546" i="24" s="1"/>
  <c r="B24" i="16"/>
  <c r="D545" i="24" s="1"/>
  <c r="B22" i="16"/>
  <c r="D543" i="24" s="1"/>
  <c r="B20" i="16"/>
  <c r="D542" i="24" s="1"/>
  <c r="B19" i="16"/>
  <c r="D541" i="24" s="1"/>
  <c r="B18" i="16"/>
  <c r="D540" i="24" s="1"/>
  <c r="B16" i="16"/>
  <c r="D539" i="24" s="1"/>
  <c r="B15" i="16"/>
  <c r="D538" i="24" s="1"/>
  <c r="B13" i="16"/>
  <c r="D537" i="24" s="1"/>
  <c r="B12" i="16"/>
  <c r="D536" i="24" s="1"/>
  <c r="B11" i="16"/>
  <c r="D535" i="24" s="1"/>
  <c r="D65" i="15"/>
  <c r="D64" i="15"/>
  <c r="D64" i="23" s="1"/>
  <c r="D63" i="15"/>
  <c r="D63" i="23" s="1"/>
  <c r="D62" i="15"/>
  <c r="D62" i="23" s="1"/>
  <c r="I59" i="15"/>
  <c r="U16" i="1" s="1"/>
  <c r="M123" i="22" s="1"/>
  <c r="M133" i="22" s="1"/>
  <c r="B58" i="15"/>
  <c r="D534" i="24" s="1"/>
  <c r="B57" i="15"/>
  <c r="D533" i="24" s="1"/>
  <c r="B56" i="15"/>
  <c r="D532" i="24" s="1"/>
  <c r="B54" i="15"/>
  <c r="D531" i="24" s="1"/>
  <c r="B52" i="15"/>
  <c r="D530" i="24" s="1"/>
  <c r="B51" i="15"/>
  <c r="D529" i="24" s="1"/>
  <c r="B49" i="15"/>
  <c r="D528" i="24" s="1"/>
  <c r="B48" i="15"/>
  <c r="D527" i="24" s="1"/>
  <c r="B47" i="15"/>
  <c r="D526" i="24" s="1"/>
  <c r="B45" i="15"/>
  <c r="D525" i="24" s="1"/>
  <c r="B44" i="15"/>
  <c r="D524" i="24" s="1"/>
  <c r="B43" i="15"/>
  <c r="D523" i="24" s="1"/>
  <c r="B41" i="15"/>
  <c r="D522" i="24" s="1"/>
  <c r="B40" i="15"/>
  <c r="D521" i="24" s="1"/>
  <c r="B39" i="15"/>
  <c r="D520" i="24" s="1"/>
  <c r="B37" i="15"/>
  <c r="D519" i="24" s="1"/>
  <c r="B36" i="15"/>
  <c r="D518" i="24" s="1"/>
  <c r="B35" i="15"/>
  <c r="D517" i="24" s="1"/>
  <c r="B34" i="15"/>
  <c r="D516" i="24" s="1"/>
  <c r="B33" i="15"/>
  <c r="D515" i="24" s="1"/>
  <c r="B32" i="15"/>
  <c r="D514" i="24" s="1"/>
  <c r="B31" i="15"/>
  <c r="D513" i="24" s="1"/>
  <c r="B30" i="15"/>
  <c r="D512" i="24" s="1"/>
  <c r="B29" i="15"/>
  <c r="D511" i="24" s="1"/>
  <c r="B28" i="15"/>
  <c r="D510" i="24" s="1"/>
  <c r="B27" i="15"/>
  <c r="D509" i="24" s="1"/>
  <c r="B26" i="15"/>
  <c r="D508" i="24" s="1"/>
  <c r="B24" i="15"/>
  <c r="D507" i="24" s="1"/>
  <c r="B22" i="15"/>
  <c r="D505" i="24" s="1"/>
  <c r="B20" i="15"/>
  <c r="D504" i="24" s="1"/>
  <c r="B19" i="15"/>
  <c r="D503" i="24" s="1"/>
  <c r="B18" i="15"/>
  <c r="D502" i="24" s="1"/>
  <c r="B16" i="15"/>
  <c r="D501" i="24" s="1"/>
  <c r="B15" i="15"/>
  <c r="D500" i="24" s="1"/>
  <c r="B13" i="15"/>
  <c r="D499" i="24" s="1"/>
  <c r="B12" i="15"/>
  <c r="D498" i="24" s="1"/>
  <c r="B11" i="15"/>
  <c r="D497" i="24" s="1"/>
  <c r="D65" i="13"/>
  <c r="D64" i="13"/>
  <c r="D59" i="23" s="1"/>
  <c r="D63" i="13"/>
  <c r="D58" i="23" s="1"/>
  <c r="D62" i="13"/>
  <c r="I59" i="13"/>
  <c r="U15" i="1" s="1"/>
  <c r="M112" i="22" s="1"/>
  <c r="M117" i="22" s="1"/>
  <c r="B58" i="13"/>
  <c r="D496" i="24" s="1"/>
  <c r="B57" i="13"/>
  <c r="D495" i="24" s="1"/>
  <c r="B56" i="13"/>
  <c r="D494" i="24" s="1"/>
  <c r="B54" i="13"/>
  <c r="D493" i="24" s="1"/>
  <c r="B52" i="13"/>
  <c r="D492" i="24" s="1"/>
  <c r="B51" i="13"/>
  <c r="D491" i="24" s="1"/>
  <c r="B49" i="13"/>
  <c r="D490" i="24" s="1"/>
  <c r="B48" i="13"/>
  <c r="D489" i="24" s="1"/>
  <c r="B47" i="13"/>
  <c r="D488" i="24" s="1"/>
  <c r="B45" i="13"/>
  <c r="D487" i="24" s="1"/>
  <c r="B44" i="13"/>
  <c r="D486" i="24" s="1"/>
  <c r="B43" i="13"/>
  <c r="D485" i="24" s="1"/>
  <c r="B41" i="13"/>
  <c r="D484" i="24" s="1"/>
  <c r="B40" i="13"/>
  <c r="D483" i="24" s="1"/>
  <c r="B39" i="13"/>
  <c r="D482" i="24" s="1"/>
  <c r="B37" i="13"/>
  <c r="D481" i="24" s="1"/>
  <c r="B36" i="13"/>
  <c r="D480" i="24" s="1"/>
  <c r="B35" i="13"/>
  <c r="D479" i="24" s="1"/>
  <c r="B34" i="13"/>
  <c r="D478" i="24" s="1"/>
  <c r="B33" i="13"/>
  <c r="D477" i="24" s="1"/>
  <c r="B32" i="13"/>
  <c r="D476" i="24" s="1"/>
  <c r="B31" i="13"/>
  <c r="D475" i="24" s="1"/>
  <c r="B30" i="13"/>
  <c r="D474" i="24" s="1"/>
  <c r="B29" i="13"/>
  <c r="D473" i="24" s="1"/>
  <c r="B28" i="13"/>
  <c r="D472" i="24" s="1"/>
  <c r="B27" i="13"/>
  <c r="D471" i="24" s="1"/>
  <c r="B26" i="13"/>
  <c r="D470" i="24" s="1"/>
  <c r="B24" i="13"/>
  <c r="D469" i="24" s="1"/>
  <c r="B22" i="13"/>
  <c r="D467" i="24" s="1"/>
  <c r="B20" i="13"/>
  <c r="D466" i="24" s="1"/>
  <c r="B19" i="13"/>
  <c r="D465" i="24" s="1"/>
  <c r="B18" i="13"/>
  <c r="D464" i="24" s="1"/>
  <c r="B16" i="13"/>
  <c r="D463" i="24" s="1"/>
  <c r="B15" i="13"/>
  <c r="D462" i="24" s="1"/>
  <c r="B13" i="13"/>
  <c r="D461" i="24" s="1"/>
  <c r="B12" i="13"/>
  <c r="D460" i="24" s="1"/>
  <c r="B11" i="13"/>
  <c r="D459" i="24" s="1"/>
  <c r="D65" i="12"/>
  <c r="D64" i="12"/>
  <c r="D54" i="23" s="1"/>
  <c r="D63" i="12"/>
  <c r="D53" i="23" s="1"/>
  <c r="D62" i="12"/>
  <c r="I59" i="12"/>
  <c r="U14" i="1" s="1"/>
  <c r="M101" i="22" s="1"/>
  <c r="M111" i="22" s="1"/>
  <c r="B58" i="12"/>
  <c r="D458" i="24" s="1"/>
  <c r="B57" i="12"/>
  <c r="D457" i="24" s="1"/>
  <c r="B56" i="12"/>
  <c r="D456" i="24" s="1"/>
  <c r="B54" i="12"/>
  <c r="D455" i="24" s="1"/>
  <c r="B52" i="12"/>
  <c r="D454" i="24" s="1"/>
  <c r="B51" i="12"/>
  <c r="D453" i="24" s="1"/>
  <c r="B49" i="12"/>
  <c r="D452" i="24" s="1"/>
  <c r="B48" i="12"/>
  <c r="D451" i="24" s="1"/>
  <c r="B47" i="12"/>
  <c r="D450" i="24" s="1"/>
  <c r="B45" i="12"/>
  <c r="D449" i="24" s="1"/>
  <c r="B44" i="12"/>
  <c r="D448" i="24" s="1"/>
  <c r="B43" i="12"/>
  <c r="D447" i="24" s="1"/>
  <c r="B41" i="12"/>
  <c r="D446" i="24" s="1"/>
  <c r="B40" i="12"/>
  <c r="D445" i="24" s="1"/>
  <c r="B39" i="12"/>
  <c r="D444" i="24" s="1"/>
  <c r="B37" i="12"/>
  <c r="D443" i="24" s="1"/>
  <c r="B36" i="12"/>
  <c r="D442" i="24" s="1"/>
  <c r="B35" i="12"/>
  <c r="D441" i="24" s="1"/>
  <c r="B34" i="12"/>
  <c r="D440" i="24" s="1"/>
  <c r="B33" i="12"/>
  <c r="D439" i="24" s="1"/>
  <c r="B32" i="12"/>
  <c r="D438" i="24" s="1"/>
  <c r="B31" i="12"/>
  <c r="D437" i="24" s="1"/>
  <c r="B30" i="12"/>
  <c r="D436" i="24" s="1"/>
  <c r="B29" i="12"/>
  <c r="D435" i="24" s="1"/>
  <c r="B28" i="12"/>
  <c r="D434" i="24" s="1"/>
  <c r="B27" i="12"/>
  <c r="D433" i="24" s="1"/>
  <c r="B26" i="12"/>
  <c r="D432" i="24" s="1"/>
  <c r="B24" i="12"/>
  <c r="D431" i="24" s="1"/>
  <c r="B22" i="12"/>
  <c r="D429" i="24" s="1"/>
  <c r="B20" i="12"/>
  <c r="D428" i="24" s="1"/>
  <c r="B19" i="12"/>
  <c r="D427" i="24" s="1"/>
  <c r="B18" i="12"/>
  <c r="D426" i="24" s="1"/>
  <c r="B16" i="12"/>
  <c r="D425" i="24" s="1"/>
  <c r="B15" i="12"/>
  <c r="D424" i="24" s="1"/>
  <c r="B13" i="12"/>
  <c r="D423" i="24" s="1"/>
  <c r="B12" i="12"/>
  <c r="D422" i="24" s="1"/>
  <c r="B11" i="12"/>
  <c r="D421" i="24" s="1"/>
  <c r="D65" i="11"/>
  <c r="D64" i="11"/>
  <c r="D49" i="23" s="1"/>
  <c r="D63" i="11"/>
  <c r="D48" i="23" s="1"/>
  <c r="D62" i="11"/>
  <c r="I59" i="11"/>
  <c r="U13" i="1" s="1"/>
  <c r="M90" i="22" s="1"/>
  <c r="M100" i="22" s="1"/>
  <c r="B58" i="11"/>
  <c r="D420" i="24" s="1"/>
  <c r="B57" i="11"/>
  <c r="D419" i="24" s="1"/>
  <c r="B56" i="11"/>
  <c r="D418" i="24" s="1"/>
  <c r="B54" i="11"/>
  <c r="D417" i="24" s="1"/>
  <c r="B52" i="11"/>
  <c r="D416" i="24" s="1"/>
  <c r="B51" i="11"/>
  <c r="D415" i="24" s="1"/>
  <c r="B49" i="11"/>
  <c r="D414" i="24" s="1"/>
  <c r="B48" i="11"/>
  <c r="D413" i="24" s="1"/>
  <c r="B47" i="11"/>
  <c r="D412" i="24" s="1"/>
  <c r="B45" i="11"/>
  <c r="D411" i="24" s="1"/>
  <c r="B44" i="11"/>
  <c r="D410" i="24" s="1"/>
  <c r="B43" i="11"/>
  <c r="D409" i="24" s="1"/>
  <c r="B41" i="11"/>
  <c r="D408" i="24" s="1"/>
  <c r="B40" i="11"/>
  <c r="D407" i="24" s="1"/>
  <c r="B39" i="11"/>
  <c r="D406" i="24" s="1"/>
  <c r="B37" i="11"/>
  <c r="D405" i="24" s="1"/>
  <c r="B36" i="11"/>
  <c r="D404" i="24" s="1"/>
  <c r="B35" i="11"/>
  <c r="D403" i="24" s="1"/>
  <c r="B34" i="11"/>
  <c r="D402" i="24" s="1"/>
  <c r="B33" i="11"/>
  <c r="D401" i="24" s="1"/>
  <c r="B32" i="11"/>
  <c r="D400" i="24" s="1"/>
  <c r="B31" i="11"/>
  <c r="D399" i="24" s="1"/>
  <c r="B30" i="11"/>
  <c r="D398" i="24" s="1"/>
  <c r="B29" i="11"/>
  <c r="D397" i="24" s="1"/>
  <c r="B28" i="11"/>
  <c r="D396" i="24" s="1"/>
  <c r="B27" i="11"/>
  <c r="D395" i="24" s="1"/>
  <c r="B26" i="11"/>
  <c r="D394" i="24" s="1"/>
  <c r="B24" i="11"/>
  <c r="D393" i="24" s="1"/>
  <c r="B22" i="11"/>
  <c r="D391" i="24" s="1"/>
  <c r="B20" i="11"/>
  <c r="D390" i="24" s="1"/>
  <c r="B19" i="11"/>
  <c r="D389" i="24" s="1"/>
  <c r="B18" i="11"/>
  <c r="D388" i="24" s="1"/>
  <c r="B16" i="11"/>
  <c r="D387" i="24" s="1"/>
  <c r="B15" i="11"/>
  <c r="D386" i="24" s="1"/>
  <c r="B13" i="11"/>
  <c r="D385" i="24" s="1"/>
  <c r="B12" i="11"/>
  <c r="D384" i="24" s="1"/>
  <c r="B11" i="11"/>
  <c r="D383" i="24" s="1"/>
  <c r="D66" i="10"/>
  <c r="E62" i="10"/>
  <c r="I59" i="10"/>
  <c r="U23" i="1" s="1"/>
  <c r="D65" i="9"/>
  <c r="D45" i="23" s="1"/>
  <c r="D64" i="9"/>
  <c r="D44" i="23" s="1"/>
  <c r="D63" i="9"/>
  <c r="D43" i="23" s="1"/>
  <c r="D62" i="9"/>
  <c r="D42" i="23" s="1"/>
  <c r="I59" i="9"/>
  <c r="U12" i="1" s="1"/>
  <c r="M79" i="22" s="1"/>
  <c r="B58" i="9"/>
  <c r="D382" i="24" s="1"/>
  <c r="B57" i="9"/>
  <c r="D381" i="24" s="1"/>
  <c r="B56" i="9"/>
  <c r="D380" i="24" s="1"/>
  <c r="B54" i="9"/>
  <c r="D379" i="24" s="1"/>
  <c r="B52" i="9"/>
  <c r="D378" i="24" s="1"/>
  <c r="B51" i="9"/>
  <c r="D377" i="24" s="1"/>
  <c r="B49" i="9"/>
  <c r="D376" i="24" s="1"/>
  <c r="B48" i="9"/>
  <c r="D375" i="24" s="1"/>
  <c r="B47" i="9"/>
  <c r="D374" i="24" s="1"/>
  <c r="B45" i="9"/>
  <c r="D373" i="24" s="1"/>
  <c r="B44" i="9"/>
  <c r="D372" i="24" s="1"/>
  <c r="B43" i="9"/>
  <c r="D371" i="24" s="1"/>
  <c r="B41" i="9"/>
  <c r="D370" i="24" s="1"/>
  <c r="B40" i="9"/>
  <c r="D369" i="24" s="1"/>
  <c r="B39" i="9"/>
  <c r="D368" i="24" s="1"/>
  <c r="B37" i="9"/>
  <c r="D367" i="24" s="1"/>
  <c r="B36" i="9"/>
  <c r="D366" i="24" s="1"/>
  <c r="B35" i="9"/>
  <c r="D365" i="24" s="1"/>
  <c r="B34" i="9"/>
  <c r="D364" i="24" s="1"/>
  <c r="B33" i="9"/>
  <c r="D363" i="24" s="1"/>
  <c r="B32" i="9"/>
  <c r="D362" i="24" s="1"/>
  <c r="B31" i="9"/>
  <c r="D361" i="24" s="1"/>
  <c r="B30" i="9"/>
  <c r="D360" i="24" s="1"/>
  <c r="B29" i="9"/>
  <c r="D359" i="24" s="1"/>
  <c r="B28" i="9"/>
  <c r="D358" i="24" s="1"/>
  <c r="B27" i="9"/>
  <c r="D357" i="24" s="1"/>
  <c r="B26" i="9"/>
  <c r="D356" i="24" s="1"/>
  <c r="B24" i="9"/>
  <c r="D355" i="24" s="1"/>
  <c r="B22" i="9"/>
  <c r="D353" i="24" s="1"/>
  <c r="B20" i="9"/>
  <c r="D352" i="24" s="1"/>
  <c r="B19" i="9"/>
  <c r="D351" i="24" s="1"/>
  <c r="B18" i="9"/>
  <c r="D350" i="24" s="1"/>
  <c r="B16" i="9"/>
  <c r="D349" i="24" s="1"/>
  <c r="B15" i="9"/>
  <c r="D348" i="24" s="1"/>
  <c r="B13" i="9"/>
  <c r="D347" i="24" s="1"/>
  <c r="B12" i="9"/>
  <c r="D346" i="24" s="1"/>
  <c r="B11" i="9"/>
  <c r="D345" i="24" s="1"/>
  <c r="D65" i="8"/>
  <c r="D35" i="23" s="1"/>
  <c r="D64" i="8"/>
  <c r="D34" i="23" s="1"/>
  <c r="D63" i="8"/>
  <c r="D33" i="23" s="1"/>
  <c r="D62" i="8"/>
  <c r="D32" i="23" s="1"/>
  <c r="I59" i="8"/>
  <c r="U11" i="1" s="1"/>
  <c r="M68" i="22" s="1"/>
  <c r="B58" i="8"/>
  <c r="D306" i="24" s="1"/>
  <c r="B57" i="8"/>
  <c r="D305" i="24" s="1"/>
  <c r="B56" i="8"/>
  <c r="D304" i="24" s="1"/>
  <c r="B54" i="8"/>
  <c r="D303" i="24" s="1"/>
  <c r="B52" i="8"/>
  <c r="D302" i="24" s="1"/>
  <c r="B51" i="8"/>
  <c r="D301" i="24" s="1"/>
  <c r="B49" i="8"/>
  <c r="D300" i="24" s="1"/>
  <c r="B48" i="8"/>
  <c r="D299" i="24" s="1"/>
  <c r="B47" i="8"/>
  <c r="D298" i="24" s="1"/>
  <c r="B45" i="8"/>
  <c r="D297" i="24" s="1"/>
  <c r="B44" i="8"/>
  <c r="D296" i="24" s="1"/>
  <c r="B43" i="8"/>
  <c r="D295" i="24" s="1"/>
  <c r="B41" i="8"/>
  <c r="D294" i="24" s="1"/>
  <c r="B40" i="8"/>
  <c r="D293" i="24" s="1"/>
  <c r="B39" i="8"/>
  <c r="D292" i="24" s="1"/>
  <c r="B37" i="8"/>
  <c r="D291" i="24" s="1"/>
  <c r="B36" i="8"/>
  <c r="D290" i="24" s="1"/>
  <c r="B35" i="8"/>
  <c r="D289" i="24" s="1"/>
  <c r="B34" i="8"/>
  <c r="D288" i="24" s="1"/>
  <c r="B33" i="8"/>
  <c r="D287" i="24" s="1"/>
  <c r="B32" i="8"/>
  <c r="D286" i="24" s="1"/>
  <c r="B31" i="8"/>
  <c r="D285" i="24" s="1"/>
  <c r="B30" i="8"/>
  <c r="D284" i="24" s="1"/>
  <c r="B29" i="8"/>
  <c r="D283" i="24" s="1"/>
  <c r="B28" i="8"/>
  <c r="D282" i="24" s="1"/>
  <c r="B27" i="8"/>
  <c r="D281" i="24" s="1"/>
  <c r="B26" i="8"/>
  <c r="D280" i="24" s="1"/>
  <c r="B24" i="8"/>
  <c r="D279" i="24" s="1"/>
  <c r="B22" i="8"/>
  <c r="D277" i="24" s="1"/>
  <c r="B20" i="8"/>
  <c r="D276" i="24" s="1"/>
  <c r="B19" i="8"/>
  <c r="D275" i="24" s="1"/>
  <c r="B18" i="8"/>
  <c r="D274" i="24" s="1"/>
  <c r="B16" i="8"/>
  <c r="D273" i="24" s="1"/>
  <c r="B15" i="8"/>
  <c r="D272" i="24" s="1"/>
  <c r="B13" i="8"/>
  <c r="D271" i="24" s="1"/>
  <c r="B12" i="8"/>
  <c r="D270" i="24" s="1"/>
  <c r="B11" i="8"/>
  <c r="D269" i="24" s="1"/>
  <c r="D65" i="7"/>
  <c r="D40" i="23" s="1"/>
  <c r="D64" i="7"/>
  <c r="D39" i="23" s="1"/>
  <c r="D63" i="7"/>
  <c r="D38" i="23" s="1"/>
  <c r="D62" i="7"/>
  <c r="D37" i="23" s="1"/>
  <c r="I59" i="7"/>
  <c r="U10" i="1" s="1"/>
  <c r="M57" i="22" s="1"/>
  <c r="M58" i="22" s="1"/>
  <c r="B58" i="7"/>
  <c r="D344" i="24" s="1"/>
  <c r="B57" i="7"/>
  <c r="D343" i="24" s="1"/>
  <c r="B56" i="7"/>
  <c r="D342" i="24" s="1"/>
  <c r="B54" i="7"/>
  <c r="D341" i="24" s="1"/>
  <c r="B52" i="7"/>
  <c r="D340" i="24" s="1"/>
  <c r="B51" i="7"/>
  <c r="D339" i="24" s="1"/>
  <c r="B49" i="7"/>
  <c r="D338" i="24" s="1"/>
  <c r="B48" i="7"/>
  <c r="D337" i="24" s="1"/>
  <c r="B47" i="7"/>
  <c r="D336" i="24" s="1"/>
  <c r="B45" i="7"/>
  <c r="D335" i="24" s="1"/>
  <c r="B44" i="7"/>
  <c r="D334" i="24" s="1"/>
  <c r="B43" i="7"/>
  <c r="D333" i="24" s="1"/>
  <c r="B41" i="7"/>
  <c r="D332" i="24" s="1"/>
  <c r="B40" i="7"/>
  <c r="D331" i="24" s="1"/>
  <c r="B39" i="7"/>
  <c r="D330" i="24" s="1"/>
  <c r="B37" i="7"/>
  <c r="D329" i="24" s="1"/>
  <c r="B36" i="7"/>
  <c r="D328" i="24" s="1"/>
  <c r="B35" i="7"/>
  <c r="D327" i="24" s="1"/>
  <c r="B34" i="7"/>
  <c r="D326" i="24" s="1"/>
  <c r="B33" i="7"/>
  <c r="D325" i="24" s="1"/>
  <c r="B32" i="7"/>
  <c r="D324" i="24" s="1"/>
  <c r="B31" i="7"/>
  <c r="D323" i="24" s="1"/>
  <c r="B30" i="7"/>
  <c r="D322" i="24" s="1"/>
  <c r="B29" i="7"/>
  <c r="D321" i="24" s="1"/>
  <c r="B28" i="7"/>
  <c r="D320" i="24" s="1"/>
  <c r="B27" i="7"/>
  <c r="D319" i="24" s="1"/>
  <c r="B26" i="7"/>
  <c r="D318" i="24" s="1"/>
  <c r="B24" i="7"/>
  <c r="D317" i="24" s="1"/>
  <c r="B22" i="7"/>
  <c r="D315" i="24" s="1"/>
  <c r="B20" i="7"/>
  <c r="D314" i="24" s="1"/>
  <c r="B19" i="7"/>
  <c r="D313" i="24" s="1"/>
  <c r="B18" i="7"/>
  <c r="D312" i="24" s="1"/>
  <c r="B16" i="7"/>
  <c r="D311" i="24" s="1"/>
  <c r="B15" i="7"/>
  <c r="D310" i="24" s="1"/>
  <c r="B13" i="7"/>
  <c r="D309" i="24" s="1"/>
  <c r="B12" i="7"/>
  <c r="D308" i="24" s="1"/>
  <c r="B11" i="7"/>
  <c r="D307" i="24" s="1"/>
  <c r="D65" i="6"/>
  <c r="D30" i="23" s="1"/>
  <c r="D64" i="6"/>
  <c r="D29" i="23" s="1"/>
  <c r="D63" i="6"/>
  <c r="D28" i="23" s="1"/>
  <c r="D62" i="6"/>
  <c r="D27" i="23" s="1"/>
  <c r="I59" i="6"/>
  <c r="U9" i="1" s="1"/>
  <c r="M46" i="22" s="1"/>
  <c r="B58" i="6"/>
  <c r="D268" i="24" s="1"/>
  <c r="B57" i="6"/>
  <c r="D267" i="24" s="1"/>
  <c r="B56" i="6"/>
  <c r="D266" i="24" s="1"/>
  <c r="B54" i="6"/>
  <c r="D265" i="24" s="1"/>
  <c r="B52" i="6"/>
  <c r="D264" i="24" s="1"/>
  <c r="B51" i="6"/>
  <c r="D263" i="24" s="1"/>
  <c r="B49" i="6"/>
  <c r="D262" i="24" s="1"/>
  <c r="B48" i="6"/>
  <c r="D261" i="24" s="1"/>
  <c r="B47" i="6"/>
  <c r="D260" i="24" s="1"/>
  <c r="B45" i="6"/>
  <c r="D259" i="24" s="1"/>
  <c r="B44" i="6"/>
  <c r="D258" i="24" s="1"/>
  <c r="B43" i="6"/>
  <c r="D257" i="24" s="1"/>
  <c r="B41" i="6"/>
  <c r="D256" i="24" s="1"/>
  <c r="B40" i="6"/>
  <c r="D255" i="24" s="1"/>
  <c r="B39" i="6"/>
  <c r="D254" i="24" s="1"/>
  <c r="B37" i="6"/>
  <c r="D253" i="24" s="1"/>
  <c r="B36" i="6"/>
  <c r="D252" i="24" s="1"/>
  <c r="B35" i="6"/>
  <c r="D251" i="24" s="1"/>
  <c r="B34" i="6"/>
  <c r="D250" i="24" s="1"/>
  <c r="B33" i="6"/>
  <c r="D249" i="24" s="1"/>
  <c r="B32" i="6"/>
  <c r="D248" i="24" s="1"/>
  <c r="B31" i="6"/>
  <c r="D247" i="24" s="1"/>
  <c r="B30" i="6"/>
  <c r="D246" i="24" s="1"/>
  <c r="B29" i="6"/>
  <c r="D245" i="24" s="1"/>
  <c r="B28" i="6"/>
  <c r="D244" i="24" s="1"/>
  <c r="B27" i="6"/>
  <c r="D243" i="24" s="1"/>
  <c r="B26" i="6"/>
  <c r="D242" i="24" s="1"/>
  <c r="B24" i="6"/>
  <c r="D241" i="24" s="1"/>
  <c r="B22" i="6"/>
  <c r="D239" i="24" s="1"/>
  <c r="B20" i="6"/>
  <c r="D238" i="24" s="1"/>
  <c r="B19" i="6"/>
  <c r="D237" i="24" s="1"/>
  <c r="B18" i="6"/>
  <c r="D236" i="24" s="1"/>
  <c r="B16" i="6"/>
  <c r="D235" i="24" s="1"/>
  <c r="B15" i="6"/>
  <c r="D234" i="24" s="1"/>
  <c r="B13" i="6"/>
  <c r="D233" i="24" s="1"/>
  <c r="B12" i="6"/>
  <c r="D232" i="24" s="1"/>
  <c r="B11" i="6"/>
  <c r="D231" i="24" s="1"/>
  <c r="D65" i="5"/>
  <c r="D15" i="23" s="1"/>
  <c r="D64" i="5"/>
  <c r="D14" i="23" s="1"/>
  <c r="D63" i="5"/>
  <c r="D13" i="23" s="1"/>
  <c r="D62" i="5"/>
  <c r="D12" i="23" s="1"/>
  <c r="I59" i="5"/>
  <c r="U8" i="1" s="1"/>
  <c r="M35" i="22" s="1"/>
  <c r="M36" i="22" s="1"/>
  <c r="B58" i="5"/>
  <c r="D154" i="24" s="1"/>
  <c r="B57" i="5"/>
  <c r="D153" i="24" s="1"/>
  <c r="B56" i="5"/>
  <c r="D152" i="24" s="1"/>
  <c r="B54" i="5"/>
  <c r="D151" i="24" s="1"/>
  <c r="B52" i="5"/>
  <c r="D150" i="24" s="1"/>
  <c r="B51" i="5"/>
  <c r="D149" i="24" s="1"/>
  <c r="B49" i="5"/>
  <c r="D148" i="24" s="1"/>
  <c r="B48" i="5"/>
  <c r="D147" i="24" s="1"/>
  <c r="B47" i="5"/>
  <c r="D146" i="24" s="1"/>
  <c r="B45" i="5"/>
  <c r="D145" i="24" s="1"/>
  <c r="B44" i="5"/>
  <c r="D144" i="24" s="1"/>
  <c r="B43" i="5"/>
  <c r="D143" i="24" s="1"/>
  <c r="B41" i="5"/>
  <c r="D142" i="24" s="1"/>
  <c r="B40" i="5"/>
  <c r="D141" i="24" s="1"/>
  <c r="B39" i="5"/>
  <c r="D140" i="24" s="1"/>
  <c r="B37" i="5"/>
  <c r="D139" i="24" s="1"/>
  <c r="B36" i="5"/>
  <c r="D138" i="24" s="1"/>
  <c r="B35" i="5"/>
  <c r="D137" i="24" s="1"/>
  <c r="B34" i="5"/>
  <c r="D136" i="24" s="1"/>
  <c r="B33" i="5"/>
  <c r="D135" i="24" s="1"/>
  <c r="B32" i="5"/>
  <c r="D134" i="24" s="1"/>
  <c r="B31" i="5"/>
  <c r="D133" i="24" s="1"/>
  <c r="B30" i="5"/>
  <c r="D132" i="24" s="1"/>
  <c r="B29" i="5"/>
  <c r="D131" i="24" s="1"/>
  <c r="B28" i="5"/>
  <c r="D130" i="24" s="1"/>
  <c r="B27" i="5"/>
  <c r="D129" i="24" s="1"/>
  <c r="B26" i="5"/>
  <c r="D128" i="24" s="1"/>
  <c r="B24" i="5"/>
  <c r="D127" i="24" s="1"/>
  <c r="B22" i="5"/>
  <c r="D125" i="24" s="1"/>
  <c r="B20" i="5"/>
  <c r="D124" i="24" s="1"/>
  <c r="B19" i="5"/>
  <c r="D123" i="24" s="1"/>
  <c r="B18" i="5"/>
  <c r="D122" i="24" s="1"/>
  <c r="B16" i="5"/>
  <c r="D121" i="24" s="1"/>
  <c r="B15" i="5"/>
  <c r="D120" i="24" s="1"/>
  <c r="B13" i="5"/>
  <c r="D119" i="24" s="1"/>
  <c r="B12" i="5"/>
  <c r="D118" i="24" s="1"/>
  <c r="B11" i="5"/>
  <c r="D117" i="24" s="1"/>
  <c r="D65" i="4"/>
  <c r="D64" i="4"/>
  <c r="D63" i="4"/>
  <c r="D62" i="4"/>
  <c r="I60" i="4"/>
  <c r="U7" i="1" s="1"/>
  <c r="M24" i="22" s="1"/>
  <c r="B58" i="4"/>
  <c r="D116" i="24" s="1"/>
  <c r="B57" i="4"/>
  <c r="D115" i="24" s="1"/>
  <c r="B56" i="4"/>
  <c r="D114" i="24" s="1"/>
  <c r="B54" i="4"/>
  <c r="D113" i="24" s="1"/>
  <c r="B52" i="4"/>
  <c r="D112" i="24" s="1"/>
  <c r="B51" i="4"/>
  <c r="D111" i="24" s="1"/>
  <c r="B49" i="4"/>
  <c r="D110" i="24" s="1"/>
  <c r="B48" i="4"/>
  <c r="D109" i="24" s="1"/>
  <c r="B47" i="4"/>
  <c r="D108" i="24" s="1"/>
  <c r="B45" i="4"/>
  <c r="D107" i="24" s="1"/>
  <c r="B44" i="4"/>
  <c r="D106" i="24" s="1"/>
  <c r="B43" i="4"/>
  <c r="D105" i="24" s="1"/>
  <c r="B41" i="4"/>
  <c r="D104" i="24" s="1"/>
  <c r="B40" i="4"/>
  <c r="D103" i="24" s="1"/>
  <c r="B39" i="4"/>
  <c r="D102" i="24" s="1"/>
  <c r="B37" i="4"/>
  <c r="D101" i="24" s="1"/>
  <c r="B36" i="4"/>
  <c r="D100" i="24" s="1"/>
  <c r="B35" i="4"/>
  <c r="D99" i="24" s="1"/>
  <c r="B34" i="4"/>
  <c r="D98" i="24" s="1"/>
  <c r="B33" i="4"/>
  <c r="D97" i="24" s="1"/>
  <c r="B32" i="4"/>
  <c r="D96" i="24" s="1"/>
  <c r="B31" i="4"/>
  <c r="D95" i="24" s="1"/>
  <c r="B30" i="4"/>
  <c r="D94" i="24" s="1"/>
  <c r="B29" i="4"/>
  <c r="D93" i="24" s="1"/>
  <c r="B28" i="4"/>
  <c r="D92" i="24" s="1"/>
  <c r="B27" i="4"/>
  <c r="D91" i="24" s="1"/>
  <c r="B26" i="4"/>
  <c r="D90" i="24" s="1"/>
  <c r="B24" i="4"/>
  <c r="D89" i="24" s="1"/>
  <c r="B22" i="4"/>
  <c r="D87" i="24" s="1"/>
  <c r="B20" i="4"/>
  <c r="D86" i="24" s="1"/>
  <c r="B19" i="4"/>
  <c r="D85" i="24" s="1"/>
  <c r="B18" i="4"/>
  <c r="D84" i="24" s="1"/>
  <c r="B16" i="4"/>
  <c r="D83" i="24" s="1"/>
  <c r="B15" i="4"/>
  <c r="D82" i="24" s="1"/>
  <c r="B13" i="4"/>
  <c r="D81" i="24" s="1"/>
  <c r="B12" i="4"/>
  <c r="D80" i="24" s="1"/>
  <c r="B11" i="4"/>
  <c r="D79" i="24" s="1"/>
  <c r="D65" i="3"/>
  <c r="D10" i="23" s="1"/>
  <c r="D64" i="3"/>
  <c r="D9" i="23" s="1"/>
  <c r="D63" i="3"/>
  <c r="D8" i="23" s="1"/>
  <c r="D62" i="3"/>
  <c r="D7" i="23" s="1"/>
  <c r="I59" i="3"/>
  <c r="U6" i="1" s="1"/>
  <c r="M13" i="22" s="1"/>
  <c r="M21" i="22" s="1"/>
  <c r="B58" i="3"/>
  <c r="D78" i="24" s="1"/>
  <c r="B57" i="3"/>
  <c r="D77" i="24" s="1"/>
  <c r="B56" i="3"/>
  <c r="D76" i="24" s="1"/>
  <c r="B54" i="3"/>
  <c r="D75" i="24" s="1"/>
  <c r="B52" i="3"/>
  <c r="D74" i="24" s="1"/>
  <c r="B51" i="3"/>
  <c r="D73" i="24" s="1"/>
  <c r="B49" i="3"/>
  <c r="D72" i="24" s="1"/>
  <c r="B48" i="3"/>
  <c r="D71" i="24" s="1"/>
  <c r="B47" i="3"/>
  <c r="D70" i="24" s="1"/>
  <c r="B45" i="3"/>
  <c r="D69" i="24" s="1"/>
  <c r="B44" i="3"/>
  <c r="D68" i="24" s="1"/>
  <c r="B43" i="3"/>
  <c r="D67" i="24" s="1"/>
  <c r="B41" i="3"/>
  <c r="D66" i="24" s="1"/>
  <c r="B40" i="3"/>
  <c r="D65" i="24" s="1"/>
  <c r="B39" i="3"/>
  <c r="D64" i="24" s="1"/>
  <c r="B37" i="3"/>
  <c r="D63" i="24" s="1"/>
  <c r="B36" i="3"/>
  <c r="D62" i="24" s="1"/>
  <c r="B35" i="3"/>
  <c r="D61" i="24" s="1"/>
  <c r="B34" i="3"/>
  <c r="D60" i="24" s="1"/>
  <c r="B33" i="3"/>
  <c r="D59" i="24" s="1"/>
  <c r="B32" i="3"/>
  <c r="D58" i="24" s="1"/>
  <c r="B31" i="3"/>
  <c r="D57" i="24" s="1"/>
  <c r="B30" i="3"/>
  <c r="D56" i="24" s="1"/>
  <c r="B29" i="3"/>
  <c r="D55" i="24" s="1"/>
  <c r="B28" i="3"/>
  <c r="D54" i="24" s="1"/>
  <c r="B27" i="3"/>
  <c r="D53" i="24" s="1"/>
  <c r="B26" i="3"/>
  <c r="D52" i="24" s="1"/>
  <c r="B24" i="3"/>
  <c r="D51" i="24" s="1"/>
  <c r="B22" i="3"/>
  <c r="D49" i="24" s="1"/>
  <c r="B20" i="3"/>
  <c r="D48" i="24" s="1"/>
  <c r="B19" i="3"/>
  <c r="D47" i="24" s="1"/>
  <c r="B18" i="3"/>
  <c r="D46" i="24" s="1"/>
  <c r="B16" i="3"/>
  <c r="D45" i="24" s="1"/>
  <c r="B15" i="3"/>
  <c r="D44" i="24" s="1"/>
  <c r="B13" i="3"/>
  <c r="D43" i="24" s="1"/>
  <c r="B12" i="3"/>
  <c r="D42" i="24" s="1"/>
  <c r="B11" i="3"/>
  <c r="D41" i="24" s="1"/>
  <c r="D65" i="2"/>
  <c r="D5" i="23" s="1"/>
  <c r="D64" i="2"/>
  <c r="D4" i="23" s="1"/>
  <c r="D63" i="2"/>
  <c r="D3" i="23" s="1"/>
  <c r="D62" i="2"/>
  <c r="D2" i="23" s="1"/>
  <c r="I59" i="2"/>
  <c r="U5" i="1" s="1"/>
  <c r="M2" i="22" s="1"/>
  <c r="B58" i="2"/>
  <c r="D40" i="24" s="1"/>
  <c r="B57" i="2"/>
  <c r="D39" i="24" s="1"/>
  <c r="B56" i="2"/>
  <c r="D38" i="24" s="1"/>
  <c r="B54" i="2"/>
  <c r="D37" i="24" s="1"/>
  <c r="B52" i="2"/>
  <c r="D36" i="24" s="1"/>
  <c r="B51" i="2"/>
  <c r="D35" i="24" s="1"/>
  <c r="B49" i="2"/>
  <c r="D34" i="24" s="1"/>
  <c r="B48" i="2"/>
  <c r="D33" i="24" s="1"/>
  <c r="B47" i="2"/>
  <c r="D32" i="24" s="1"/>
  <c r="B45" i="2"/>
  <c r="D31" i="24" s="1"/>
  <c r="B44" i="2"/>
  <c r="D30" i="24" s="1"/>
  <c r="B43" i="2"/>
  <c r="D29" i="24" s="1"/>
  <c r="B41" i="2"/>
  <c r="D27" i="24" s="1"/>
  <c r="B40" i="2"/>
  <c r="D26" i="24" s="1"/>
  <c r="B39" i="2"/>
  <c r="D25" i="24" s="1"/>
  <c r="B37" i="2"/>
  <c r="D24" i="24" s="1"/>
  <c r="B36" i="2"/>
  <c r="D23" i="24" s="1"/>
  <c r="B35" i="2"/>
  <c r="D22" i="24" s="1"/>
  <c r="B34" i="2"/>
  <c r="D21" i="24" s="1"/>
  <c r="B33" i="2"/>
  <c r="D20" i="24" s="1"/>
  <c r="B32" i="2"/>
  <c r="D19" i="24" s="1"/>
  <c r="B31" i="2"/>
  <c r="D18" i="24" s="1"/>
  <c r="B30" i="2"/>
  <c r="D17" i="24" s="1"/>
  <c r="B29" i="2"/>
  <c r="D16" i="24" s="1"/>
  <c r="B28" i="2"/>
  <c r="D15" i="24" s="1"/>
  <c r="B27" i="2"/>
  <c r="D14" i="24" s="1"/>
  <c r="B26" i="2"/>
  <c r="D13" i="24" s="1"/>
  <c r="B24" i="2"/>
  <c r="D12" i="24" s="1"/>
  <c r="B22" i="2"/>
  <c r="D10" i="24" s="1"/>
  <c r="B20" i="2"/>
  <c r="D9" i="24" s="1"/>
  <c r="B19" i="2"/>
  <c r="D8" i="24" s="1"/>
  <c r="B18" i="2"/>
  <c r="D7" i="24" s="1"/>
  <c r="B16" i="2"/>
  <c r="D6" i="24" s="1"/>
  <c r="B15" i="2"/>
  <c r="D5" i="24" s="1"/>
  <c r="B13" i="2"/>
  <c r="D4" i="24" s="1"/>
  <c r="B12" i="2"/>
  <c r="D3" i="24" s="1"/>
  <c r="B11" i="2"/>
  <c r="D2" i="24" s="1"/>
  <c r="I67" i="22" l="1"/>
  <c r="I78" i="22"/>
  <c r="I89" i="22" s="1"/>
  <c r="I100" i="22" s="1"/>
  <c r="I111" i="22" s="1"/>
  <c r="I122" i="22" s="1"/>
  <c r="I133" i="22" s="1"/>
  <c r="I144" i="22" s="1"/>
  <c r="I155" i="22" s="1"/>
  <c r="I166" i="22" s="1"/>
  <c r="I177" i="22" s="1"/>
  <c r="I188" i="22" s="1"/>
  <c r="I199" i="22" s="1"/>
  <c r="I210" i="22" s="1"/>
  <c r="I59" i="22"/>
  <c r="I70" i="22"/>
  <c r="I81" i="22" s="1"/>
  <c r="I92" i="22" s="1"/>
  <c r="I103" i="22" s="1"/>
  <c r="I114" i="22" s="1"/>
  <c r="I125" i="22" s="1"/>
  <c r="I136" i="22" s="1"/>
  <c r="I147" i="22" s="1"/>
  <c r="I158" i="22" s="1"/>
  <c r="I169" i="22" s="1"/>
  <c r="I180" i="22" s="1"/>
  <c r="I191" i="22" s="1"/>
  <c r="I202" i="22" s="1"/>
  <c r="M34" i="22"/>
  <c r="M26" i="22"/>
  <c r="M31" i="22"/>
  <c r="M28" i="22"/>
  <c r="M30" i="22"/>
  <c r="M27" i="22"/>
  <c r="M32" i="22"/>
  <c r="M29" i="22"/>
  <c r="M78" i="22"/>
  <c r="M70" i="22"/>
  <c r="M75" i="22"/>
  <c r="M72" i="22"/>
  <c r="M74" i="22"/>
  <c r="M71" i="22"/>
  <c r="M76" i="22"/>
  <c r="M73" i="22"/>
  <c r="J69" i="22"/>
  <c r="J80" i="22" s="1"/>
  <c r="J91" i="22" s="1"/>
  <c r="J102" i="22" s="1"/>
  <c r="J113" i="22" s="1"/>
  <c r="J124" i="22" s="1"/>
  <c r="J135" i="22" s="1"/>
  <c r="J146" i="22" s="1"/>
  <c r="J157" i="22" s="1"/>
  <c r="J168" i="22" s="1"/>
  <c r="J179" i="22" s="1"/>
  <c r="J190" i="22" s="1"/>
  <c r="J201" i="22" s="1"/>
  <c r="J58" i="22"/>
  <c r="J78" i="22"/>
  <c r="J89" i="22" s="1"/>
  <c r="J100" i="22" s="1"/>
  <c r="J111" i="22" s="1"/>
  <c r="J122" i="22" s="1"/>
  <c r="J133" i="22" s="1"/>
  <c r="J144" i="22" s="1"/>
  <c r="J155" i="22" s="1"/>
  <c r="J166" i="22" s="1"/>
  <c r="J177" i="22" s="1"/>
  <c r="J188" i="22" s="1"/>
  <c r="J199" i="22" s="1"/>
  <c r="J210" i="22" s="1"/>
  <c r="J67" i="22"/>
  <c r="J75" i="22"/>
  <c r="J86" i="22" s="1"/>
  <c r="J97" i="22" s="1"/>
  <c r="J108" i="22" s="1"/>
  <c r="J119" i="22" s="1"/>
  <c r="J130" i="22" s="1"/>
  <c r="J141" i="22" s="1"/>
  <c r="J152" i="22" s="1"/>
  <c r="J163" i="22" s="1"/>
  <c r="J174" i="22" s="1"/>
  <c r="J185" i="22" s="1"/>
  <c r="J196" i="22" s="1"/>
  <c r="J207" i="22" s="1"/>
  <c r="D60" i="23"/>
  <c r="E65" i="13"/>
  <c r="E60" i="23" s="1"/>
  <c r="I71" i="22"/>
  <c r="I82" i="22" s="1"/>
  <c r="I93" i="22" s="1"/>
  <c r="I104" i="22" s="1"/>
  <c r="I115" i="22" s="1"/>
  <c r="I126" i="22" s="1"/>
  <c r="I137" i="22" s="1"/>
  <c r="I148" i="22" s="1"/>
  <c r="I159" i="22" s="1"/>
  <c r="I170" i="22" s="1"/>
  <c r="I181" i="22" s="1"/>
  <c r="I192" i="22" s="1"/>
  <c r="I203" i="22" s="1"/>
  <c r="I60" i="22"/>
  <c r="D66" i="13"/>
  <c r="I69" i="22"/>
  <c r="I80" i="22" s="1"/>
  <c r="I91" i="22" s="1"/>
  <c r="I102" i="22" s="1"/>
  <c r="I113" i="22" s="1"/>
  <c r="I124" i="22" s="1"/>
  <c r="I135" i="22" s="1"/>
  <c r="I146" i="22" s="1"/>
  <c r="I157" i="22" s="1"/>
  <c r="I168" i="22" s="1"/>
  <c r="I179" i="22" s="1"/>
  <c r="I190" i="22" s="1"/>
  <c r="I201" i="22" s="1"/>
  <c r="I58" i="22"/>
  <c r="M3" i="22"/>
  <c r="M12" i="22"/>
  <c r="M7" i="22"/>
  <c r="M11" i="22"/>
  <c r="M10" i="22"/>
  <c r="M5" i="22"/>
  <c r="M9" i="22"/>
  <c r="M4" i="22"/>
  <c r="M8" i="22"/>
  <c r="M56" i="22"/>
  <c r="M48" i="22"/>
  <c r="M53" i="22"/>
  <c r="M50" i="22"/>
  <c r="M52" i="22"/>
  <c r="M49" i="22"/>
  <c r="M54" i="22"/>
  <c r="M51" i="22"/>
  <c r="D52" i="23"/>
  <c r="E62" i="12"/>
  <c r="E52" i="23" s="1"/>
  <c r="I74" i="22"/>
  <c r="I85" i="22" s="1"/>
  <c r="I96" i="22" s="1"/>
  <c r="I107" i="22" s="1"/>
  <c r="I118" i="22" s="1"/>
  <c r="I129" i="22" s="1"/>
  <c r="I140" i="22" s="1"/>
  <c r="I151" i="22" s="1"/>
  <c r="I162" i="22" s="1"/>
  <c r="I173" i="22" s="1"/>
  <c r="I184" i="22" s="1"/>
  <c r="I195" i="22" s="1"/>
  <c r="I206" i="22" s="1"/>
  <c r="I63" i="22"/>
  <c r="M55" i="22"/>
  <c r="D65" i="23"/>
  <c r="E65" i="15"/>
  <c r="E65" i="23" s="1"/>
  <c r="M47" i="22"/>
  <c r="E63" i="4"/>
  <c r="I76" i="22"/>
  <c r="I87" i="22" s="1"/>
  <c r="I98" i="22" s="1"/>
  <c r="I109" i="22" s="1"/>
  <c r="I120" i="22" s="1"/>
  <c r="I131" i="22" s="1"/>
  <c r="I142" i="22" s="1"/>
  <c r="I153" i="22" s="1"/>
  <c r="I164" i="22" s="1"/>
  <c r="I175" i="22" s="1"/>
  <c r="I186" i="22" s="1"/>
  <c r="I197" i="22" s="1"/>
  <c r="I208" i="22" s="1"/>
  <c r="I65" i="22"/>
  <c r="M25" i="22"/>
  <c r="I75" i="22"/>
  <c r="I86" i="22" s="1"/>
  <c r="I97" i="22" s="1"/>
  <c r="I108" i="22" s="1"/>
  <c r="I119" i="22" s="1"/>
  <c r="I130" i="22" s="1"/>
  <c r="I141" i="22" s="1"/>
  <c r="I152" i="22" s="1"/>
  <c r="I163" i="22" s="1"/>
  <c r="I174" i="22" s="1"/>
  <c r="I185" i="22" s="1"/>
  <c r="I196" i="22" s="1"/>
  <c r="I207" i="22" s="1"/>
  <c r="I64" i="22"/>
  <c r="M77" i="22"/>
  <c r="E65" i="10"/>
  <c r="E63" i="10"/>
  <c r="E66" i="10"/>
  <c r="J72" i="22"/>
  <c r="J83" i="22" s="1"/>
  <c r="J94" i="22" s="1"/>
  <c r="J105" i="22" s="1"/>
  <c r="J116" i="22" s="1"/>
  <c r="J127" i="22" s="1"/>
  <c r="J138" i="22" s="1"/>
  <c r="J149" i="22" s="1"/>
  <c r="J160" i="22" s="1"/>
  <c r="J171" i="22" s="1"/>
  <c r="J182" i="22" s="1"/>
  <c r="J193" i="22" s="1"/>
  <c r="J204" i="22" s="1"/>
  <c r="J61" i="22"/>
  <c r="J73" i="22"/>
  <c r="J84" i="22" s="1"/>
  <c r="J95" i="22" s="1"/>
  <c r="J106" i="22" s="1"/>
  <c r="J117" i="22" s="1"/>
  <c r="J128" i="22" s="1"/>
  <c r="J139" i="22" s="1"/>
  <c r="J150" i="22" s="1"/>
  <c r="J161" i="22" s="1"/>
  <c r="J172" i="22" s="1"/>
  <c r="J183" i="22" s="1"/>
  <c r="J194" i="22" s="1"/>
  <c r="J205" i="22" s="1"/>
  <c r="J62" i="22"/>
  <c r="D50" i="23"/>
  <c r="I73" i="22"/>
  <c r="I84" i="22" s="1"/>
  <c r="I95" i="22" s="1"/>
  <c r="I106" i="22" s="1"/>
  <c r="I117" i="22" s="1"/>
  <c r="I128" i="22" s="1"/>
  <c r="I139" i="22" s="1"/>
  <c r="I150" i="22" s="1"/>
  <c r="I161" i="22" s="1"/>
  <c r="I172" i="22" s="1"/>
  <c r="I183" i="22" s="1"/>
  <c r="I194" i="22" s="1"/>
  <c r="I205" i="22" s="1"/>
  <c r="I62" i="22"/>
  <c r="E62" i="4"/>
  <c r="D66" i="11"/>
  <c r="D25" i="23"/>
  <c r="J74" i="22"/>
  <c r="J85" i="22" s="1"/>
  <c r="J96" i="22" s="1"/>
  <c r="J107" i="22" s="1"/>
  <c r="J118" i="22" s="1"/>
  <c r="J129" i="22" s="1"/>
  <c r="J140" i="22" s="1"/>
  <c r="J151" i="22" s="1"/>
  <c r="J162" i="22" s="1"/>
  <c r="J173" i="22" s="1"/>
  <c r="J184" i="22" s="1"/>
  <c r="J195" i="22" s="1"/>
  <c r="J206" i="22" s="1"/>
  <c r="J63" i="22"/>
  <c r="M208" i="22"/>
  <c r="M204" i="22"/>
  <c r="M200" i="22"/>
  <c r="M210" i="22"/>
  <c r="M206" i="22"/>
  <c r="M202" i="22"/>
  <c r="M209" i="22"/>
  <c r="M205" i="22"/>
  <c r="M201" i="22"/>
  <c r="M203" i="22"/>
  <c r="M207" i="22"/>
  <c r="D55" i="23"/>
  <c r="D57" i="23"/>
  <c r="E62" i="13"/>
  <c r="E57" i="23" s="1"/>
  <c r="D70" i="23"/>
  <c r="M6" i="22"/>
  <c r="J70" i="22"/>
  <c r="J81" i="22" s="1"/>
  <c r="J92" i="22" s="1"/>
  <c r="J103" i="22" s="1"/>
  <c r="J114" i="22" s="1"/>
  <c r="J125" i="22" s="1"/>
  <c r="J136" i="22" s="1"/>
  <c r="J147" i="22" s="1"/>
  <c r="J158" i="22" s="1"/>
  <c r="J169" i="22" s="1"/>
  <c r="J180" i="22" s="1"/>
  <c r="J191" i="22" s="1"/>
  <c r="J202" i="22" s="1"/>
  <c r="J59" i="22"/>
  <c r="M67" i="22"/>
  <c r="M59" i="22"/>
  <c r="M64" i="22"/>
  <c r="M61" i="22"/>
  <c r="M63" i="22"/>
  <c r="M60" i="22"/>
  <c r="M65" i="22"/>
  <c r="M62" i="22"/>
  <c r="M89" i="22"/>
  <c r="M81" i="22"/>
  <c r="M86" i="22"/>
  <c r="M83" i="22"/>
  <c r="M85" i="22"/>
  <c r="M82" i="22"/>
  <c r="M87" i="22"/>
  <c r="M84" i="22"/>
  <c r="D66" i="12"/>
  <c r="I77" i="22"/>
  <c r="I88" i="22" s="1"/>
  <c r="I99" i="22" s="1"/>
  <c r="I110" i="22" s="1"/>
  <c r="I121" i="22" s="1"/>
  <c r="I132" i="22" s="1"/>
  <c r="I143" i="22" s="1"/>
  <c r="I154" i="22" s="1"/>
  <c r="I165" i="22" s="1"/>
  <c r="I176" i="22" s="1"/>
  <c r="I187" i="22" s="1"/>
  <c r="I198" i="22" s="1"/>
  <c r="I209" i="22" s="1"/>
  <c r="I66" i="22"/>
  <c r="J71" i="22"/>
  <c r="J82" i="22" s="1"/>
  <c r="J93" i="22" s="1"/>
  <c r="J104" i="22" s="1"/>
  <c r="J115" i="22" s="1"/>
  <c r="J126" i="22" s="1"/>
  <c r="J137" i="22" s="1"/>
  <c r="J148" i="22" s="1"/>
  <c r="J159" i="22" s="1"/>
  <c r="J170" i="22" s="1"/>
  <c r="J181" i="22" s="1"/>
  <c r="J192" i="22" s="1"/>
  <c r="J203" i="22" s="1"/>
  <c r="J60" i="22"/>
  <c r="J76" i="22"/>
  <c r="J87" i="22" s="1"/>
  <c r="J98" i="22" s="1"/>
  <c r="J109" i="22" s="1"/>
  <c r="J120" i="22" s="1"/>
  <c r="J131" i="22" s="1"/>
  <c r="J142" i="22" s="1"/>
  <c r="J153" i="22" s="1"/>
  <c r="J164" i="22" s="1"/>
  <c r="J175" i="22" s="1"/>
  <c r="J186" i="22" s="1"/>
  <c r="J197" i="22" s="1"/>
  <c r="J208" i="22" s="1"/>
  <c r="J65" i="22"/>
  <c r="M80" i="22"/>
  <c r="I68" i="22"/>
  <c r="I79" i="22" s="1"/>
  <c r="I90" i="22" s="1"/>
  <c r="I101" i="22" s="1"/>
  <c r="I112" i="22" s="1"/>
  <c r="I123" i="22" s="1"/>
  <c r="I134" i="22" s="1"/>
  <c r="I145" i="22" s="1"/>
  <c r="I156" i="22" s="1"/>
  <c r="I167" i="22" s="1"/>
  <c r="I178" i="22" s="1"/>
  <c r="I189" i="22" s="1"/>
  <c r="I200" i="22" s="1"/>
  <c r="I57" i="22"/>
  <c r="D80" i="23"/>
  <c r="J68" i="22"/>
  <c r="J79" i="22" s="1"/>
  <c r="J90" i="22" s="1"/>
  <c r="J101" i="22" s="1"/>
  <c r="J112" i="22" s="1"/>
  <c r="J123" i="22" s="1"/>
  <c r="J134" i="22" s="1"/>
  <c r="J145" i="22" s="1"/>
  <c r="J156" i="22" s="1"/>
  <c r="J167" i="22" s="1"/>
  <c r="J178" i="22" s="1"/>
  <c r="J189" i="22" s="1"/>
  <c r="J200" i="22" s="1"/>
  <c r="J57" i="22"/>
  <c r="M23" i="22"/>
  <c r="M18" i="22"/>
  <c r="M22" i="22"/>
  <c r="M17" i="22"/>
  <c r="M20" i="22"/>
  <c r="M15" i="22"/>
  <c r="M19" i="22"/>
  <c r="M14" i="22"/>
  <c r="M45" i="22"/>
  <c r="M37" i="22"/>
  <c r="M42" i="22"/>
  <c r="M39" i="22"/>
  <c r="M41" i="22"/>
  <c r="M38" i="22"/>
  <c r="M43" i="22"/>
  <c r="M40" i="22"/>
  <c r="E64" i="10"/>
  <c r="D47" i="23"/>
  <c r="E62" i="11"/>
  <c r="E47" i="23" s="1"/>
  <c r="D75" i="23"/>
  <c r="I72" i="22"/>
  <c r="I83" i="22" s="1"/>
  <c r="I94" i="22" s="1"/>
  <c r="I105" i="22" s="1"/>
  <c r="I116" i="22" s="1"/>
  <c r="I127" i="22" s="1"/>
  <c r="I138" i="22" s="1"/>
  <c r="I149" i="22" s="1"/>
  <c r="I160" i="22" s="1"/>
  <c r="I171" i="22" s="1"/>
  <c r="I182" i="22" s="1"/>
  <c r="I193" i="22" s="1"/>
  <c r="I204" i="22" s="1"/>
  <c r="I61" i="22"/>
  <c r="J77" i="22"/>
  <c r="J88" i="22" s="1"/>
  <c r="J99" i="22" s="1"/>
  <c r="J110" i="22" s="1"/>
  <c r="J121" i="22" s="1"/>
  <c r="J132" i="22" s="1"/>
  <c r="J143" i="22" s="1"/>
  <c r="J154" i="22" s="1"/>
  <c r="J165" i="22" s="1"/>
  <c r="J176" i="22" s="1"/>
  <c r="J187" i="22" s="1"/>
  <c r="J198" i="22" s="1"/>
  <c r="J209" i="22" s="1"/>
  <c r="J66" i="22"/>
  <c r="M66" i="22"/>
  <c r="D66" i="16"/>
  <c r="D66" i="17"/>
  <c r="E63" i="17" s="1"/>
  <c r="E73" i="23" s="1"/>
  <c r="D66" i="4"/>
  <c r="D66" i="5"/>
  <c r="D66" i="6"/>
  <c r="E62" i="6" s="1"/>
  <c r="E27" i="23" s="1"/>
  <c r="D66" i="9"/>
  <c r="E63" i="9" s="1"/>
  <c r="E43" i="23" s="1"/>
  <c r="E62" i="8"/>
  <c r="E32" i="23" s="1"/>
  <c r="E62" i="20"/>
  <c r="E82" i="23" s="1"/>
  <c r="B27" i="24"/>
  <c r="B31" i="24"/>
  <c r="B26" i="24"/>
  <c r="B49" i="24"/>
  <c r="B48" i="24"/>
  <c r="B51" i="24"/>
  <c r="B89" i="24"/>
  <c r="B84" i="24"/>
  <c r="B88" i="24"/>
  <c r="B83" i="24"/>
  <c r="B87" i="24"/>
  <c r="B82" i="24"/>
  <c r="B313" i="24"/>
  <c r="B317" i="24"/>
  <c r="B312" i="24"/>
  <c r="B316" i="24"/>
  <c r="B311" i="24"/>
  <c r="B420" i="24"/>
  <c r="B419" i="24"/>
  <c r="C656" i="24"/>
  <c r="C655" i="24"/>
  <c r="D66" i="3"/>
  <c r="D66" i="7"/>
  <c r="E63" i="7" s="1"/>
  <c r="E38" i="23" s="1"/>
  <c r="D66" i="19"/>
  <c r="E62" i="19" s="1"/>
  <c r="E22" i="23" s="1"/>
  <c r="E63" i="12"/>
  <c r="E53" i="23" s="1"/>
  <c r="E63" i="18"/>
  <c r="E78" i="23" s="1"/>
  <c r="M98" i="22"/>
  <c r="M109" i="22"/>
  <c r="M144" i="22"/>
  <c r="M154" i="22"/>
  <c r="M158" i="22"/>
  <c r="M172" i="22"/>
  <c r="M177" i="22"/>
  <c r="B341" i="24"/>
  <c r="B340" i="24"/>
  <c r="B339" i="24"/>
  <c r="D66" i="15"/>
  <c r="E62" i="15" s="1"/>
  <c r="E62" i="23" s="1"/>
  <c r="D66" i="18"/>
  <c r="E64" i="18" s="1"/>
  <c r="E79" i="23" s="1"/>
  <c r="E63" i="15"/>
  <c r="E63" i="23" s="1"/>
  <c r="M93" i="22"/>
  <c r="M104" i="22"/>
  <c r="M113" i="22"/>
  <c r="M121" i="22"/>
  <c r="M125" i="22"/>
  <c r="M129" i="22"/>
  <c r="M149" i="22"/>
  <c r="B46" i="24"/>
  <c r="B181" i="24"/>
  <c r="B180" i="24"/>
  <c r="B310" i="24"/>
  <c r="D79" i="23"/>
  <c r="C542" i="24"/>
  <c r="C541" i="24"/>
  <c r="D66" i="2"/>
  <c r="D66" i="8"/>
  <c r="E62" i="18"/>
  <c r="E77" i="23" s="1"/>
  <c r="E62" i="5"/>
  <c r="E12" i="23" s="1"/>
  <c r="E63" i="11"/>
  <c r="E48" i="23" s="1"/>
  <c r="E63" i="13"/>
  <c r="E58" i="23" s="1"/>
  <c r="E63" i="6"/>
  <c r="E28" i="23" s="1"/>
  <c r="E64" i="11"/>
  <c r="E49" i="23" s="1"/>
  <c r="E64" i="12"/>
  <c r="E54" i="23" s="1"/>
  <c r="E64" i="13"/>
  <c r="E59" i="23" s="1"/>
  <c r="G3" i="22"/>
  <c r="G12" i="22"/>
  <c r="H37" i="22"/>
  <c r="H45" i="22"/>
  <c r="E49" i="22"/>
  <c r="M96" i="22"/>
  <c r="M107" i="22"/>
  <c r="M138" i="22"/>
  <c r="M179" i="22"/>
  <c r="M183" i="22"/>
  <c r="B28" i="24"/>
  <c r="B47" i="24"/>
  <c r="B85" i="24"/>
  <c r="B256" i="24"/>
  <c r="B255" i="24"/>
  <c r="B259" i="24"/>
  <c r="B254" i="24"/>
  <c r="B338" i="24"/>
  <c r="B563" i="24"/>
  <c r="B558" i="24"/>
  <c r="B561" i="24"/>
  <c r="B560" i="24"/>
  <c r="B562" i="24"/>
  <c r="B606" i="24"/>
  <c r="B605" i="24"/>
  <c r="B607" i="24"/>
  <c r="H130" i="22"/>
  <c r="H127" i="22"/>
  <c r="C457" i="24"/>
  <c r="C458" i="24"/>
  <c r="M115" i="22"/>
  <c r="M120" i="22"/>
  <c r="M126" i="22"/>
  <c r="M131" i="22"/>
  <c r="M137" i="22"/>
  <c r="M142" i="22"/>
  <c r="M151" i="22"/>
  <c r="M148" i="22"/>
  <c r="M153" i="22"/>
  <c r="M162" i="22"/>
  <c r="M159" i="22"/>
  <c r="M164" i="22"/>
  <c r="M173" i="22"/>
  <c r="M170" i="22"/>
  <c r="M175" i="22"/>
  <c r="G4" i="22"/>
  <c r="H43" i="22"/>
  <c r="E47" i="22"/>
  <c r="E55" i="22"/>
  <c r="M94" i="22"/>
  <c r="M105" i="22"/>
  <c r="M114" i="22"/>
  <c r="M118" i="22"/>
  <c r="M122" i="22"/>
  <c r="H124" i="22"/>
  <c r="M127" i="22"/>
  <c r="H132" i="22"/>
  <c r="M165" i="22"/>
  <c r="M169" i="22"/>
  <c r="B37" i="24"/>
  <c r="B36" i="24"/>
  <c r="B86" i="24"/>
  <c r="B149" i="24"/>
  <c r="B179" i="24"/>
  <c r="B410" i="24"/>
  <c r="B411" i="24" s="1"/>
  <c r="B559" i="24"/>
  <c r="D115" i="22"/>
  <c r="D120" i="22"/>
  <c r="E170" i="22"/>
  <c r="E175" i="22"/>
  <c r="E172" i="22"/>
  <c r="M184" i="22"/>
  <c r="M181" i="22"/>
  <c r="M186" i="22"/>
  <c r="E65" i="20"/>
  <c r="E85" i="23" s="1"/>
  <c r="G9" i="22"/>
  <c r="H38" i="22"/>
  <c r="E50" i="22"/>
  <c r="M97" i="22"/>
  <c r="M108" i="22"/>
  <c r="H125" i="22"/>
  <c r="H133" i="22"/>
  <c r="M139" i="22"/>
  <c r="M143" i="22"/>
  <c r="M147" i="22"/>
  <c r="M157" i="22"/>
  <c r="M176" i="22"/>
  <c r="D180" i="22"/>
  <c r="M180" i="22"/>
  <c r="B30" i="24"/>
  <c r="B50" i="24"/>
  <c r="C94" i="24"/>
  <c r="B150" i="24"/>
  <c r="B182" i="24"/>
  <c r="B315" i="24"/>
  <c r="C372" i="24"/>
  <c r="H199" i="22"/>
  <c r="H191" i="22"/>
  <c r="H196" i="22"/>
  <c r="H193" i="22"/>
  <c r="D203" i="22"/>
  <c r="D208" i="22"/>
  <c r="D205" i="22"/>
  <c r="D66" i="20"/>
  <c r="G5" i="22"/>
  <c r="M92" i="22"/>
  <c r="M103" i="22"/>
  <c r="M124" i="22"/>
  <c r="H129" i="22"/>
  <c r="M132" i="22"/>
  <c r="M136" i="22"/>
  <c r="M152" i="22"/>
  <c r="M161" i="22"/>
  <c r="M171" i="22"/>
  <c r="M187" i="22"/>
  <c r="C119" i="24"/>
  <c r="B257" i="24"/>
  <c r="B370" i="24"/>
  <c r="B369" i="24"/>
  <c r="B373" i="24"/>
  <c r="B523" i="24"/>
  <c r="B521" i="24"/>
  <c r="B525" i="24"/>
  <c r="B520" i="24"/>
  <c r="B524" i="24"/>
  <c r="B522" i="24"/>
  <c r="E153" i="22"/>
  <c r="E150" i="22"/>
  <c r="D184" i="22"/>
  <c r="D181" i="22"/>
  <c r="D186" i="22"/>
  <c r="C101" i="24"/>
  <c r="C97" i="24"/>
  <c r="C93" i="24"/>
  <c r="C100" i="24"/>
  <c r="C96" i="24"/>
  <c r="C92" i="24"/>
  <c r="C180" i="24"/>
  <c r="C179" i="24"/>
  <c r="C430" i="24"/>
  <c r="C431" i="24"/>
  <c r="B8" i="24"/>
  <c r="B105" i="24"/>
  <c r="B122" i="24"/>
  <c r="B127" i="24"/>
  <c r="B201" i="24"/>
  <c r="B276" i="24"/>
  <c r="B448" i="24"/>
  <c r="B443" i="24"/>
  <c r="B439" i="24"/>
  <c r="B435" i="24"/>
  <c r="B442" i="24"/>
  <c r="B438" i="24"/>
  <c r="B434" i="24"/>
  <c r="B446" i="24"/>
  <c r="B441" i="24"/>
  <c r="B437" i="24"/>
  <c r="B433" i="24"/>
  <c r="B123" i="24"/>
  <c r="B277" i="24"/>
  <c r="B600" i="24"/>
  <c r="B428" i="24"/>
  <c r="B596" i="24"/>
  <c r="B601" i="24"/>
  <c r="B425" i="24"/>
  <c r="E63" i="19" l="1"/>
  <c r="E23" i="23" s="1"/>
  <c r="D71" i="23"/>
  <c r="E66" i="16"/>
  <c r="E71" i="23" s="1"/>
  <c r="E65" i="19"/>
  <c r="E25" i="23" s="1"/>
  <c r="B203" i="24"/>
  <c r="B202" i="24"/>
  <c r="E62" i="16"/>
  <c r="E67" i="23" s="1"/>
  <c r="D11" i="23"/>
  <c r="E66" i="3"/>
  <c r="E11" i="23" s="1"/>
  <c r="E64" i="3"/>
  <c r="E9" i="23" s="1"/>
  <c r="E65" i="3"/>
  <c r="E10" i="23" s="1"/>
  <c r="D56" i="23"/>
  <c r="E66" i="12"/>
  <c r="E56" i="23" s="1"/>
  <c r="E65" i="12"/>
  <c r="E55" i="23" s="1"/>
  <c r="D61" i="23"/>
  <c r="E66" i="13"/>
  <c r="E61" i="23" s="1"/>
  <c r="E63" i="16"/>
  <c r="E68" i="23" s="1"/>
  <c r="E62" i="3"/>
  <c r="E7" i="23" s="1"/>
  <c r="D51" i="23"/>
  <c r="E66" i="11"/>
  <c r="E51" i="23" s="1"/>
  <c r="D86" i="23"/>
  <c r="E66" i="20"/>
  <c r="E86" i="23" s="1"/>
  <c r="E64" i="20"/>
  <c r="E84" i="23" s="1"/>
  <c r="D46" i="23"/>
  <c r="E66" i="9"/>
  <c r="E46" i="23" s="1"/>
  <c r="E65" i="9"/>
  <c r="E45" i="23" s="1"/>
  <c r="E64" i="9"/>
  <c r="E44" i="23" s="1"/>
  <c r="D26" i="23"/>
  <c r="E66" i="19"/>
  <c r="E26" i="23" s="1"/>
  <c r="D41" i="23"/>
  <c r="E66" i="7"/>
  <c r="E41" i="23" s="1"/>
  <c r="E65" i="7"/>
  <c r="E40" i="23" s="1"/>
  <c r="E64" i="7"/>
  <c r="E39" i="23" s="1"/>
  <c r="B278" i="24"/>
  <c r="B279" i="24"/>
  <c r="E64" i="19"/>
  <c r="E24" i="23" s="1"/>
  <c r="D66" i="23"/>
  <c r="E66" i="15"/>
  <c r="E66" i="23" s="1"/>
  <c r="D76" i="23"/>
  <c r="E66" i="17"/>
  <c r="E76" i="23" s="1"/>
  <c r="E62" i="17"/>
  <c r="E72" i="23" s="1"/>
  <c r="D81" i="23"/>
  <c r="E66" i="18"/>
  <c r="E81" i="23" s="1"/>
  <c r="E64" i="17"/>
  <c r="E74" i="23" s="1"/>
  <c r="D36" i="23"/>
  <c r="E66" i="8"/>
  <c r="E36" i="23" s="1"/>
  <c r="E64" i="8"/>
  <c r="E34" i="23" s="1"/>
  <c r="E65" i="8"/>
  <c r="E35" i="23" s="1"/>
  <c r="E63" i="20"/>
  <c r="E83" i="23" s="1"/>
  <c r="E62" i="9"/>
  <c r="E42" i="23" s="1"/>
  <c r="D31" i="23"/>
  <c r="E66" i="6"/>
  <c r="E31" i="23" s="1"/>
  <c r="E64" i="6"/>
  <c r="E29" i="23" s="1"/>
  <c r="E65" i="6"/>
  <c r="E30" i="23" s="1"/>
  <c r="E64" i="16"/>
  <c r="E69" i="23" s="1"/>
  <c r="E63" i="3"/>
  <c r="E8" i="23" s="1"/>
  <c r="D6" i="23"/>
  <c r="E66" i="2"/>
  <c r="E6" i="23" s="1"/>
  <c r="E64" i="2"/>
  <c r="E4" i="23" s="1"/>
  <c r="E65" i="2"/>
  <c r="E5" i="23" s="1"/>
  <c r="E63" i="8"/>
  <c r="E33" i="23" s="1"/>
  <c r="E62" i="7"/>
  <c r="E37" i="23" s="1"/>
  <c r="D16" i="23"/>
  <c r="E66" i="5"/>
  <c r="E16" i="23" s="1"/>
  <c r="E64" i="5"/>
  <c r="E14" i="23" s="1"/>
  <c r="E65" i="5"/>
  <c r="E15" i="23" s="1"/>
  <c r="E65" i="18"/>
  <c r="E80" i="23" s="1"/>
  <c r="E65" i="16"/>
  <c r="E70" i="23" s="1"/>
  <c r="E64" i="15"/>
  <c r="E64" i="23" s="1"/>
  <c r="E63" i="2"/>
  <c r="E3" i="23" s="1"/>
  <c r="E63" i="5"/>
  <c r="E13" i="23" s="1"/>
  <c r="E62" i="2"/>
  <c r="E2" i="23" s="1"/>
  <c r="E66" i="4"/>
  <c r="E64" i="4"/>
  <c r="E65" i="4"/>
  <c r="E65" i="17"/>
  <c r="E75" i="23" s="1"/>
  <c r="E65" i="11"/>
  <c r="E50" i="23" s="1"/>
</calcChain>
</file>

<file path=xl/sharedStrings.xml><?xml version="1.0" encoding="utf-8"?>
<sst xmlns="http://schemas.openxmlformats.org/spreadsheetml/2006/main" count="6989" uniqueCount="503">
  <si>
    <t>MATRIZ DE CUMPLIMIENTO DE LAS CARRERAS.</t>
  </si>
  <si>
    <t>Nro.</t>
  </si>
  <si>
    <t>CARRERA</t>
  </si>
  <si>
    <t>DIRECTOR/A</t>
  </si>
  <si>
    <t>POA</t>
  </si>
  <si>
    <t>INFORME SEMESTRAL</t>
  </si>
  <si>
    <t>MATRIZ SEMESTRAL</t>
  </si>
  <si>
    <t>INFORME FINAL</t>
  </si>
  <si>
    <t>MATRIZ FINAL</t>
  </si>
  <si>
    <t>EVIDENCIAS</t>
  </si>
  <si>
    <t>Observación</t>
  </si>
  <si>
    <t>%Avance poa</t>
  </si>
  <si>
    <t>Estrategia 1</t>
  </si>
  <si>
    <t>Estrategia 2</t>
  </si>
  <si>
    <t>Estrategia 3</t>
  </si>
  <si>
    <t>Estrategia 4</t>
  </si>
  <si>
    <t>Objetivo 1</t>
  </si>
  <si>
    <t>Objetivo 2</t>
  </si>
  <si>
    <t>Objetivo 3</t>
  </si>
  <si>
    <t>Objetivo 4</t>
  </si>
  <si>
    <t>gid=800026368</t>
  </si>
  <si>
    <t>Mgtr. Jorge Jetón</t>
  </si>
  <si>
    <t>ENTREGADO</t>
  </si>
  <si>
    <t>S/N</t>
  </si>
  <si>
    <t>X</t>
  </si>
  <si>
    <t>EVIDENCIAS POR COMPLETAR SEGUNDO SEMESTRE</t>
  </si>
  <si>
    <t>gid=684874196</t>
  </si>
  <si>
    <t>Dra. Germania Díaz</t>
  </si>
  <si>
    <t>x</t>
  </si>
  <si>
    <t>gid=1295587340</t>
  </si>
  <si>
    <t>Mgtr. Paola Urgilés</t>
  </si>
  <si>
    <t>gid=975999619</t>
  </si>
  <si>
    <t>Mgtr. Mónica Galarza</t>
  </si>
  <si>
    <t>gid=78273914</t>
  </si>
  <si>
    <t>Mgtr. Priscila Bernal</t>
  </si>
  <si>
    <t>gid=691242759</t>
  </si>
  <si>
    <t>gid=149880824</t>
  </si>
  <si>
    <t>Mgtr. Verónica Segarra</t>
  </si>
  <si>
    <t>gid=209077879</t>
  </si>
  <si>
    <t>Mgtr. Catherine Alvear</t>
  </si>
  <si>
    <t>gid=1706091479</t>
  </si>
  <si>
    <t>Mgtr. Fernanda Manosalvas</t>
  </si>
  <si>
    <t>gid=2051595220</t>
  </si>
  <si>
    <t>Mgtr. Adrián Criollo</t>
  </si>
  <si>
    <t>gid=1027498431</t>
  </si>
  <si>
    <t>Mgtr. Ivan Vera</t>
  </si>
  <si>
    <t>gid=742744125</t>
  </si>
  <si>
    <t>Mgtr. Pablo Narváez</t>
  </si>
  <si>
    <t>gid=2143480939</t>
  </si>
  <si>
    <t>Mgtr. Pablo Ñauta</t>
  </si>
  <si>
    <t>NO ENTREGADO</t>
  </si>
  <si>
    <t>NO SE APERTURÓ ESTE PERIODO</t>
  </si>
  <si>
    <t>gid=2011127621</t>
  </si>
  <si>
    <t>Mgtr. Lizett Pesántez</t>
  </si>
  <si>
    <t>gid=52390556</t>
  </si>
  <si>
    <t>Mgtr. Patricio Seminario</t>
  </si>
  <si>
    <t>gid=959466057</t>
  </si>
  <si>
    <t>gid=1588052260</t>
  </si>
  <si>
    <t>gid=572026007</t>
  </si>
  <si>
    <t>gid=777362237</t>
  </si>
  <si>
    <t>Resumen!A1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</si>
  <si>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de Entrenamiento Deportivo con equivalente a Tecnología Superior</t>
    </r>
  </si>
  <si>
    <t>Actividades</t>
  </si>
  <si>
    <t>Producto finales</t>
  </si>
  <si>
    <t>Costo/Horas</t>
  </si>
  <si>
    <t>Estado</t>
  </si>
  <si>
    <t>Prioridad</t>
  </si>
  <si>
    <t>Fecha de entrega</t>
  </si>
  <si>
    <t>Tarea</t>
  </si>
  <si>
    <t>Docente
Responsable</t>
  </si>
  <si>
    <t>Descripción</t>
  </si>
  <si>
    <t>Entregable</t>
  </si>
  <si>
    <t>% Ejecutado</t>
  </si>
  <si>
    <t>Costos fijos</t>
  </si>
  <si>
    <t>Horas estimadas</t>
  </si>
  <si>
    <t>Horas actuales</t>
  </si>
  <si>
    <t>ESTRATEGIA 1</t>
  </si>
  <si>
    <t>OBJETIVO OPERATIVO 1</t>
  </si>
  <si>
    <t>Media</t>
  </si>
  <si>
    <t>2025-I ( Inicio ciclo)</t>
  </si>
  <si>
    <t>Planificar y estructurar las capacitaciones en el área técnica y didáctica.</t>
  </si>
  <si>
    <t>Director/a carrera
Docentes</t>
  </si>
  <si>
    <t>Desarrollo del plan de capacitación docente</t>
  </si>
  <si>
    <t>Plan de capacitación docente.</t>
  </si>
  <si>
    <t>Alta</t>
  </si>
  <si>
    <t>Baja</t>
  </si>
  <si>
    <t xml:space="preserve">2025-I ( fin ciclo)
2025-II ( fin ciclo)
</t>
  </si>
  <si>
    <t>Ejecutar las capacitaciones planificadas.</t>
  </si>
  <si>
    <t>informar sobre el plan de capacitación docente</t>
  </si>
  <si>
    <t>Informe de ejecución del plan de capacitación docente.</t>
  </si>
  <si>
    <t>Entregar los resultados de los procesos de Evaluación al desempeño Docente y acciones realizadas.</t>
  </si>
  <si>
    <t>Generar una matriz para el registro de entrega de evaluaciones docentes</t>
  </si>
  <si>
    <t>Registro de entrega de evaluaciones a los docentes</t>
  </si>
  <si>
    <t>OBJETIVO OPERATIVO 2</t>
  </si>
  <si>
    <t>Socializar con los docentes el uso adecuado de la plataforma Moodle.</t>
  </si>
  <si>
    <t>Responsable de Moodle de la carrera</t>
  </si>
  <si>
    <t>Realizar la socialización y generar un informe sobre el uso del Moodle</t>
  </si>
  <si>
    <t>Informe de socialización / inducción a los docentes</t>
  </si>
  <si>
    <t>Revisar el aporte de cada docente en la plataforma Moodle</t>
  </si>
  <si>
    <t>Controlar el uso adecuado de la plataforma y generar un informe.</t>
  </si>
  <si>
    <t>Informe de actividades en la plataforma Moodle.</t>
  </si>
  <si>
    <t>OBJETIVO OPERATIVO 3</t>
  </si>
  <si>
    <t>Planificar y desarrollar una reunión del colectivo académico</t>
  </si>
  <si>
    <t>Director/a carrera</t>
  </si>
  <si>
    <t>Realizar y evidenciar los colectivos académicos</t>
  </si>
  <si>
    <t>Convocatoria al colectivo de académico</t>
  </si>
  <si>
    <t>Revisión y actualización de los PEAS</t>
  </si>
  <si>
    <t>Revisar si la bibliografía de la carrera es la adecuada en colectivos  según PEAS y Colectivos para el acervo bibliográfico</t>
  </si>
  <si>
    <t>Acervo bibliográfico de todas las asignaturas de la carrera, Informes de colectivos y PEAS revisados</t>
  </si>
  <si>
    <t>Actas de reunión por colectivo académico</t>
  </si>
  <si>
    <t>Evidenciar el trabajo de colectivos</t>
  </si>
  <si>
    <t>Actas de colectivos</t>
  </si>
  <si>
    <t>OBJETIVO OPERATIVO 4</t>
  </si>
  <si>
    <t>Recopilar las fichas de afinidad de los docentes de acuerdo al nivel de estudio.</t>
  </si>
  <si>
    <t>Mantener actualizadas las fichas de afinidad de los docentes de acuerdo a la pertinencia en la carrera</t>
  </si>
  <si>
    <t>Fichas de afinidad de los docentes.</t>
  </si>
  <si>
    <t>Elaboración del distributivo docente de la carrera</t>
  </si>
  <si>
    <t>Evidenciar la carga horaria y distributivos de los docentes</t>
  </si>
  <si>
    <t>Distributivo docente aprobado.</t>
  </si>
  <si>
    <t>Designar responsables de la administración de la plataforma, tutorías , prácticas, vinculación , etc.</t>
  </si>
  <si>
    <t>Realizar las designaciones y evidenciar los responsables y tutores de la carrera</t>
  </si>
  <si>
    <t>Oficios de designaciones de responsables.</t>
  </si>
  <si>
    <t>ESTRATEGIA 2</t>
  </si>
  <si>
    <t>Elaborar y presentar el calendario de actividades de la o las carreras, horarios de clases y laboratorios.</t>
  </si>
  <si>
    <t>Realizar los documentos necesarios para el desarrollo de las actividades de cada periodo de la carrera</t>
  </si>
  <si>
    <t>Calendario y horarios aprobados</t>
  </si>
  <si>
    <t>Requerimiento y aprobación de Documentos académicos. (Sílabos, guías practicas e informes de avance de Silabo)</t>
  </si>
  <si>
    <t>Director/a carrera - gestor académico</t>
  </si>
  <si>
    <t>Solicitud de documentos académicos por materias</t>
  </si>
  <si>
    <t>Documentación aprobada.</t>
  </si>
  <si>
    <t>Seguimiento al cumplimiento de la documentación académica.</t>
  </si>
  <si>
    <t>Revisión de documentos académicos por materias</t>
  </si>
  <si>
    <t>Informe de carrera sobre la documentación recibida.</t>
  </si>
  <si>
    <t>Reuniones de carrera  para socialización y toma de decisiones</t>
  </si>
  <si>
    <t>Reuniones de carrera de acuerdo a requerimientos</t>
  </si>
  <si>
    <t>Convocatorias, actas e informes de reuniones de carrera.</t>
  </si>
  <si>
    <t>Informe semestral POA 2025</t>
  </si>
  <si>
    <t>Informar sobre el avance del  POA</t>
  </si>
  <si>
    <t>Informe semestral seguimiento POA 2025</t>
  </si>
  <si>
    <t>Informe final POA 2025</t>
  </si>
  <si>
    <t>Informar sobre el alcance final del  POA</t>
  </si>
  <si>
    <t>Elaborar la Planificación Operativa Anual 2025</t>
  </si>
  <si>
    <t>Realizar la planificación para el 2026</t>
  </si>
  <si>
    <t>POA 2026</t>
  </si>
  <si>
    <t>Designación de tutores de curso</t>
  </si>
  <si>
    <t>Documento de designación de tutores por parte del director de carrera</t>
  </si>
  <si>
    <t>Ejecutar las actividades de la fase de SEGUIMIENTO del modelo metodológico del proceso de Seguimiento Curricular</t>
  </si>
  <si>
    <t>Director/a de carrera - Gestor/a académico
Tutores de curso</t>
  </si>
  <si>
    <t>Realizar el Seguimiento del modelo metodológico</t>
  </si>
  <si>
    <t>Fase SEGUIMIENTO:
INICIO: Socialización de Tutorías Académicas
DURANTE: Registro de Calificaciones del Primer Parcial
FINAL : Registro de Calificación Finales</t>
  </si>
  <si>
    <t>Ejecutar las actividades de la fase de CONTROL del modelo metodológico del proceso de Seguimiento Curricular</t>
  </si>
  <si>
    <t>Realizar el Control del modelo metodológico</t>
  </si>
  <si>
    <t>Fase CONTROL:
INICIO: Matriz consolidada de resultados de Pruebas de Diagnostico
DURANTE: Matriz consolidada de resultados de Calificaciones del Primer Parcial
FINAL : Matriz consolidada de resultados de Calificaciones Finales</t>
  </si>
  <si>
    <t>2025-I(Todo el ciclo)
2025-II(Todo el ciclo)</t>
  </si>
  <si>
    <t>Ejecutar las actividades de la fase de EVALUACIÓN del modelo metodológico del proceso de Seguimiento Curricular</t>
  </si>
  <si>
    <t>Realizar la Evaluación del modelo metodológico</t>
  </si>
  <si>
    <t>Fase EVALUACIÓN:
INICIO: Acta de reunión de inicio de ciclo estudiantes
DURANTE: Acta de reunión del Primer Parcial Docentes - Estudiantes
FINAL : Acta de reunión Final - Docentes - Estudiantes</t>
  </si>
  <si>
    <t>Elaboración del Plan de Mejoramiento del proceso enseñanza aprendizaje</t>
  </si>
  <si>
    <t>Director/a carrera
Responsable de Seguimiento a graduados de la carrera</t>
  </si>
  <si>
    <t>De acuerdo a los resultados generar el Plan de Mejoramiento enseñanza aprendizaje</t>
  </si>
  <si>
    <t>Informe de plan de mejoramiento curricular</t>
  </si>
  <si>
    <t>Diseñar, gestionar e implementar cursos o programas de inducción y de actualización para docentes y estudiantes.</t>
  </si>
  <si>
    <t>Generar la capacitación docente</t>
  </si>
  <si>
    <t>Informes de cursos y o programas.</t>
  </si>
  <si>
    <t>Capacitar a los estudiantes sobre la utilización de la Plataforma Moodle.</t>
  </si>
  <si>
    <t>responsable plataforma Moodle de la carrera</t>
  </si>
  <si>
    <t>Generar la capacitación estudiantil sobre el Moodle</t>
  </si>
  <si>
    <t>Informe sobre la capacitación</t>
  </si>
  <si>
    <t>Elaborar y ejecutar la planificación de oferta complementaria.</t>
  </si>
  <si>
    <t>Docentes de la carrera</t>
  </si>
  <si>
    <t>Analizar y realizar la oferta complementaria</t>
  </si>
  <si>
    <t>Informe de ejecución de la oferta complementaria.</t>
  </si>
  <si>
    <t>2025-I(Inicio de ciclo)</t>
  </si>
  <si>
    <t>Revisión de requisitos de la opción de titulación de los estudiantes.</t>
  </si>
  <si>
    <t>Director de carrera / Coordinador de carreras</t>
  </si>
  <si>
    <t>Realizar el análisis de la opción de titulación para los estudiantes</t>
  </si>
  <si>
    <t>Recopilar los documentos de los estudiantes de titulación.</t>
  </si>
  <si>
    <t>Coordinación para aprobación de documentación de la integración curricular.</t>
  </si>
  <si>
    <t>Revisar y coordinar la aprobación de documentos para el ingreso a la unidad de integración curricular</t>
  </si>
  <si>
    <t>Aprobación de la documentación a titulación.</t>
  </si>
  <si>
    <t>2025-I(Fin de ciclo)</t>
  </si>
  <si>
    <t>Coordinación del evento de incorporación.</t>
  </si>
  <si>
    <t>Realizar la lista de estudiantes a titularse</t>
  </si>
  <si>
    <t>Matriz de datos de estudiantes a titularse</t>
  </si>
  <si>
    <t>ESTRATEGIA 3</t>
  </si>
  <si>
    <t>Colaborar con la comisión de Vinculación en la construcción de los documentos necesarios para la firma de convenios.</t>
  </si>
  <si>
    <t>Director/a carrera -responsable de practicas y vinculación</t>
  </si>
  <si>
    <t>Brindar apoyo y realizar ITV de vinculación de la carrera</t>
  </si>
  <si>
    <t>ITV  y los convenios.</t>
  </si>
  <si>
    <t>Divulgación de los resultados de los proyectos de vinculación, asistiendo a las ferias convocados por diferentes organizaciones.</t>
  </si>
  <si>
    <t>Realizar la divulgación de los resultados de los proyectos de vinculación</t>
  </si>
  <si>
    <t>Informe de la divulgación.</t>
  </si>
  <si>
    <t>Socializar con los estudiantes el reglamento de vinculación</t>
  </si>
  <si>
    <t>Realizar la socialización del reglamento de vinculación con los estudiantes</t>
  </si>
  <si>
    <t>Informe de socialización del reglamento.</t>
  </si>
  <si>
    <t>Conocer las líneas de investigación de la carrera</t>
  </si>
  <si>
    <t>Director de carrera</t>
  </si>
  <si>
    <t>Analizar y realizar las líneas de investigación de la carrera</t>
  </si>
  <si>
    <t>Informe de socialización de las líneas de investigación de la carrera</t>
  </si>
  <si>
    <t>NO entregado</t>
  </si>
  <si>
    <t>Desarrollar investigación científica y tecnológica que contribuya con la construcción de soluciones para los problemas del país, en relación con los objetivos del régimen de desarrollo.</t>
  </si>
  <si>
    <t>Director de Carrera
Docentes de la carrera
Comisión de Investigación</t>
  </si>
  <si>
    <t>Incentivar y desarrollar la investigación de los docentes de la carrera en base a las líneas de la carrera</t>
  </si>
  <si>
    <t>Artículos publicados por los docentes de la carrera</t>
  </si>
  <si>
    <t>Ejecutar la formación en valores y desarrollo de habilidades blandas.</t>
  </si>
  <si>
    <t>Director de carrera
Gestor académico
Bienestar institucional</t>
  </si>
  <si>
    <t>Realizar un curso de habilidades blandas que se desarrollara para todo el instituto</t>
  </si>
  <si>
    <t>Informe de formación en valores y desarrollo de habilidades blandas</t>
  </si>
  <si>
    <t>ESTRATEGIA 4</t>
  </si>
  <si>
    <t>Elaboración de matrices de la oferta académica institucional.</t>
  </si>
  <si>
    <t>Director de Carrera
Gestor Académico</t>
  </si>
  <si>
    <t>Generación de matrices de oferta académica para la captación de más estudiantes</t>
  </si>
  <si>
    <t>Matrices de la oferta académica.</t>
  </si>
  <si>
    <t>Planificación de demanda estudiantil.</t>
  </si>
  <si>
    <t>Planificar la demanda institucional en base a históricos de periodos anteriores</t>
  </si>
  <si>
    <t>Listado certificado  de matriculados de la carrera</t>
  </si>
  <si>
    <t>NO sube la documentación del ciclo pedagógico 2025-II</t>
  </si>
  <si>
    <t>Análisis de capacidad operativa de la institución.</t>
  </si>
  <si>
    <t>Análisis de requerimientos sustantivo y no sustantivo de la carrera</t>
  </si>
  <si>
    <t>Resolución de aprobación por OCS de Estandarización de Carrera</t>
  </si>
  <si>
    <t>INDICADORES</t>
  </si>
  <si>
    <t>N° IND</t>
  </si>
  <si>
    <t>%</t>
  </si>
  <si>
    <t>VERDE</t>
  </si>
  <si>
    <t>AMARILLO</t>
  </si>
  <si>
    <t>NARANJA</t>
  </si>
  <si>
    <t>ROJO</t>
  </si>
  <si>
    <t>TOTAL: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</si>
  <si>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de Seguridad Penitenciaria</t>
    </r>
  </si>
  <si>
    <t>2025-I (Inicio de ciclo)</t>
  </si>
  <si>
    <t>2024-II( intermedio ciclo)
2025-I( fin ciclo)</t>
  </si>
  <si>
    <t>2025-I(inicio ciclo)
2025-II(inicio ciclo)</t>
  </si>
  <si>
    <t>2024-II( fin ciclo)
2025-I( fin ciclo)</t>
  </si>
  <si>
    <t>Los PEAS están en la carpeta de la ESTRATEGIA 2 - OBJETIVO 1</t>
  </si>
  <si>
    <t xml:space="preserve">
2024-II(fin de ciclo)</t>
  </si>
  <si>
    <t>2025-I(inicio ciclo)
2025-II (inicio ciclo)</t>
  </si>
  <si>
    <t>2025-I(inicio de ciclo)
2025-II(inicio de ciclo)</t>
  </si>
  <si>
    <t>2025-I(Inicio de ciclo)
2025-II(Inicio de ciclo)</t>
  </si>
  <si>
    <t xml:space="preserve">
2025-I(Todo de ciclo)</t>
  </si>
  <si>
    <t>NO constan las guías prácticas, ni tampoco los avances de Sílabo.</t>
  </si>
  <si>
    <t>2025-I(Todo el ciclo)
2025-II(Todo de ciclo)</t>
  </si>
  <si>
    <t>NO constan los informes sobre la documentación recibida.</t>
  </si>
  <si>
    <t>Informe final POA 2026</t>
  </si>
  <si>
    <t>Elaborar la Planificación Operativa Anual 2026</t>
  </si>
  <si>
    <t>Realizar la planificación para el 2025</t>
  </si>
  <si>
    <t>POA 2026 entregado</t>
  </si>
  <si>
    <t>2025-I (inicio de ciclo)
2025-II (inicio de ciclo)</t>
  </si>
  <si>
    <t>NO consta la matriz consolidada del ciclo aacadémico 2025-II</t>
  </si>
  <si>
    <t>2024-II(Todo el ciclo)
2025-I(Todo el ciclo)</t>
  </si>
  <si>
    <t>Fase EVALAUCIÓN:
INICIO: Acta de reunión de inicio de ciclo estudiantes
DURANTE: Acta de reunión del Primer Parcial Docentes - Estudiantes
FINAL : Acta de reunión Final - Docentes - Estudiantes</t>
  </si>
  <si>
    <t>NO consta el acta de reuniones del primer ciclo, ni tampoco la del primer parcial del ciclo aacadémico 2025-II</t>
  </si>
  <si>
    <t xml:space="preserve">
2025-II (Fin de Ciclo)</t>
  </si>
  <si>
    <t>NO consta el Plan de mejoramiento curricular del ciclo 2025-I</t>
  </si>
  <si>
    <t>2025-II(Inicio de ciclo)</t>
  </si>
  <si>
    <t>NO consta el informe de cursos y/o programas del ciclo académico 2025-II</t>
  </si>
  <si>
    <t>2025-II(Fin de ciclo)</t>
  </si>
  <si>
    <t>NO consta el informe</t>
  </si>
  <si>
    <t>NO consta ningún ITV de vinculación</t>
  </si>
  <si>
    <t>2025-I (inicio ciclo)
2025-II(inicio ciclo)</t>
  </si>
  <si>
    <t>2024-II(Todo el ciclo)
2025-II(Todo de ciclo)</t>
  </si>
  <si>
    <t>2025-I (fin ciclo)
2025-II(fin ciclo)</t>
  </si>
  <si>
    <t>2025-II(fin ciclo)</t>
  </si>
  <si>
    <t>Realizado por : Ing. Cristina Cuenca</t>
  </si>
  <si>
    <t>Directora Seguridad Penitenciaria.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</si>
  <si>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Producción y Realización Audiovisual</t>
    </r>
  </si>
  <si>
    <t>2025-II ( fin ciclo)</t>
  </si>
  <si>
    <t>NO consta el informe de ejecución del plan de capacitación docente del ciclo 2025-II.</t>
  </si>
  <si>
    <t>2025-II( fin ciclo)
2025-I( fin ciclo)</t>
  </si>
  <si>
    <t>NO consta el registro de entrega de evaluaciones del ciclo 2025-II.</t>
  </si>
  <si>
    <t>NO consta el informe de socialización del ciclo 2025-II.</t>
  </si>
  <si>
    <t>NO consta el informe de actividades del ciclo 2025-II.</t>
  </si>
  <si>
    <t>Debe subirse una sola vez cuando es rediseño, NO hay evidencia.</t>
  </si>
  <si>
    <t>2025-II(fin de ciclo)
2025-I(fin de ciclo)</t>
  </si>
  <si>
    <t>NO consta el acervo bibliográfico del ciclo académico 2025-II</t>
  </si>
  <si>
    <t>NO constan las actas de la reunión con los colectivos.</t>
  </si>
  <si>
    <t>NO constan las fichas de afinidad del ciclo académico 2025-II.</t>
  </si>
  <si>
    <t>NO constan los distributivos docentes del ciclo académico 2025-II</t>
  </si>
  <si>
    <t>NO constan los oficios de designaciones del ciclo académico 2025-II</t>
  </si>
  <si>
    <t>NO constan el calendario y horarios del ciclo académico 2025-II</t>
  </si>
  <si>
    <t>NO consta la documentación del ciclo académico 2025-II</t>
  </si>
  <si>
    <t>2025-II(Fin de ciclo)
2025-I(Fin de Ciclo)</t>
  </si>
  <si>
    <t>NO consta el informe de plan de mejoramiento curricular del ciclo 2025-I</t>
  </si>
  <si>
    <t>NO consta el informe de cursos y/o capacitaciones del ciclo 2025-II</t>
  </si>
  <si>
    <t>NO se encuentran las evidencias</t>
  </si>
  <si>
    <t>No se realizaron itvs y convenios en el periodo</t>
  </si>
  <si>
    <t>NO se encuentra el informe de socialización del reglamento del ciclo académico 2025-II</t>
  </si>
  <si>
    <t>NO existen artículo publicados por docentes de la carrera.</t>
  </si>
  <si>
    <t xml:space="preserve">
2025-II(fin ciclo)</t>
  </si>
  <si>
    <t>Realizado por : Ing.  Priscila Bernal</t>
  </si>
  <si>
    <t>Director Tecnología Superior en Big Data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</si>
  <si>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Administración de Infraestructura y Plataformas Tecnologícas</t>
    </r>
  </si>
  <si>
    <t>NO existe la Matriz consolidada de resultados de calificaciones del Primer Parcial del Ciclo 2025-II</t>
  </si>
  <si>
    <t>NO existe el acta de reunión del Primer Parcial Docentes-Estudiantes del Ciclo 2025-II</t>
  </si>
  <si>
    <t>NO existen evidencias (ITVs, proyectos) del Ciclo 2025-II</t>
  </si>
  <si>
    <t>NO sube el informe de socialización de las líneas de investigación de la carrera</t>
  </si>
  <si>
    <t>NO sube las matrices de la oferta académica</t>
  </si>
  <si>
    <t>Realizado por : Ing.  Mónica Galarza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</si>
  <si>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Big Data</t>
    </r>
  </si>
  <si>
    <t>NO se localiza la convocatoria del ciclo académico 2025-II</t>
  </si>
  <si>
    <t>2024-II(fin de ciclo)
2025-I(fin de ciclo)</t>
  </si>
  <si>
    <t>NO se localiza el Acervo bibliográfico del ciclo académico 2025-II</t>
  </si>
  <si>
    <t>NO se localizan las actas de colectivos del ciclo académico 2025-II</t>
  </si>
  <si>
    <t>NO consta la documentación aprobada del ciclo académico 2025-II</t>
  </si>
  <si>
    <t>NO consta el informe de la documentación recibida del ciclo académico 2025-II</t>
  </si>
  <si>
    <t>Informe semestral POA 2024</t>
  </si>
  <si>
    <t>Informe final POA 2024</t>
  </si>
  <si>
    <t>2024-II(Fin de ciclo)
2025-I(Fin de Ciclo)</t>
  </si>
  <si>
    <t>NO consta ningún convenio y ningún ITV correspondiente al ciclo académico 2025-II</t>
  </si>
  <si>
    <t>NO consta el informe de socialización del reglamento del ciclo 2025-II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</si>
  <si>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Ciberseguridad</t>
    </r>
  </si>
  <si>
    <t>NO están registradas las notas del Primer Parcial del Ciclo 2025-II</t>
  </si>
  <si>
    <t>NO está subida la matriz consolidada de resultados de calificaciones del Primer Parcial del Ciclo 2025-II</t>
  </si>
  <si>
    <t>NO están subidas las actas de las reuniones de inicio de ciclo y del Primer Parcial del Ciclo 2025-II</t>
  </si>
  <si>
    <t>La carrera fue estandarizada en el 2025</t>
  </si>
  <si>
    <t>Director Tecnología Superior en Ciberseguridad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</si>
  <si>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Desarrollo de Software</t>
    </r>
  </si>
  <si>
    <t>Segundo semestre</t>
  </si>
  <si>
    <t>Realizado por : Ing. Verónica Segarra</t>
  </si>
  <si>
    <t>Director Tecnología Superior enDesarrollo de Software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</si>
  <si>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Desarrollo Infantil Integral</t>
    </r>
  </si>
  <si>
    <t>2024-II (inicio ciclo)
2025-I(inicio ciclo)</t>
  </si>
  <si>
    <t>Aca de inicio de reunion de inicio</t>
  </si>
  <si>
    <t>Informe final del 2024 II</t>
  </si>
  <si>
    <t>2024-II(inicio ciclo)
2025-I (inicio ciclo)</t>
  </si>
  <si>
    <t>Sin evidencia</t>
  </si>
  <si>
    <t>2024-II(inicio de ciclo)
2025-I(inicio de ciclo)</t>
  </si>
  <si>
    <t>2024-II(Inicio de ciclo)
2025-I(Inicio de ciclo)</t>
  </si>
  <si>
    <t>2024-II(Todo el ciclo)
2025-I(Todo de ciclo)</t>
  </si>
  <si>
    <t>Matriz</t>
  </si>
  <si>
    <t>Convocatoria</t>
  </si>
  <si>
    <t>2024-II (inicio de ciclo)
2025-I (inicio de ciclo)</t>
  </si>
  <si>
    <t>Sin evidencias</t>
  </si>
  <si>
    <t>2024-I( fin ciclo)
2025-I( fin ciclo)</t>
  </si>
  <si>
    <t>Informe</t>
  </si>
  <si>
    <t>Lineas  de investigación</t>
  </si>
  <si>
    <t>2024-II (fin ciclo)
2025-I(fin ciclo)</t>
  </si>
  <si>
    <t>No se aperturó este periodo</t>
  </si>
  <si>
    <t>Realizado por : Lcda. Caherine Alvear Mariño</t>
  </si>
  <si>
    <t>Coordinadora Tecnología Superior en Desarrollo Infantil Integral</t>
  </si>
  <si>
    <t>gid=1746760684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</si>
  <si>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Educación Inicial</t>
    </r>
  </si>
  <si>
    <t>FALSE</t>
  </si>
  <si>
    <t>$ -</t>
  </si>
  <si>
    <t>En la planificación se programaron 2 capacitaciones, pero sólo se desarrolla y sube la evidencia de 1 capacitación.</t>
  </si>
  <si>
    <t>2025-II (inicio ciclo)
2025-I(inicio ciclo)</t>
  </si>
  <si>
    <t>2025-II(inicio ciclo)
2025-I (inicio ciclo)</t>
  </si>
  <si>
    <t>Revisar si la bibliografía de la carrera es la adecuada en colectivos según PEAS y Colectivos para el acervo bibliográfico</t>
  </si>
  <si>
    <t>No se encuentra el acervo bibliográfico del 30-2025-2P, únicamente está subido el del 2025 I</t>
  </si>
  <si>
    <t>2025-II(inicio de ciclo)
2025-I(inicio de ciclo)</t>
  </si>
  <si>
    <t>2025-II(Inicio de ciclo)
2025-I(Inicio de ciclo)</t>
  </si>
  <si>
    <t>2025-II(Todo el ciclo)
2025-I(Todo de ciclo)</t>
  </si>
  <si>
    <t>Reuniones de carrera para socialización y toma de decisiones</t>
  </si>
  <si>
    <t>Informar sobre el avance del POA</t>
  </si>
  <si>
    <t>Informar sobre el alcance final del POA</t>
  </si>
  <si>
    <t>2025-II (inicio de ciclo)
2025-I (inicio de ciclo)</t>
  </si>
  <si>
    <t>2025-II(Todo el ciclo)
2025-I(Todo el ciclo)</t>
  </si>
  <si>
    <t>TRUE</t>
  </si>
  <si>
    <t>NO se encuentran evidencias de las capacitaciones del segundo semestre.</t>
  </si>
  <si>
    <t>NO existen evidencias.</t>
  </si>
  <si>
    <t>No aplica</t>
  </si>
  <si>
    <t>ITV y los convenios.</t>
  </si>
  <si>
    <t>2025-I( fin ciclo)
2025-I( fin ciclo)</t>
  </si>
  <si>
    <t>2025-II (fin ciclo)
2025-I(fin ciclo)</t>
  </si>
  <si>
    <t>Listado certificado de matriculados de la carrera</t>
  </si>
  <si>
    <t>Realizado por: Lcda. Johana Paola Quevedo Castillo, Mgtr.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</si>
  <si>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Gestión del Patrimonio Histórico Cultural</t>
    </r>
  </si>
  <si>
    <t>carpetas vacias, no hay archivos</t>
  </si>
  <si>
    <t>NO consta el informe final del ciclo académico 2025-II</t>
  </si>
  <si>
    <t>NO consta el registro de entrega de las evaluaciones docentes del ciclo académico 2025-II</t>
  </si>
  <si>
    <t>NO consta el informe del ciclo académico 2025-II</t>
  </si>
  <si>
    <t>NO consta la convocatoria del ciclo académico 2025-II</t>
  </si>
  <si>
    <t>NO constan el acervo bibliográfico y los PEAS del ciclo académico 2025-II</t>
  </si>
  <si>
    <t>NO constan las actas de colectivos del ciclo académico 2025-II</t>
  </si>
  <si>
    <t>NO constan las fichas de afinidad del ciclo académico 2025-II</t>
  </si>
  <si>
    <t>NO consta el distributivo docente del ciclo académico 2025-II</t>
  </si>
  <si>
    <t>NO constan las designaciones de responsables del ciclo académico 2025-II</t>
  </si>
  <si>
    <t>NO consta la documentación correspondiente al ciclo 2025-II</t>
  </si>
  <si>
    <t>Falta Guias y avances</t>
  </si>
  <si>
    <t>NO consta el informe correspondiente al ciclo 2025-II</t>
  </si>
  <si>
    <t>Debe de ser del 2025 I</t>
  </si>
  <si>
    <t>NO consta el informe de plan de mejoramiento curricular del ciclo académico 2025-I</t>
  </si>
  <si>
    <t>NO consta el informe sobre la capacitación.</t>
  </si>
  <si>
    <t>NO consta el informe de ejecución de la oferta complementaria.</t>
  </si>
  <si>
    <t>NO consta la documentación del 2025-I</t>
  </si>
  <si>
    <t>NO constan ITVs o Convenios</t>
  </si>
  <si>
    <t>NO consta el informe de divulgación</t>
  </si>
  <si>
    <t>NO consta el informe de socialización del reglamento</t>
  </si>
  <si>
    <t>NO consta el informe de socialización del ciclo académico 2025-II</t>
  </si>
  <si>
    <t>NO consta el listado certificado del ciclo 2025-II</t>
  </si>
  <si>
    <t>Subir en pdf firmado no word</t>
  </si>
  <si>
    <t>Realizado por: Fernanda Manosalva</t>
  </si>
  <si>
    <t>Director Tecnología Superior en Gestión del Patrimonio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</si>
  <si>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Mantenimiento Eléctico y Control Industrial</t>
    </r>
  </si>
  <si>
    <t>Faltan fichas de afinidad del segundo semestre</t>
  </si>
  <si>
    <t>Faltan los sílabos, socializaciones, guías, avance interciclo, notas del primer parcial correspondiente al período 2025 2P</t>
  </si>
  <si>
    <t>Falta el plan del período 2024 2P</t>
  </si>
  <si>
    <t>Falta el membrete en el informe de ejecución</t>
  </si>
  <si>
    <t>Falta el membrete en el informe</t>
  </si>
  <si>
    <t>Falta constancia de Formato 1 y 2.</t>
  </si>
  <si>
    <t>Falta matriz de datos de estudiantes u oficio de recepción de documentos de titulación.</t>
  </si>
  <si>
    <t>Subir el borrador del proyecto con el EMUCE</t>
  </si>
  <si>
    <t>Falta el informe del ciclo académico 2025-II</t>
  </si>
  <si>
    <t>Realizado por : Ing.  Adrian Criollo</t>
  </si>
  <si>
    <t>Director Tecnología Superior en Mantenimiento Eléctrico y Control Industrial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</si>
  <si>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Mecatrónica</t>
    </r>
  </si>
  <si>
    <t>falta 2024 II</t>
  </si>
  <si>
    <t>Falta 2024 ii</t>
  </si>
  <si>
    <t>Fata de 2025 II</t>
  </si>
  <si>
    <t>falta 2024 I</t>
  </si>
  <si>
    <t>no hay evidencias</t>
  </si>
  <si>
    <t>subir anexo 1 y 2</t>
  </si>
  <si>
    <t>subir convenio</t>
  </si>
  <si>
    <t>No hay investigaciones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</si>
  <si>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Metalmecánica</t>
    </r>
  </si>
  <si>
    <t>Segundo Semestre</t>
  </si>
  <si>
    <t>Realizado por : Ing.  Pablo Narvaez</t>
  </si>
  <si>
    <t>Director Tecnología Superior en Metalmecánica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</si>
  <si>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Procesamiento Industrial de la Madera</t>
    </r>
  </si>
  <si>
    <t>POA 2025 entregado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</si>
  <si>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Seguridad y Prevención de Riesgos Laborales</t>
    </r>
  </si>
  <si>
    <t>NO consta el informe final del plan de capacitación docente.</t>
  </si>
  <si>
    <t>NO consta el registro de entrega de evaluaciones docentes.</t>
  </si>
  <si>
    <t>NO se encuentran los acervos bibliográficos.</t>
  </si>
  <si>
    <t>NO constan las designaciones para el ciclo 2025-II</t>
  </si>
  <si>
    <t>NO sube las evidencias de esta documentación</t>
  </si>
  <si>
    <t>NO consta el informe de carrera sobre la documentación recibida en el ciclo académico 2025-II</t>
  </si>
  <si>
    <t>NO sube la información correspondiente al ciclo académico 2025-II</t>
  </si>
  <si>
    <t>NO consta el documento de designación de tutores del ciclo académico 2025-II</t>
  </si>
  <si>
    <t>NO consta el informe de cursos y/o programas del ciclo 2025-II</t>
  </si>
  <si>
    <t>NO consta el informe sobre la capacitacitación estudiantil del ciclo 2025-II</t>
  </si>
  <si>
    <t>NO consta esta información</t>
  </si>
  <si>
    <t>Únicamente consta 1 convenio, pero no existen ITVs</t>
  </si>
  <si>
    <t>NO consta este informe.</t>
  </si>
  <si>
    <t>NO existen artículos publicados por los docentes de esta carrera.</t>
  </si>
  <si>
    <t>NO consta la lista certificada de estudiantes del Ciclo 2025-II</t>
  </si>
  <si>
    <t>Realizado por : Ing.  Lizett Pesántez</t>
  </si>
  <si>
    <t>Coordinadora de Tecnología Superior en Seguridad y Prevención de Riesgos Laborales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</si>
  <si>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en Tributación</t>
    </r>
  </si>
  <si>
    <t>Subir evidencias de los periodos</t>
  </si>
  <si>
    <t>Subir evidencia</t>
  </si>
  <si>
    <t>Se ha planificado para el final del periodo 2025 II</t>
  </si>
  <si>
    <t>El ciclo anterior no existión graduaciones</t>
  </si>
  <si>
    <t>No existieron convenios de vinculación durante el año</t>
  </si>
  <si>
    <t>Realizado por : Ing.  Patricio Seminario</t>
  </si>
  <si>
    <t>Director Tecnología Superior en Tributación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</si>
  <si>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Universitaria en Desarrollo de Software</t>
    </r>
  </si>
  <si>
    <t>FALTA DOCUMENTOS</t>
  </si>
  <si>
    <t>verde</t>
  </si>
  <si>
    <t>Realizado por : Ing.  Verónica Segarra</t>
  </si>
  <si>
    <t>amarillo</t>
  </si>
  <si>
    <t>Director Tecnología Superior Universitaria de Software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</si>
  <si>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Universitaria en Mantenimiento Industrial</t>
    </r>
  </si>
  <si>
    <t>2024-I ( Inicio ciclo)</t>
  </si>
  <si>
    <t>No se aperturo</t>
  </si>
  <si>
    <t>2024-II ( fin ciclo)</t>
  </si>
  <si>
    <t>2023-II( fin ciclo)
2024-I( fin ciclo)</t>
  </si>
  <si>
    <t>2024-I (inicio ciclo)
2024-II(inicio ciclo)</t>
  </si>
  <si>
    <t>2024-I(inicio ciclo)
2024-II (inicio ciclo)</t>
  </si>
  <si>
    <t>2024-I(inicio de ciclo)
2024-II(inicio de ciclo)</t>
  </si>
  <si>
    <t>2024-I(Inicio de ciclo)
2024-II(Inicio de ciclo)</t>
  </si>
  <si>
    <t>2024-I(Todo el ciclo)
2024-II(Todo de ciclo)</t>
  </si>
  <si>
    <t>Informe semestral seguimiento POA 2024</t>
  </si>
  <si>
    <t>2024-I (inicio de ciclo)
2024-II (inicio de ciclo)</t>
  </si>
  <si>
    <t>2024-I(Todo el ciclo)
2024-II(Todo el ciclo)</t>
  </si>
  <si>
    <t>2023-II(Fin de ciclo)
2024-I(Fin de Ciclo)</t>
  </si>
  <si>
    <t>2024-II(Inicio de ciclo)</t>
  </si>
  <si>
    <t>2024-II(Fin de ciclo)</t>
  </si>
  <si>
    <t>2024-I(Inicio de ciclo)</t>
  </si>
  <si>
    <t>2024-I(Fin de ciclo)</t>
  </si>
  <si>
    <t>2024-I (fin ciclo)
2024-II(fin ciclo)</t>
  </si>
  <si>
    <t xml:space="preserve">
2024-II(fin ciclo)</t>
  </si>
  <si>
    <t>2024-II(fin ciclo)</t>
  </si>
  <si>
    <r>
      <t xml:space="preserve">Plantilla de Gestión por Resultados
</t>
    </r>
    <r>
      <rPr>
        <b/>
        <sz val="24"/>
        <color rgb="FFFF0000"/>
        <rFont val="Arial"/>
        <family val="2"/>
      </rPr>
      <t>de la Carrera Tecnología Superior Universitaria en Entrenamiento Deportivo</t>
    </r>
  </si>
  <si>
    <t>NO SE APERTURÓ</t>
  </si>
  <si>
    <t>Estrategia</t>
  </si>
  <si>
    <t>Objetivo</t>
  </si>
  <si>
    <t>Cumplimiento</t>
  </si>
  <si>
    <t>año</t>
  </si>
  <si>
    <t>Carrera</t>
  </si>
  <si>
    <t>Entrenamiento Deportivo</t>
  </si>
  <si>
    <t>Penitenciaria</t>
  </si>
  <si>
    <t>Plataformas tecnológicas</t>
  </si>
  <si>
    <t>Universitaria de Entrenamiento</t>
  </si>
  <si>
    <t>Universitaria Software</t>
  </si>
  <si>
    <t>Biga Data</t>
  </si>
  <si>
    <t>Software</t>
  </si>
  <si>
    <t>Ciberseguridad</t>
  </si>
  <si>
    <t>Desarrollo infantil</t>
  </si>
  <si>
    <t>Patrimonio</t>
  </si>
  <si>
    <t>Mantenimiento eléctrico</t>
  </si>
  <si>
    <t>Mecatrónica</t>
  </si>
  <si>
    <t>Metalmecánica</t>
  </si>
  <si>
    <t>Madera</t>
  </si>
  <si>
    <t>Seguridad y Prevención de riesg</t>
  </si>
  <si>
    <t>Tributación</t>
  </si>
  <si>
    <t>Universitaria Industrial</t>
  </si>
  <si>
    <t>Numero Estrategia</t>
  </si>
  <si>
    <t>Numero Objetivo</t>
  </si>
  <si>
    <t>ENTRENAMIENTO DEPORTIVO</t>
  </si>
  <si>
    <t>PENITENCIARIA</t>
  </si>
  <si>
    <t>Producción Audiovisual</t>
  </si>
  <si>
    <t>Asesoría Financiera</t>
  </si>
  <si>
    <t>Seguridad y Prevención de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</si>
</sst>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;&quot;-&quot;#,##0.00&quot; &quot;;&quot;-&quot;#&quot; &quot;;&quot; &quot;@&quot; &quot;"/>
  </numFmts>
  <fonts count="38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8"/>
      <color rgb="FF000000"/>
      <name val="Arial"/>
      <family val="2"/>
    </font>
    <font>
      <u/>
      <sz val="12"/>
      <color rgb="FF0563C1"/>
      <name val="Calibri"/>
      <family val="2"/>
    </font>
    <font>
      <b/>
      <sz val="24"/>
      <color rgb="FF44546A"/>
      <name val="Arial"/>
      <family val="2"/>
    </font>
    <font>
      <b/>
      <sz val="24"/>
      <color rgb="FFFF0000"/>
      <name val="Arial"/>
      <family val="2"/>
    </font>
    <font>
      <b/>
      <sz val="14"/>
      <color rgb="FF000000"/>
      <name val="Calibri"/>
      <family val="2"/>
    </font>
    <font>
      <b/>
      <sz val="11"/>
      <color rgb="FFFFFFFF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FFFFFF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ＭＳ ゴシック"/>
    </font>
    <font>
      <b/>
      <i/>
      <sz val="8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sz val="16"/>
      <color rgb="FF000000"/>
      <name val="Calibri"/>
      <family val="2"/>
    </font>
    <font>
      <i/>
      <sz val="9"/>
      <color rgb="FF000000"/>
      <name val="Calibri"/>
      <family val="2"/>
    </font>
    <font>
      <b/>
      <i/>
      <sz val="9"/>
      <color rgb="FF000000"/>
      <name val="Arial"/>
      <family val="2"/>
    </font>
    <font>
      <sz val="9"/>
      <color rgb="FF777777"/>
      <name val="Arial"/>
      <family val="2"/>
    </font>
    <font>
      <sz val="12"/>
      <color rgb="FF0563C1"/>
      <name val="Calibri"/>
      <family val="2"/>
    </font>
    <font>
      <u/>
      <sz val="11"/>
      <color rgb="FF0000FF"/>
      <name val="Cambria"/>
      <family val="1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29B95C"/>
        <bgColor rgb="FF29B95C"/>
      </patternFill>
    </fill>
    <fill>
      <patternFill patternType="solid">
        <fgColor rgb="FFFF9900"/>
        <bgColor rgb="FFFF9900"/>
      </patternFill>
    </fill>
    <fill>
      <patternFill patternType="solid">
        <fgColor rgb="FFECECEC"/>
        <bgColor rgb="FFECECEC"/>
      </patternFill>
    </fill>
    <fill>
      <patternFill patternType="solid">
        <fgColor rgb="FFF7CAAC"/>
        <bgColor rgb="FFF7CAAC"/>
      </patternFill>
    </fill>
    <fill>
      <patternFill patternType="solid">
        <fgColor rgb="FF44546A"/>
        <bgColor rgb="FF44546A"/>
      </patternFill>
    </fill>
    <fill>
      <patternFill patternType="solid">
        <fgColor rgb="FFA5A5A5"/>
        <bgColor rgb="FFA5A5A5"/>
      </patternFill>
    </fill>
    <fill>
      <patternFill patternType="solid">
        <fgColor rgb="FFC0C0C0"/>
        <bgColor rgb="FFC0C0C0"/>
      </patternFill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70AD47"/>
        <bgColor rgb="FF70AD47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69696"/>
      </right>
      <top/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/>
      <top style="thin">
        <color rgb="FF96969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9">
    <xf numFmtId="0" fontId="0" fillId="0" borderId="0"/>
    <xf numFmtId="0" fontId="12" fillId="12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6" borderId="0"/>
    <xf numFmtId="0" fontId="5" fillId="10" borderId="0"/>
    <xf numFmtId="0" fontId="6" fillId="0" borderId="0"/>
    <xf numFmtId="0" fontId="7" fillId="11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12" borderId="1"/>
    <xf numFmtId="0" fontId="1" fillId="0" borderId="0"/>
    <xf numFmtId="0" fontId="1" fillId="0" borderId="0"/>
    <xf numFmtId="0" fontId="4" fillId="0" borderId="0"/>
  </cellStyleXfs>
  <cellXfs count="161">
    <xf numFmtId="0" fontId="0" fillId="0" borderId="0" xfId="0"/>
    <xf numFmtId="0" fontId="0" fillId="0" borderId="2" xfId="0" applyFont="1" applyBorder="1" applyAlignment="1">
      <alignment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9" fontId="16" fillId="9" borderId="2" xfId="0" applyNumberFormat="1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9" fontId="16" fillId="15" borderId="2" xfId="0" applyNumberFormat="1" applyFont="1" applyFill="1" applyBorder="1" applyAlignment="1">
      <alignment horizontal="center" vertical="top" wrapText="1"/>
    </xf>
    <xf numFmtId="9" fontId="16" fillId="7" borderId="2" xfId="0" applyNumberFormat="1" applyFont="1" applyFill="1" applyBorder="1" applyAlignment="1">
      <alignment horizontal="center" vertical="top" wrapText="1"/>
    </xf>
    <xf numFmtId="0" fontId="0" fillId="9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wrapText="1"/>
    </xf>
    <xf numFmtId="0" fontId="14" fillId="0" borderId="2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0" fillId="0" borderId="0" xfId="0" applyFont="1"/>
    <xf numFmtId="14" fontId="0" fillId="0" borderId="0" xfId="0" applyNumberFormat="1" applyFont="1"/>
    <xf numFmtId="0" fontId="17" fillId="16" borderId="0" xfId="0" applyFont="1" applyFill="1" applyBorder="1" applyAlignment="1">
      <alignment horizontal="center"/>
    </xf>
    <xf numFmtId="0" fontId="0" fillId="13" borderId="0" xfId="0" applyFont="1" applyFill="1" applyBorder="1"/>
    <xf numFmtId="14" fontId="0" fillId="13" borderId="0" xfId="0" applyNumberFormat="1" applyFont="1" applyFill="1" applyBorder="1"/>
    <xf numFmtId="0" fontId="0" fillId="13" borderId="0" xfId="0" applyFont="1" applyFill="1" applyBorder="1" applyAlignment="1">
      <alignment wrapText="1"/>
    </xf>
    <xf numFmtId="0" fontId="0" fillId="0" borderId="0" xfId="0" applyFont="1" applyAlignment="1">
      <alignment horizontal="center"/>
    </xf>
    <xf numFmtId="0" fontId="0" fillId="13" borderId="0" xfId="0" applyFont="1" applyFill="1" applyBorder="1" applyAlignment="1">
      <alignment horizontal="center"/>
    </xf>
    <xf numFmtId="0" fontId="20" fillId="17" borderId="3" xfId="0" applyFont="1" applyFill="1" applyBorder="1" applyAlignment="1">
      <alignment horizontal="center"/>
    </xf>
    <xf numFmtId="14" fontId="0" fillId="17" borderId="4" xfId="0" applyNumberFormat="1" applyFont="1" applyFill="1" applyBorder="1" applyAlignment="1">
      <alignment horizontal="center"/>
    </xf>
    <xf numFmtId="0" fontId="0" fillId="17" borderId="4" xfId="0" applyFont="1" applyFill="1" applyBorder="1" applyAlignment="1">
      <alignment horizontal="center"/>
    </xf>
    <xf numFmtId="0" fontId="0" fillId="17" borderId="5" xfId="0" applyFont="1" applyFill="1" applyBorder="1" applyAlignment="1">
      <alignment horizontal="center" wrapText="1"/>
    </xf>
    <xf numFmtId="0" fontId="0" fillId="17" borderId="5" xfId="0" applyFont="1" applyFill="1" applyBorder="1" applyAlignment="1">
      <alignment horizontal="center"/>
    </xf>
    <xf numFmtId="0" fontId="21" fillId="18" borderId="0" xfId="0" applyFont="1" applyFill="1" applyBorder="1" applyAlignment="1">
      <alignment horizontal="center" vertical="center"/>
    </xf>
    <xf numFmtId="0" fontId="21" fillId="18" borderId="0" xfId="0" applyFont="1" applyFill="1" applyBorder="1" applyAlignment="1">
      <alignment horizontal="center" vertical="center" wrapText="1"/>
    </xf>
    <xf numFmtId="14" fontId="21" fillId="18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3" fillId="20" borderId="7" xfId="0" applyFont="1" applyFill="1" applyBorder="1" applyAlignment="1">
      <alignment vertical="center" wrapText="1"/>
    </xf>
    <xf numFmtId="0" fontId="23" fillId="20" borderId="8" xfId="0" applyFont="1" applyFill="1" applyBorder="1" applyAlignment="1">
      <alignment vertical="center" wrapText="1"/>
    </xf>
    <xf numFmtId="0" fontId="0" fillId="13" borderId="0" xfId="0" applyFont="1" applyFill="1" applyBorder="1" applyAlignment="1">
      <alignment vertical="center"/>
    </xf>
    <xf numFmtId="0" fontId="24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top" wrapText="1"/>
    </xf>
    <xf numFmtId="0" fontId="26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9" fontId="16" fillId="0" borderId="2" xfId="0" applyNumberFormat="1" applyFont="1" applyBorder="1" applyAlignment="1">
      <alignment vertical="top"/>
    </xf>
    <xf numFmtId="164" fontId="26" fillId="0" borderId="2" xfId="0" applyNumberFormat="1" applyFont="1" applyBorder="1" applyAlignment="1">
      <alignment vertical="top"/>
    </xf>
    <xf numFmtId="0" fontId="26" fillId="0" borderId="2" xfId="0" applyFont="1" applyBorder="1" applyAlignment="1">
      <alignment horizontal="center" vertical="top"/>
    </xf>
    <xf numFmtId="0" fontId="0" fillId="13" borderId="2" xfId="0" applyFont="1" applyFill="1" applyBorder="1"/>
    <xf numFmtId="9" fontId="26" fillId="0" borderId="2" xfId="0" applyNumberFormat="1" applyFont="1" applyBorder="1" applyAlignment="1">
      <alignment horizontal="center" vertical="top"/>
    </xf>
    <xf numFmtId="0" fontId="0" fillId="19" borderId="2" xfId="0" applyFont="1" applyFill="1" applyBorder="1" applyAlignment="1">
      <alignment vertical="center"/>
    </xf>
    <xf numFmtId="0" fontId="25" fillId="19" borderId="2" xfId="0" applyFont="1" applyFill="1" applyBorder="1" applyAlignment="1">
      <alignment vertical="center"/>
    </xf>
    <xf numFmtId="0" fontId="23" fillId="20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center" vertical="top"/>
    </xf>
    <xf numFmtId="0" fontId="0" fillId="19" borderId="2" xfId="0" applyFont="1" applyFill="1" applyBorder="1"/>
    <xf numFmtId="0" fontId="25" fillId="19" borderId="2" xfId="0" applyFont="1" applyFill="1" applyBorder="1"/>
    <xf numFmtId="0" fontId="23" fillId="20" borderId="2" xfId="0" applyFont="1" applyFill="1" applyBorder="1" applyAlignment="1">
      <alignment vertical="top" wrapText="1"/>
    </xf>
    <xf numFmtId="0" fontId="0" fillId="13" borderId="2" xfId="0" applyFont="1" applyFill="1" applyBorder="1" applyAlignment="1"/>
    <xf numFmtId="0" fontId="16" fillId="0" borderId="2" xfId="0" applyFont="1" applyBorder="1" applyAlignment="1">
      <alignment vertical="top"/>
    </xf>
    <xf numFmtId="0" fontId="27" fillId="0" borderId="2" xfId="0" applyFont="1" applyBorder="1" applyAlignment="1">
      <alignment horizontal="center"/>
    </xf>
    <xf numFmtId="14" fontId="16" fillId="0" borderId="2" xfId="0" applyNumberFormat="1" applyFont="1" applyBorder="1" applyAlignment="1">
      <alignment horizontal="center" vertical="top"/>
    </xf>
    <xf numFmtId="0" fontId="0" fillId="13" borderId="2" xfId="0" applyFont="1" applyFill="1" applyBorder="1" applyAlignment="1">
      <alignment wrapText="1"/>
    </xf>
    <xf numFmtId="9" fontId="0" fillId="0" borderId="0" xfId="0" applyNumberFormat="1" applyFont="1"/>
    <xf numFmtId="0" fontId="29" fillId="21" borderId="2" xfId="0" applyFont="1" applyFill="1" applyBorder="1" applyAlignment="1">
      <alignment horizontal="center" vertical="center" wrapText="1"/>
    </xf>
    <xf numFmtId="0" fontId="23" fillId="21" borderId="2" xfId="0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 wrapText="1"/>
    </xf>
    <xf numFmtId="9" fontId="26" fillId="13" borderId="2" xfId="0" applyNumberFormat="1" applyFont="1" applyFill="1" applyBorder="1" applyAlignment="1">
      <alignment horizontal="center" vertical="center"/>
    </xf>
    <xf numFmtId="9" fontId="23" fillId="21" borderId="2" xfId="0" applyNumberFormat="1" applyFont="1" applyFill="1" applyBorder="1" applyAlignment="1">
      <alignment horizontal="center" vertical="center"/>
    </xf>
    <xf numFmtId="0" fontId="18" fillId="13" borderId="0" xfId="0" applyFont="1" applyFill="1" applyBorder="1" applyAlignment="1">
      <alignment horizontal="center" wrapText="1"/>
    </xf>
    <xf numFmtId="0" fontId="22" fillId="19" borderId="6" xfId="0" applyFont="1" applyFill="1" applyBorder="1" applyAlignment="1">
      <alignment horizontal="center" vertical="center"/>
    </xf>
    <xf numFmtId="0" fontId="0" fillId="20" borderId="8" xfId="0" applyFill="1" applyBorder="1"/>
    <xf numFmtId="0" fontId="0" fillId="0" borderId="2" xfId="0" applyFill="1" applyBorder="1"/>
    <xf numFmtId="0" fontId="0" fillId="20" borderId="2" xfId="0" applyFill="1" applyBorder="1"/>
    <xf numFmtId="0" fontId="22" fillId="19" borderId="2" xfId="0" applyFont="1" applyFill="1" applyBorder="1" applyAlignment="1">
      <alignment horizontal="center" vertical="center"/>
    </xf>
    <xf numFmtId="0" fontId="28" fillId="21" borderId="9" xfId="0" applyFont="1" applyFill="1" applyBorder="1" applyAlignment="1">
      <alignment horizontal="center" vertical="center"/>
    </xf>
    <xf numFmtId="0" fontId="30" fillId="6" borderId="9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30" fillId="7" borderId="9" xfId="0" applyFont="1" applyFill="1" applyBorder="1" applyAlignment="1">
      <alignment horizontal="center" vertical="center"/>
    </xf>
    <xf numFmtId="0" fontId="0" fillId="13" borderId="10" xfId="0" applyFont="1" applyFill="1" applyBorder="1" applyAlignment="1">
      <alignment horizontal="center" vertical="center" wrapText="1"/>
    </xf>
    <xf numFmtId="0" fontId="30" fillId="8" borderId="9" xfId="0" applyFont="1" applyFill="1" applyBorder="1" applyAlignment="1">
      <alignment horizontal="center" vertical="center"/>
    </xf>
    <xf numFmtId="0" fontId="0" fillId="0" borderId="10" xfId="0" applyFill="1" applyBorder="1"/>
    <xf numFmtId="0" fontId="33" fillId="9" borderId="9" xfId="0" applyFont="1" applyFill="1" applyBorder="1" applyAlignment="1">
      <alignment horizontal="center"/>
    </xf>
    <xf numFmtId="0" fontId="34" fillId="21" borderId="9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7" fillId="13" borderId="2" xfId="0" applyFont="1" applyFill="1" applyBorder="1" applyAlignment="1">
      <alignment wrapText="1"/>
    </xf>
    <xf numFmtId="9" fontId="16" fillId="6" borderId="11" xfId="0" applyNumberFormat="1" applyFont="1" applyFill="1" applyBorder="1" applyAlignment="1">
      <alignment horizontal="right" vertical="top" wrapText="1"/>
    </xf>
    <xf numFmtId="9" fontId="16" fillId="7" borderId="11" xfId="0" applyNumberFormat="1" applyFont="1" applyFill="1" applyBorder="1" applyAlignment="1">
      <alignment horizontal="right" vertical="top" wrapText="1"/>
    </xf>
    <xf numFmtId="9" fontId="16" fillId="7" borderId="2" xfId="0" applyNumberFormat="1" applyFont="1" applyFill="1" applyBorder="1" applyAlignment="1">
      <alignment horizontal="right" vertical="top" wrapText="1"/>
    </xf>
    <xf numFmtId="0" fontId="32" fillId="0" borderId="0" xfId="0" applyFont="1"/>
    <xf numFmtId="0" fontId="32" fillId="0" borderId="10" xfId="0" applyFont="1" applyFill="1" applyBorder="1" applyAlignment="1">
      <alignment horizontal="center" wrapText="1"/>
    </xf>
    <xf numFmtId="9" fontId="16" fillId="14" borderId="2" xfId="0" applyNumberFormat="1" applyFont="1" applyFill="1" applyBorder="1" applyAlignment="1">
      <alignment horizontal="right" vertical="top" wrapText="1"/>
    </xf>
    <xf numFmtId="9" fontId="16" fillId="9" borderId="11" xfId="0" applyNumberFormat="1" applyFont="1" applyFill="1" applyBorder="1" applyAlignment="1">
      <alignment horizontal="right" vertical="top" wrapText="1"/>
    </xf>
    <xf numFmtId="9" fontId="16" fillId="9" borderId="2" xfId="0" applyNumberFormat="1" applyFont="1" applyFill="1" applyBorder="1" applyAlignment="1">
      <alignment horizontal="right" vertical="top" wrapText="1"/>
    </xf>
    <xf numFmtId="164" fontId="26" fillId="0" borderId="3" xfId="0" applyNumberFormat="1" applyFont="1" applyBorder="1" applyAlignment="1">
      <alignment vertical="top"/>
    </xf>
    <xf numFmtId="0" fontId="0" fillId="0" borderId="2" xfId="0" applyFont="1" applyBorder="1"/>
    <xf numFmtId="0" fontId="16" fillId="0" borderId="5" xfId="0" applyFont="1" applyBorder="1" applyAlignment="1">
      <alignment horizontal="center" vertical="top"/>
    </xf>
    <xf numFmtId="0" fontId="0" fillId="13" borderId="5" xfId="0" applyFont="1" applyFill="1" applyBorder="1" applyAlignment="1">
      <alignment wrapText="1"/>
    </xf>
    <xf numFmtId="0" fontId="0" fillId="13" borderId="5" xfId="0" applyFont="1" applyFill="1" applyBorder="1"/>
    <xf numFmtId="0" fontId="35" fillId="0" borderId="0" xfId="0" applyFont="1" applyAlignment="1">
      <alignment vertical="center" wrapText="1"/>
    </xf>
    <xf numFmtId="0" fontId="0" fillId="22" borderId="2" xfId="0" applyFill="1" applyBorder="1"/>
    <xf numFmtId="9" fontId="16" fillId="6" borderId="2" xfId="0" applyNumberFormat="1" applyFont="1" applyFill="1" applyBorder="1" applyAlignment="1">
      <alignment horizontal="right" vertical="top" wrapText="1"/>
    </xf>
    <xf numFmtId="0" fontId="16" fillId="0" borderId="12" xfId="0" applyFont="1" applyBorder="1" applyAlignment="1">
      <alignment horizontal="center" vertical="top"/>
    </xf>
    <xf numFmtId="0" fontId="10" fillId="19" borderId="12" xfId="0" applyFont="1" applyFill="1" applyBorder="1"/>
    <xf numFmtId="14" fontId="16" fillId="0" borderId="12" xfId="0" applyNumberFormat="1" applyFont="1" applyBorder="1" applyAlignment="1">
      <alignment horizontal="center" vertical="top"/>
    </xf>
    <xf numFmtId="10" fontId="0" fillId="0" borderId="0" xfId="0" applyNumberFormat="1" applyFont="1"/>
    <xf numFmtId="0" fontId="0" fillId="20" borderId="13" xfId="0" applyFill="1" applyBorder="1"/>
    <xf numFmtId="0" fontId="0" fillId="20" borderId="14" xfId="0" applyFill="1" applyBorder="1"/>
    <xf numFmtId="0" fontId="15" fillId="16" borderId="0" xfId="0" applyFont="1" applyFill="1" applyBorder="1" applyAlignment="1">
      <alignment horizontal="center" vertical="center"/>
    </xf>
    <xf numFmtId="0" fontId="20" fillId="17" borderId="0" xfId="0" applyFont="1" applyFill="1" applyBorder="1" applyAlignment="1">
      <alignment horizontal="center" vertical="center"/>
    </xf>
    <xf numFmtId="0" fontId="0" fillId="17" borderId="0" xfId="0" applyFont="1" applyFill="1" applyBorder="1" applyAlignment="1">
      <alignment wrapText="1"/>
    </xf>
    <xf numFmtId="0" fontId="20" fillId="17" borderId="0" xfId="0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4" fillId="0" borderId="2" xfId="0" applyFont="1" applyBorder="1" applyAlignment="1">
      <alignment horizontal="center" wrapText="1"/>
    </xf>
    <xf numFmtId="0" fontId="25" fillId="0" borderId="2" xfId="0" applyFont="1" applyBorder="1" applyAlignment="1">
      <alignment horizontal="center" vertical="center" wrapText="1"/>
    </xf>
    <xf numFmtId="9" fontId="16" fillId="23" borderId="2" xfId="0" applyNumberFormat="1" applyFont="1" applyFill="1" applyBorder="1" applyAlignment="1">
      <alignment horizontal="right" vertical="top" wrapText="1"/>
    </xf>
    <xf numFmtId="0" fontId="26" fillId="0" borderId="2" xfId="0" applyFont="1" applyBorder="1" applyAlignment="1">
      <alignment horizontal="right" vertical="top" wrapText="1"/>
    </xf>
    <xf numFmtId="0" fontId="0" fillId="0" borderId="2" xfId="0" applyFont="1" applyBorder="1" applyAlignment="1">
      <alignment vertical="top" wrapText="1"/>
    </xf>
    <xf numFmtId="0" fontId="0" fillId="19" borderId="2" xfId="0" applyFont="1" applyFill="1" applyBorder="1" applyAlignment="1">
      <alignment vertical="center" wrapText="1"/>
    </xf>
    <xf numFmtId="0" fontId="0" fillId="19" borderId="2" xfId="0" applyFont="1" applyFill="1" applyBorder="1" applyAlignment="1">
      <alignment wrapText="1"/>
    </xf>
    <xf numFmtId="9" fontId="0" fillId="0" borderId="0" xfId="0" applyNumberFormat="1" applyFont="1" applyAlignment="1">
      <alignment horizontal="right" wrapText="1"/>
    </xf>
    <xf numFmtId="0" fontId="23" fillId="21" borderId="2" xfId="0" applyFont="1" applyFill="1" applyBorder="1" applyAlignment="1">
      <alignment horizontal="center" vertical="center" wrapText="1"/>
    </xf>
    <xf numFmtId="9" fontId="26" fillId="13" borderId="2" xfId="0" applyNumberFormat="1" applyFont="1" applyFill="1" applyBorder="1" applyAlignment="1">
      <alignment horizontal="center" vertical="center" wrapText="1"/>
    </xf>
    <xf numFmtId="9" fontId="29" fillId="21" borderId="2" xfId="0" applyNumberFormat="1" applyFont="1" applyFill="1" applyBorder="1" applyAlignment="1">
      <alignment horizontal="center" vertical="center" wrapText="1"/>
    </xf>
    <xf numFmtId="0" fontId="18" fillId="13" borderId="0" xfId="0" applyFont="1" applyFill="1" applyBorder="1" applyAlignment="1">
      <alignment horizontal="center" vertical="center" wrapText="1"/>
    </xf>
    <xf numFmtId="0" fontId="22" fillId="19" borderId="2" xfId="0" applyFont="1" applyFill="1" applyBorder="1" applyAlignment="1">
      <alignment horizontal="center" vertical="center" wrapText="1"/>
    </xf>
    <xf numFmtId="0" fontId="23" fillId="20" borderId="2" xfId="0" applyFont="1" applyFill="1" applyBorder="1" applyAlignment="1">
      <alignment horizontal="center" vertical="center" wrapText="1"/>
    </xf>
    <xf numFmtId="0" fontId="28" fillId="21" borderId="2" xfId="0" applyFont="1" applyFill="1" applyBorder="1" applyAlignment="1">
      <alignment horizontal="center" vertical="center" wrapText="1"/>
    </xf>
    <xf numFmtId="0" fontId="30" fillId="6" borderId="2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wrapText="1"/>
    </xf>
    <xf numFmtId="0" fontId="30" fillId="8" borderId="2" xfId="0" applyFont="1" applyFill="1" applyBorder="1" applyAlignment="1">
      <alignment horizontal="center" vertical="center" wrapText="1"/>
    </xf>
    <xf numFmtId="0" fontId="33" fillId="9" borderId="2" xfId="0" applyFont="1" applyFill="1" applyBorder="1" applyAlignment="1">
      <alignment horizontal="center" wrapText="1"/>
    </xf>
    <xf numFmtId="0" fontId="34" fillId="21" borderId="2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0" fillId="20" borderId="2" xfId="0" applyFont="1" applyFill="1" applyBorder="1" applyAlignment="1">
      <alignment vertical="top"/>
    </xf>
    <xf numFmtId="0" fontId="16" fillId="0" borderId="16" xfId="0" applyFont="1" applyBorder="1" applyAlignment="1">
      <alignment horizontal="center" vertical="top"/>
    </xf>
    <xf numFmtId="0" fontId="0" fillId="13" borderId="17" xfId="0" applyFont="1" applyFill="1" applyBorder="1" applyAlignment="1">
      <alignment wrapText="1"/>
    </xf>
    <xf numFmtId="0" fontId="16" fillId="0" borderId="18" xfId="0" applyFont="1" applyBorder="1" applyAlignment="1">
      <alignment horizontal="center" vertical="top"/>
    </xf>
    <xf numFmtId="0" fontId="23" fillId="20" borderId="4" xfId="0" applyFont="1" applyFill="1" applyBorder="1" applyAlignment="1">
      <alignment horizontal="left" vertical="top"/>
    </xf>
    <xf numFmtId="9" fontId="35" fillId="0" borderId="0" xfId="0" applyNumberFormat="1" applyFont="1" applyAlignment="1">
      <alignment vertical="center" wrapText="1"/>
    </xf>
    <xf numFmtId="0" fontId="0" fillId="20" borderId="15" xfId="0" applyFill="1" applyBorder="1"/>
    <xf numFmtId="0" fontId="0" fillId="0" borderId="3" xfId="0" applyFill="1" applyBorder="1"/>
    <xf numFmtId="0" fontId="0" fillId="20" borderId="3" xfId="0" applyFill="1" applyBorder="1"/>
    <xf numFmtId="0" fontId="0" fillId="13" borderId="2" xfId="0" applyFont="1" applyFill="1" applyBorder="1" applyAlignment="1">
      <alignment horizontal="center" wrapText="1"/>
    </xf>
    <xf numFmtId="0" fontId="36" fillId="13" borderId="2" xfId="0" applyFont="1" applyFill="1" applyBorder="1" applyAlignment="1">
      <alignment wrapText="1"/>
    </xf>
    <xf numFmtId="9" fontId="16" fillId="14" borderId="11" xfId="0" applyNumberFormat="1" applyFont="1" applyFill="1" applyBorder="1" applyAlignment="1">
      <alignment horizontal="right" vertical="top" wrapText="1"/>
    </xf>
    <xf numFmtId="0" fontId="31" fillId="13" borderId="2" xfId="0" applyFont="1" applyFill="1" applyBorder="1" applyAlignment="1">
      <alignment horizontal="center" vertical="center"/>
    </xf>
    <xf numFmtId="0" fontId="0" fillId="13" borderId="2" xfId="0" applyFont="1" applyFill="1" applyBorder="1" applyAlignment="1">
      <alignment vertical="center" wrapText="1"/>
    </xf>
    <xf numFmtId="0" fontId="0" fillId="0" borderId="19" xfId="0" applyFont="1" applyBorder="1" applyAlignment="1">
      <alignment wrapText="1"/>
    </xf>
    <xf numFmtId="0" fontId="15" fillId="16" borderId="19" xfId="0" applyFont="1" applyFill="1" applyBorder="1" applyAlignment="1">
      <alignment horizontal="center" vertical="center"/>
    </xf>
    <xf numFmtId="0" fontId="0" fillId="13" borderId="20" xfId="0" applyFont="1" applyFill="1" applyBorder="1" applyAlignment="1">
      <alignment wrapText="1"/>
    </xf>
    <xf numFmtId="0" fontId="20" fillId="17" borderId="2" xfId="0" applyFont="1" applyFill="1" applyBorder="1" applyAlignment="1">
      <alignment horizontal="center" vertical="center"/>
    </xf>
    <xf numFmtId="0" fontId="0" fillId="17" borderId="2" xfId="0" applyFont="1" applyFill="1" applyBorder="1" applyAlignment="1">
      <alignment wrapText="1"/>
    </xf>
    <xf numFmtId="0" fontId="20" fillId="17" borderId="2" xfId="0" applyFont="1" applyFill="1" applyBorder="1" applyAlignment="1">
      <alignment horizontal="center" wrapText="1"/>
    </xf>
    <xf numFmtId="0" fontId="0" fillId="20" borderId="2" xfId="0" applyFont="1" applyFill="1" applyBorder="1" applyAlignment="1">
      <alignment vertical="center" wrapText="1"/>
    </xf>
    <xf numFmtId="0" fontId="0" fillId="20" borderId="2" xfId="0" applyFont="1" applyFill="1" applyBorder="1" applyAlignment="1">
      <alignment vertical="top" wrapText="1"/>
    </xf>
    <xf numFmtId="0" fontId="18" fillId="13" borderId="19" xfId="0" applyFont="1" applyFill="1" applyBorder="1" applyAlignment="1">
      <alignment horizontal="center" vertical="center" wrapText="1"/>
    </xf>
    <xf numFmtId="0" fontId="37" fillId="0" borderId="0" xfId="0" applyFont="1"/>
    <xf numFmtId="164" fontId="0" fillId="0" borderId="0" xfId="0" applyNumberFormat="1" applyFont="1"/>
  </cellXfs>
  <cellStyles count="19">
    <cellStyle name="Accent" xfId="2" xr:uid="{F7E71BA6-8680-4FCD-B908-4BF3EA019453}"/>
    <cellStyle name="Accent 1" xfId="3" xr:uid="{398E9818-6A51-4C17-8C7D-DC3DE515C8A9}"/>
    <cellStyle name="Accent 2" xfId="4" xr:uid="{87C738E6-2465-4A2F-B500-9CBA50EA5640}"/>
    <cellStyle name="Accent 3" xfId="5" xr:uid="{D06F03A7-473A-43DF-A3CC-DFC5ADC11648}"/>
    <cellStyle name="Bad" xfId="6" xr:uid="{23B4BFB4-6949-4B9A-921D-585A14EA481D}"/>
    <cellStyle name="ConditionalStyle_1" xfId="7" xr:uid="{5FEDA2C2-0843-4E31-80FE-E741CF799D8D}"/>
    <cellStyle name="Error" xfId="8" xr:uid="{F0692E82-BAE6-4EFF-9770-0A10EB931B4A}"/>
    <cellStyle name="Footnote" xfId="9" xr:uid="{B2E9AEC3-9E81-426A-AAF3-D3C381C9A226}"/>
    <cellStyle name="Good" xfId="10" xr:uid="{D79EB296-A94A-482B-918C-DA76ABBADB67}"/>
    <cellStyle name="Heading" xfId="11" xr:uid="{5617D48D-0F4F-47A9-82F4-BA71F354A7D1}"/>
    <cellStyle name="Heading 1" xfId="12" xr:uid="{59BE5525-8E26-4CB4-B56A-8443CC0F172D}"/>
    <cellStyle name="Heading 2" xfId="13" xr:uid="{714EABC2-FE9B-4E5C-AE92-06A1071F9F52}"/>
    <cellStyle name="Hyperlink" xfId="14" xr:uid="{38AEE0E3-D285-4794-8907-D51C74E35D83}"/>
    <cellStyle name="Neutral" xfId="1" builtinId="28" customBuiltin="1"/>
    <cellStyle name="Normal" xfId="0" builtinId="0" customBuiltin="1"/>
    <cellStyle name="Note" xfId="15" xr:uid="{8622EB1E-FE55-4D72-911D-E74D6C59528E}"/>
    <cellStyle name="Status" xfId="16" xr:uid="{01AF8ACD-5366-4436-911A-D11C7895B085}"/>
    <cellStyle name="Text" xfId="17" xr:uid="{479B01D2-0AE2-4301-93F9-18AD95393CC1}"/>
    <cellStyle name="Warning" xfId="18" xr:uid="{FE2B7AF9-86DB-4266-8705-37EA892E4D1D}"/>
  </cellStyles>
  <dxfs count="42"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4501-4F02-9347-ED83BF726BB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4501-4F02-9347-ED83BF726BBB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4501-4F02-9347-ED83BF726BB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501-4F02-9347-ED83BF726B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'Entrenamiento Deportivo'!$D$62:$D$65</c:f>
              <c:numCache>
                <c:formatCode>General</c:formatCode>
                <c:ptCount val="4"/>
                <c:pt idx="0">
                  <c:v>31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1-4F02-9347-ED83BF726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2544-4C67-95D1-DC163E476E53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2-2544-4C67-95D1-DC163E476E53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2544-4C67-95D1-DC163E476E5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4-2544-4C67-95D1-DC163E476E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Penitenciaria!$D$62:$D$65</c:f>
              <c:numCache>
                <c:formatCode>General</c:formatCode>
                <c:ptCount val="4"/>
                <c:pt idx="0">
                  <c:v>30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4-4C67-95D1-DC163E476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6C98-46DF-B3FB-058BBD4AFFF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6C98-46DF-B3FB-058BBD4AFFFA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6C98-46DF-B3FB-058BBD4AFFF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C98-46DF-B3FB-058BBD4AFF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'Producción Audiovisual'!$D$62:$D$65</c:f>
              <c:numCache>
                <c:formatCode>General</c:formatCode>
                <c:ptCount val="4"/>
                <c:pt idx="0">
                  <c:v>11</c:v>
                </c:pt>
                <c:pt idx="1">
                  <c:v>19</c:v>
                </c:pt>
                <c:pt idx="2">
                  <c:v>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8-46DF-B3FB-058BBD4AF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712D-4CFA-A8DE-1C94A0FB4A5F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712D-4CFA-A8DE-1C94A0FB4A5F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712D-4CFA-A8DE-1C94A0FB4A5F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4-712D-4CFA-A8DE-1C94A0FB4A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'Plataformas tecnológicas'!$D$62:$D$65</c:f>
              <c:numCache>
                <c:formatCode>General</c:formatCode>
                <c:ptCount val="4"/>
                <c:pt idx="0">
                  <c:v>36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D-4CFA-A8DE-1C94A0FB4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6E83-47E8-AAAE-F834E6F3561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6E83-47E8-AAAE-F834E6F35613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6E83-47E8-AAAE-F834E6F35613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4-6E83-47E8-AAAE-F834E6F356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'Biga Data'!$D$62:$D$65</c:f>
              <c:numCache>
                <c:formatCode>General</c:formatCode>
                <c:ptCount val="4"/>
                <c:pt idx="0">
                  <c:v>28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3-47E8-AAAE-F834E6F35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82C6-42A6-BF22-45637BAFE7B6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82C6-42A6-BF22-45637BAFE7B6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82C6-42A6-BF22-45637BAFE7B6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4-82C6-42A6-BF22-45637BAFE7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Software!$D$62:$D$65</c:f>
              <c:numCache>
                <c:formatCode>General</c:formatCode>
                <c:ptCount val="4"/>
                <c:pt idx="0">
                  <c:v>29</c:v>
                </c:pt>
                <c:pt idx="1">
                  <c:v>6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6-42A6-BF22-45637BAFE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1-6608-48A1-8A46-8F432819DFFE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6608-48A1-8A46-8F432819DFFE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6608-48A1-8A46-8F432819DFFE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608-48A1-8A46-8F432819DF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'Educación Inicial'!$D$62:$D$65</c:f>
              <c:numCache>
                <c:formatCode>General</c:formatCode>
                <c:ptCount val="4"/>
                <c:pt idx="0">
                  <c:v>9</c:v>
                </c:pt>
                <c:pt idx="1">
                  <c:v>20</c:v>
                </c:pt>
                <c:pt idx="2">
                  <c:v>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8-48A1-8A46-8F432819D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8374-46C8-9836-F79F4D21393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8374-46C8-9836-F79F4D213933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8374-46C8-9836-F79F4D21393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374-46C8-9836-F79F4D2139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Patrimonio!$D$62:$D$65</c:f>
              <c:numCache>
                <c:formatCode>General</c:formatCode>
                <c:ptCount val="4"/>
                <c:pt idx="0">
                  <c:v>6</c:v>
                </c:pt>
                <c:pt idx="1">
                  <c:v>21</c:v>
                </c:pt>
                <c:pt idx="2">
                  <c:v>0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4-46C8-9836-F79F4D213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1-5FDE-4685-92CA-FDE570852A8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5FDE-4685-92CA-FDE570852A8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5FDE-4685-92CA-FDE570852A8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FDE-4685-92CA-FDE570852A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'Mantenimiento eléctrico'!$D$62:$D$65</c:f>
              <c:numCache>
                <c:formatCode>General</c:formatCode>
                <c:ptCount val="4"/>
                <c:pt idx="0">
                  <c:v>29</c:v>
                </c:pt>
                <c:pt idx="1">
                  <c:v>7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E-4685-92CA-FDE570852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AC37-49DF-B26F-648B4CE596B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AC37-49DF-B26F-648B4CE596BC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AC37-49DF-B26F-648B4CE596B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C37-49DF-B26F-648B4CE596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Mecatrónica!$D$62:$D$65</c:f>
              <c:numCache>
                <c:formatCode>General</c:formatCode>
                <c:ptCount val="4"/>
                <c:pt idx="0">
                  <c:v>30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7-49DF-B26F-648B4CE59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9761-49A4-96F8-8F82EB8D001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9761-49A4-96F8-8F82EB8D001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9761-49A4-96F8-8F82EB8D0019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4-9761-49A4-96F8-8F82EB8D00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Metalmecánica!$D$62:$D$65</c:f>
              <c:numCache>
                <c:formatCode>General</c:formatCode>
                <c:ptCount val="4"/>
                <c:pt idx="0">
                  <c:v>37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1-49A4-96F8-8F82EB8D0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9168-450B-BF0C-B1F157D2FBF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9168-450B-BF0C-B1F157D2FBF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9168-450B-BF0C-B1F157D2FBF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168-450B-BF0C-B1F157D2FB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Madera!$E$62:$E$65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8-450B-BF0C-B1F157D2F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8FEA-41F6-A932-80C3F60630B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8FEA-41F6-A932-80C3F60630BC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3-8FEA-41F6-A932-80C3F60630B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FEA-41F6-A932-80C3F60630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'Seguridad y Prevención de riesg'!$D$62:$D$65</c:f>
              <c:numCache>
                <c:formatCode>General</c:formatCode>
                <c:ptCount val="4"/>
                <c:pt idx="0">
                  <c:v>15</c:v>
                </c:pt>
                <c:pt idx="1">
                  <c:v>16</c:v>
                </c:pt>
                <c:pt idx="2">
                  <c:v>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A-41F6-A932-80C3F6063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1-E0C1-440F-9E9B-484A0B465F7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E0C1-440F-9E9B-484A0B465F7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E0C1-440F-9E9B-484A0B465F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EC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'Universitaria Software'!$J$62:$J$64</c:f>
              <c:numCache>
                <c:formatCode>General</c:formatCode>
                <c:ptCount val="3"/>
                <c:pt idx="0">
                  <c:v>5</c:v>
                </c:pt>
                <c:pt idx="1">
                  <c:v>25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1-440F-9E9B-484A0B465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solidFill>
          <a:srgbClr val="FFFFFF"/>
        </a:solidFill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900" b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C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chart" Target="../charts/chart3.xml"/><Relationship Id="rId4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1476375</xdr:colOff>
      <xdr:row>63</xdr:row>
      <xdr:rowOff>57277</xdr:rowOff>
    </xdr:from>
    <xdr:ext cx="2933319" cy="1933194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EDEB67A-8980-C90C-A7D7-BD5AE80CE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3" name="image1.jpg">
          <a:extLst>
            <a:ext uri="{FF2B5EF4-FFF2-40B4-BE49-F238E27FC236}">
              <a16:creationId xmlns:a16="http://schemas.microsoft.com/office/drawing/2014/main" id="{7D3817DF-D11F-FB99-7B48-E9E4DDC66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304927</xdr:colOff>
      <xdr:row>1</xdr:row>
      <xdr:rowOff>104775</xdr:rowOff>
    </xdr:from>
    <xdr:ext cx="3504945" cy="656971"/>
    <xdr:pic>
      <xdr:nvPicPr>
        <xdr:cNvPr id="2" name="image2.jpg">
          <a:extLst>
            <a:ext uri="{FF2B5EF4-FFF2-40B4-BE49-F238E27FC236}">
              <a16:creationId xmlns:a16="http://schemas.microsoft.com/office/drawing/2014/main" id="{0F733AFE-8CA4-3377-3807-2C4558CB0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78052" y="285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1628647</xdr:colOff>
      <xdr:row>68</xdr:row>
      <xdr:rowOff>85725</xdr:rowOff>
    </xdr:from>
    <xdr:ext cx="4438395" cy="2933319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40BFC2E1-2557-B89E-50FA-DB276F671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B894725B-7A68-78BE-C5A1-4861655DF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595EE37C-A65D-FC22-F010-7200FDAE2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704850</xdr:colOff>
      <xdr:row>62</xdr:row>
      <xdr:rowOff>66548</xdr:rowOff>
    </xdr:from>
    <xdr:ext cx="4438395" cy="2876042"/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2EBD8885-5F8F-71CF-0D7D-3C88DEE1B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72771</xdr:colOff>
      <xdr:row>58</xdr:row>
      <xdr:rowOff>123825</xdr:rowOff>
    </xdr:from>
    <xdr:ext cx="256667" cy="114173"/>
    <xdr:pic>
      <xdr:nvPicPr>
        <xdr:cNvPr id="4" name="image3.png">
          <a:extLst>
            <a:ext uri="{FF2B5EF4-FFF2-40B4-BE49-F238E27FC236}">
              <a16:creationId xmlns:a16="http://schemas.microsoft.com/office/drawing/2014/main" id="{DCFDAD8C-F193-630D-6EE6-4C4902D8F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2779121" y="26327100"/>
          <a:ext cx="256667" cy="1141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D081E4CD-FD60-1F43-DFAC-E5C260315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DA4EC67A-109F-0A27-A433-CA1E50986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771525</xdr:colOff>
      <xdr:row>66</xdr:row>
      <xdr:rowOff>95377</xdr:rowOff>
    </xdr:from>
    <xdr:ext cx="4438395" cy="2923921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4EF070AA-6E3B-9001-0B91-60F7DABA5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B0705E02-0C2E-220A-E790-D283E9C0E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7A0C93E1-BAED-21D1-944E-1B6C56DA7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781177</xdr:colOff>
      <xdr:row>64</xdr:row>
      <xdr:rowOff>152273</xdr:rowOff>
    </xdr:from>
    <xdr:ext cx="4438395" cy="2828544"/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A36C3E30-1997-74A0-41C8-E7488FDD2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F82A3747-826F-C4FC-1B5D-3DF823EAB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DB6F53FF-10DD-C8C7-CADA-6C47AA658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FEB3A99E-9477-D853-3DFF-B9E2FADC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7F261F7D-903A-FBD2-48E5-45ECC1C3C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314325</xdr:colOff>
      <xdr:row>60</xdr:row>
      <xdr:rowOff>38100</xdr:rowOff>
    </xdr:from>
    <xdr:ext cx="4447794" cy="2800096"/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AE74CDD8-0317-0F34-3FBA-B932A07AD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498B6AA7-B071-EDF0-27F3-9AFC652C2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A6DF968D-57DE-B009-6C96-480E04B36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3" name="image1.jpg">
          <a:extLst>
            <a:ext uri="{FF2B5EF4-FFF2-40B4-BE49-F238E27FC236}">
              <a16:creationId xmlns:a16="http://schemas.microsoft.com/office/drawing/2014/main" id="{7F6DB51E-D798-E6A3-C218-3860718BD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838073</xdr:colOff>
      <xdr:row>1</xdr:row>
      <xdr:rowOff>171323</xdr:rowOff>
    </xdr:from>
    <xdr:ext cx="3504945" cy="656971"/>
    <xdr:pic>
      <xdr:nvPicPr>
        <xdr:cNvPr id="2" name="image2.jpg">
          <a:extLst>
            <a:ext uri="{FF2B5EF4-FFF2-40B4-BE49-F238E27FC236}">
              <a16:creationId xmlns:a16="http://schemas.microsoft.com/office/drawing/2014/main" id="{C244283F-D555-F77A-4B14-0C724C83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4411198" y="352298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685800</xdr:colOff>
      <xdr:row>66</xdr:row>
      <xdr:rowOff>19050</xdr:rowOff>
    </xdr:from>
    <xdr:ext cx="4161916" cy="2714371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1F650D36-D709-3886-34D3-8C120CC8A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990727</xdr:colOff>
      <xdr:row>65</xdr:row>
      <xdr:rowOff>9398</xdr:rowOff>
    </xdr:from>
    <xdr:ext cx="4438395" cy="2923921"/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E5D7250A-67DF-E7AD-C962-4B1599D80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266ADDF2-C232-4C98-E7B7-1C7FDBD28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A276C198-56AF-E125-2C73-C9E8F3593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1523873</xdr:colOff>
      <xdr:row>69</xdr:row>
      <xdr:rowOff>28448</xdr:rowOff>
    </xdr:from>
    <xdr:ext cx="4409694" cy="2838196"/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5DE6C324-7F09-12FF-72CC-2626165FE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3" name="image1.jpg">
          <a:extLst>
            <a:ext uri="{FF2B5EF4-FFF2-40B4-BE49-F238E27FC236}">
              <a16:creationId xmlns:a16="http://schemas.microsoft.com/office/drawing/2014/main" id="{E7099014-4597-5458-C451-ABD31AC27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343027</xdr:colOff>
      <xdr:row>0</xdr:row>
      <xdr:rowOff>162052</xdr:rowOff>
    </xdr:from>
    <xdr:ext cx="3504945" cy="656971"/>
    <xdr:pic>
      <xdr:nvPicPr>
        <xdr:cNvPr id="2" name="image2.jpg">
          <a:extLst>
            <a:ext uri="{FF2B5EF4-FFF2-40B4-BE49-F238E27FC236}">
              <a16:creationId xmlns:a16="http://schemas.microsoft.com/office/drawing/2014/main" id="{F9A9443A-89E0-8B58-4C50-D7F5F96C6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916152" y="162052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2352547</xdr:colOff>
      <xdr:row>64</xdr:row>
      <xdr:rowOff>152273</xdr:rowOff>
    </xdr:from>
    <xdr:ext cx="4409694" cy="2838196"/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F0121079-10B1-8B53-C414-34ED0873F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AAC27A12-9CC5-4DA6-1F3B-36D52854F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819150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369FA142-1669-65E3-FDC1-68C101F18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009650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857123</xdr:colOff>
      <xdr:row>67</xdr:row>
      <xdr:rowOff>28448</xdr:rowOff>
    </xdr:from>
    <xdr:ext cx="3657218" cy="2352294"/>
    <xdr:graphicFrame macro="">
      <xdr:nvGraphicFramePr>
        <xdr:cNvPr id="4" name="Chart 11">
          <a:extLst>
            <a:ext uri="{FF2B5EF4-FFF2-40B4-BE49-F238E27FC236}">
              <a16:creationId xmlns:a16="http://schemas.microsoft.com/office/drawing/2014/main" id="{8517116A-FF9F-C7B2-C50D-9E996B544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2A0AE713-AC77-9C23-AFFC-BB6FAE41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2CA768D6-B559-F0AC-7212-E7E7B1F0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1380998</xdr:colOff>
      <xdr:row>59</xdr:row>
      <xdr:rowOff>85725</xdr:rowOff>
    </xdr:from>
    <xdr:ext cx="3247516" cy="2047620"/>
    <xdr:graphicFrame macro="">
      <xdr:nvGraphicFramePr>
        <xdr:cNvPr id="4" name="Chart 12">
          <a:extLst>
            <a:ext uri="{FF2B5EF4-FFF2-40B4-BE49-F238E27FC236}">
              <a16:creationId xmlns:a16="http://schemas.microsoft.com/office/drawing/2014/main" id="{611C677F-6BEA-85B5-8E1C-E606AE67C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FD18A012-C2C9-55F4-884A-DF1A5328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ECAAB163-2F5F-D953-6766-D475A1AE3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2295397</xdr:colOff>
      <xdr:row>68</xdr:row>
      <xdr:rowOff>66548</xdr:rowOff>
    </xdr:from>
    <xdr:ext cx="4438395" cy="2895092"/>
    <xdr:graphicFrame macro="">
      <xdr:nvGraphicFramePr>
        <xdr:cNvPr id="4" name="Chart 13">
          <a:extLst>
            <a:ext uri="{FF2B5EF4-FFF2-40B4-BE49-F238E27FC236}">
              <a16:creationId xmlns:a16="http://schemas.microsoft.com/office/drawing/2014/main" id="{50177CDC-F65C-8864-58A5-A64DDC870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CEC42C4A-2677-41E8-5B01-12249784B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9682B6AD-0907-84BE-BDB7-96EFAB08B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0347C654-CADA-D8D7-20C9-27936378C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0305943B-7C5F-D266-CA80-CC25C904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24000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514477</xdr:colOff>
      <xdr:row>59</xdr:row>
      <xdr:rowOff>123825</xdr:rowOff>
    </xdr:from>
    <xdr:ext cx="4381245" cy="2790316"/>
    <xdr:graphicFrame macro="">
      <xdr:nvGraphicFramePr>
        <xdr:cNvPr id="4" name="Chart 14">
          <a:extLst>
            <a:ext uri="{FF2B5EF4-FFF2-40B4-BE49-F238E27FC236}">
              <a16:creationId xmlns:a16="http://schemas.microsoft.com/office/drawing/2014/main" id="{D52E46BA-6C26-8F71-4516-E28C47914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85609F52-3A9A-4AE0-EF27-1337162F6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16976997-859B-D679-6161-092FDED1E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0656D415-8EA7-9E7F-58AF-6540BA399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72C9338D-47F5-AFA3-A9C6-441CE04F3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3</xdr:row>
      <xdr:rowOff>66548</xdr:rowOff>
    </xdr:from>
    <xdr:ext cx="2171573" cy="732917"/>
    <xdr:pic>
      <xdr:nvPicPr>
        <xdr:cNvPr id="2" name="image1.jpg">
          <a:extLst>
            <a:ext uri="{FF2B5EF4-FFF2-40B4-BE49-F238E27FC236}">
              <a16:creationId xmlns:a16="http://schemas.microsoft.com/office/drawing/2014/main" id="{53CBFC43-CCB9-0A08-A65A-2A5F74FC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552575" y="609473"/>
          <a:ext cx="2171573" cy="73291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314325</xdr:colOff>
      <xdr:row>3</xdr:row>
      <xdr:rowOff>123825</xdr:rowOff>
    </xdr:from>
    <xdr:ext cx="3504945" cy="656971"/>
    <xdr:pic>
      <xdr:nvPicPr>
        <xdr:cNvPr id="3" name="image2.jpg">
          <a:extLst>
            <a:ext uri="{FF2B5EF4-FFF2-40B4-BE49-F238E27FC236}">
              <a16:creationId xmlns:a16="http://schemas.microsoft.com/office/drawing/2014/main" id="{28CA433C-0FEE-D87D-AC7F-2B1BFACE5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3887450" y="666750"/>
          <a:ext cx="3504945" cy="65697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90DD-1634-47CC-8FCC-A706AC232AA4}">
  <dimension ref="A1:U1001"/>
  <sheetViews>
    <sheetView tabSelected="1" workbookViewId="0"/>
  </sheetViews>
  <sheetFormatPr baseColWidth="10" defaultRowHeight="15" customHeight="1"/>
  <cols>
    <col min="1" max="1" width="8.5703125" customWidth="1"/>
    <col min="2" max="2" width="75.140625" customWidth="1"/>
    <col min="3" max="3" width="76" customWidth="1"/>
    <col min="4" max="4" width="19.28515625" customWidth="1"/>
    <col min="5" max="5" width="20" customWidth="1"/>
    <col min="6" max="6" width="18.140625" customWidth="1"/>
    <col min="7" max="7" width="17.5703125" customWidth="1"/>
    <col min="8" max="8" width="15.85546875" customWidth="1"/>
    <col min="9" max="9" width="18.5703125" customWidth="1"/>
    <col min="10" max="16" width="11.28515625" customWidth="1"/>
    <col min="17" max="17" width="22.85546875" customWidth="1"/>
    <col min="18" max="19" width="11.28515625" customWidth="1"/>
    <col min="20" max="20" width="20.42578125" customWidth="1"/>
    <col min="21" max="26" width="11.28515625" customWidth="1"/>
    <col min="27" max="1024" width="15.28515625" customWidth="1"/>
  </cols>
  <sheetData>
    <row r="1" spans="1:21" ht="14.25" customHeight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7" t="s">
        <v>9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8" t="s">
        <v>10</v>
      </c>
      <c r="U2" s="19" t="s">
        <v>11</v>
      </c>
    </row>
    <row r="3" spans="1:21" ht="15" customHeight="1">
      <c r="A3" s="16"/>
      <c r="B3" s="16"/>
      <c r="C3" s="16"/>
      <c r="D3" s="16"/>
      <c r="E3" s="16"/>
      <c r="F3" s="16"/>
      <c r="G3" s="16"/>
      <c r="H3" s="16"/>
      <c r="I3" s="17" t="s">
        <v>12</v>
      </c>
      <c r="J3" s="17"/>
      <c r="K3" s="17"/>
      <c r="L3" s="17"/>
      <c r="M3" s="17" t="s">
        <v>13</v>
      </c>
      <c r="N3" s="17"/>
      <c r="O3" s="17"/>
      <c r="P3" s="17" t="s">
        <v>14</v>
      </c>
      <c r="Q3" s="17"/>
      <c r="R3" s="17"/>
      <c r="S3" s="1" t="s">
        <v>15</v>
      </c>
      <c r="T3" s="18"/>
      <c r="U3" s="19"/>
    </row>
    <row r="4" spans="1:21" ht="14.25" customHeight="1">
      <c r="A4" s="16"/>
      <c r="B4" s="16"/>
      <c r="C4" s="16"/>
      <c r="D4" s="16"/>
      <c r="E4" s="16"/>
      <c r="F4" s="16"/>
      <c r="G4" s="16"/>
      <c r="H4" s="16"/>
      <c r="I4" s="2" t="s">
        <v>16</v>
      </c>
      <c r="J4" s="2" t="s">
        <v>17</v>
      </c>
      <c r="K4" s="2" t="s">
        <v>18</v>
      </c>
      <c r="L4" s="2" t="s">
        <v>19</v>
      </c>
      <c r="M4" s="2" t="s">
        <v>16</v>
      </c>
      <c r="N4" s="2" t="s">
        <v>17</v>
      </c>
      <c r="O4" s="2" t="s">
        <v>18</v>
      </c>
      <c r="P4" s="2" t="s">
        <v>16</v>
      </c>
      <c r="Q4" s="2" t="s">
        <v>17</v>
      </c>
      <c r="R4" s="2" t="s">
        <v>18</v>
      </c>
      <c r="S4" s="2" t="s">
        <v>16</v>
      </c>
      <c r="T4" s="18"/>
      <c r="U4" s="19"/>
    </row>
    <row r="5" spans="1:21" ht="14.25" customHeight="1">
      <c r="A5" s="3">
        <v>1</v>
      </c>
      <c r="B5" s="4" t="s">
        <v>20</v>
      </c>
      <c r="C5" s="5" t="s">
        <v>21</v>
      </c>
      <c r="D5" s="6" t="s">
        <v>22</v>
      </c>
      <c r="E5" s="6" t="s">
        <v>22</v>
      </c>
      <c r="F5" s="6" t="s">
        <v>22</v>
      </c>
      <c r="G5" s="5" t="s">
        <v>23</v>
      </c>
      <c r="H5" s="5" t="s">
        <v>23</v>
      </c>
      <c r="I5" s="7" t="s">
        <v>24</v>
      </c>
      <c r="J5" s="7" t="s">
        <v>24</v>
      </c>
      <c r="K5" s="7" t="s">
        <v>24</v>
      </c>
      <c r="L5" s="7" t="s">
        <v>24</v>
      </c>
      <c r="M5" s="7" t="s">
        <v>24</v>
      </c>
      <c r="N5" s="7" t="s">
        <v>24</v>
      </c>
      <c r="O5" s="7" t="s">
        <v>24</v>
      </c>
      <c r="P5" s="7" t="s">
        <v>24</v>
      </c>
      <c r="Q5" s="7" t="s">
        <v>24</v>
      </c>
      <c r="R5" s="7" t="s">
        <v>24</v>
      </c>
      <c r="S5" s="7" t="s">
        <v>24</v>
      </c>
      <c r="T5" s="3" t="s">
        <v>25</v>
      </c>
      <c r="U5" s="8">
        <f>'Entrenamiento Deportivo'!$I$59</f>
        <v>0.82894736842105265</v>
      </c>
    </row>
    <row r="6" spans="1:21" ht="14.25" customHeight="1">
      <c r="A6" s="3">
        <v>2</v>
      </c>
      <c r="B6" s="9" t="s">
        <v>26</v>
      </c>
      <c r="C6" s="5" t="s">
        <v>27</v>
      </c>
      <c r="D6" s="6" t="s">
        <v>22</v>
      </c>
      <c r="E6" s="6" t="s">
        <v>22</v>
      </c>
      <c r="F6" s="6" t="s">
        <v>22</v>
      </c>
      <c r="G6" s="5" t="s">
        <v>23</v>
      </c>
      <c r="H6" s="5" t="s">
        <v>23</v>
      </c>
      <c r="I6" s="7" t="s">
        <v>24</v>
      </c>
      <c r="J6" s="7" t="s">
        <v>24</v>
      </c>
      <c r="K6" s="7" t="s">
        <v>28</v>
      </c>
      <c r="L6" s="7" t="s">
        <v>28</v>
      </c>
      <c r="M6" s="7" t="s">
        <v>28</v>
      </c>
      <c r="N6" s="7" t="s">
        <v>28</v>
      </c>
      <c r="O6" s="7" t="s">
        <v>24</v>
      </c>
      <c r="P6" s="7" t="s">
        <v>24</v>
      </c>
      <c r="Q6" s="7" t="s">
        <v>24</v>
      </c>
      <c r="R6" s="7" t="s">
        <v>24</v>
      </c>
      <c r="S6" s="7" t="s">
        <v>24</v>
      </c>
      <c r="T6" s="3" t="s">
        <v>25</v>
      </c>
      <c r="U6" s="10">
        <f>Penitenciaria!$I$59</f>
        <v>0.84789473684210526</v>
      </c>
    </row>
    <row r="7" spans="1:21" ht="14.25" customHeight="1">
      <c r="A7" s="3">
        <v>3</v>
      </c>
      <c r="B7" s="4" t="s">
        <v>29</v>
      </c>
      <c r="C7" s="5" t="s">
        <v>30</v>
      </c>
      <c r="D7" s="6" t="s">
        <v>22</v>
      </c>
      <c r="E7" s="6" t="s">
        <v>22</v>
      </c>
      <c r="F7" s="6" t="s">
        <v>22</v>
      </c>
      <c r="G7" s="5" t="s">
        <v>23</v>
      </c>
      <c r="H7" s="5" t="s">
        <v>23</v>
      </c>
      <c r="I7" s="7" t="s">
        <v>24</v>
      </c>
      <c r="J7" s="7" t="s">
        <v>24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24</v>
      </c>
      <c r="P7" s="7" t="s">
        <v>24</v>
      </c>
      <c r="Q7" s="7" t="s">
        <v>24</v>
      </c>
      <c r="R7" s="7" t="s">
        <v>24</v>
      </c>
      <c r="S7" s="7" t="s">
        <v>24</v>
      </c>
      <c r="T7" s="3" t="s">
        <v>25</v>
      </c>
      <c r="U7" s="8">
        <f>'Producción Audiovisual'!$I$60</f>
        <v>0.53947368421052633</v>
      </c>
    </row>
    <row r="8" spans="1:21" ht="14.25" customHeight="1">
      <c r="A8" s="3">
        <v>4</v>
      </c>
      <c r="B8" s="4" t="s">
        <v>31</v>
      </c>
      <c r="C8" s="5" t="s">
        <v>32</v>
      </c>
      <c r="D8" s="6" t="s">
        <v>22</v>
      </c>
      <c r="E8" s="6" t="s">
        <v>22</v>
      </c>
      <c r="F8" s="6" t="s">
        <v>22</v>
      </c>
      <c r="G8" s="5" t="s">
        <v>23</v>
      </c>
      <c r="H8" s="5" t="s">
        <v>23</v>
      </c>
      <c r="I8" s="7" t="s">
        <v>24</v>
      </c>
      <c r="J8" s="7" t="s">
        <v>24</v>
      </c>
      <c r="K8" s="7" t="s">
        <v>28</v>
      </c>
      <c r="L8" s="7" t="s">
        <v>28</v>
      </c>
      <c r="M8" s="7" t="s">
        <v>28</v>
      </c>
      <c r="N8" s="7" t="s">
        <v>28</v>
      </c>
      <c r="O8" s="7" t="s">
        <v>24</v>
      </c>
      <c r="P8" s="7" t="s">
        <v>24</v>
      </c>
      <c r="Q8" s="7" t="s">
        <v>24</v>
      </c>
      <c r="R8" s="7" t="s">
        <v>24</v>
      </c>
      <c r="S8" s="7" t="s">
        <v>24</v>
      </c>
      <c r="T8" s="3" t="s">
        <v>25</v>
      </c>
      <c r="U8" s="11">
        <f>'Plataformas tecnológicas'!$I$59</f>
        <v>0.97815789473684212</v>
      </c>
    </row>
    <row r="9" spans="1:21" ht="14.25" customHeight="1">
      <c r="A9" s="3">
        <v>5</v>
      </c>
      <c r="B9" s="9" t="s">
        <v>33</v>
      </c>
      <c r="C9" s="5" t="s">
        <v>34</v>
      </c>
      <c r="D9" s="6" t="s">
        <v>22</v>
      </c>
      <c r="E9" s="6" t="s">
        <v>22</v>
      </c>
      <c r="F9" s="6" t="s">
        <v>22</v>
      </c>
      <c r="G9" s="5" t="s">
        <v>23</v>
      </c>
      <c r="H9" s="5" t="s">
        <v>23</v>
      </c>
      <c r="I9" s="7" t="s">
        <v>24</v>
      </c>
      <c r="J9" s="7" t="s">
        <v>24</v>
      </c>
      <c r="K9" s="7" t="s">
        <v>28</v>
      </c>
      <c r="L9" s="7" t="s">
        <v>28</v>
      </c>
      <c r="M9" s="7" t="s">
        <v>28</v>
      </c>
      <c r="N9" s="7" t="s">
        <v>28</v>
      </c>
      <c r="O9" s="7" t="s">
        <v>24</v>
      </c>
      <c r="P9" s="7" t="s">
        <v>24</v>
      </c>
      <c r="Q9" s="7" t="s">
        <v>24</v>
      </c>
      <c r="R9" s="7" t="s">
        <v>24</v>
      </c>
      <c r="S9" s="7" t="s">
        <v>24</v>
      </c>
      <c r="T9" s="3" t="s">
        <v>25</v>
      </c>
      <c r="U9" s="10">
        <f>'Biga Data'!$I$59</f>
        <v>0.875</v>
      </c>
    </row>
    <row r="10" spans="1:21" ht="14.25" customHeight="1">
      <c r="A10" s="3">
        <v>6</v>
      </c>
      <c r="B10" s="4" t="s">
        <v>35</v>
      </c>
      <c r="C10" s="3" t="s">
        <v>34</v>
      </c>
      <c r="D10" s="6" t="s">
        <v>22</v>
      </c>
      <c r="E10" s="6" t="s">
        <v>22</v>
      </c>
      <c r="F10" s="6" t="s">
        <v>22</v>
      </c>
      <c r="G10" s="5" t="s">
        <v>23</v>
      </c>
      <c r="H10" s="5" t="s">
        <v>23</v>
      </c>
      <c r="I10" s="7" t="s">
        <v>24</v>
      </c>
      <c r="J10" s="7" t="s">
        <v>24</v>
      </c>
      <c r="K10" s="7" t="s">
        <v>28</v>
      </c>
      <c r="L10" s="7" t="s">
        <v>28</v>
      </c>
      <c r="M10" s="7" t="s">
        <v>28</v>
      </c>
      <c r="N10" s="7" t="s">
        <v>28</v>
      </c>
      <c r="O10" s="7" t="s">
        <v>24</v>
      </c>
      <c r="P10" s="7" t="s">
        <v>24</v>
      </c>
      <c r="Q10" s="7" t="s">
        <v>24</v>
      </c>
      <c r="R10" s="7" t="s">
        <v>24</v>
      </c>
      <c r="S10" s="7" t="s">
        <v>24</v>
      </c>
      <c r="T10" s="3" t="s">
        <v>25</v>
      </c>
      <c r="U10" s="11">
        <f>Ciberseguridad!$I$59</f>
        <v>0.97368421052631582</v>
      </c>
    </row>
    <row r="11" spans="1:21" ht="14.25" customHeight="1">
      <c r="A11" s="3">
        <v>7</v>
      </c>
      <c r="B11" s="9" t="s">
        <v>36</v>
      </c>
      <c r="C11" s="5" t="s">
        <v>37</v>
      </c>
      <c r="D11" s="6" t="s">
        <v>22</v>
      </c>
      <c r="E11" s="6" t="s">
        <v>22</v>
      </c>
      <c r="F11" s="6" t="s">
        <v>22</v>
      </c>
      <c r="G11" s="5" t="s">
        <v>23</v>
      </c>
      <c r="H11" s="5" t="s">
        <v>23</v>
      </c>
      <c r="I11" s="7" t="s">
        <v>24</v>
      </c>
      <c r="J11" s="7" t="s">
        <v>24</v>
      </c>
      <c r="K11" s="7" t="s">
        <v>28</v>
      </c>
      <c r="L11" s="7" t="s">
        <v>28</v>
      </c>
      <c r="M11" s="7" t="s">
        <v>28</v>
      </c>
      <c r="N11" s="7" t="s">
        <v>28</v>
      </c>
      <c r="O11" s="7" t="s">
        <v>24</v>
      </c>
      <c r="P11" s="7" t="s">
        <v>24</v>
      </c>
      <c r="Q11" s="7" t="s">
        <v>24</v>
      </c>
      <c r="R11" s="7" t="s">
        <v>24</v>
      </c>
      <c r="S11" s="7" t="s">
        <v>24</v>
      </c>
      <c r="T11" s="3" t="s">
        <v>25</v>
      </c>
      <c r="U11" s="10">
        <f>Software!$I$59</f>
        <v>0.84210526315789469</v>
      </c>
    </row>
    <row r="12" spans="1:21" ht="14.25" customHeight="1">
      <c r="A12" s="3">
        <v>8</v>
      </c>
      <c r="B12" s="9" t="s">
        <v>38</v>
      </c>
      <c r="C12" s="5" t="s">
        <v>39</v>
      </c>
      <c r="D12" s="6" t="s">
        <v>22</v>
      </c>
      <c r="E12" s="6" t="s">
        <v>22</v>
      </c>
      <c r="F12" s="6" t="s">
        <v>22</v>
      </c>
      <c r="G12" s="5" t="s">
        <v>23</v>
      </c>
      <c r="H12" s="5" t="s">
        <v>23</v>
      </c>
      <c r="I12" s="7" t="s">
        <v>24</v>
      </c>
      <c r="J12" s="7" t="s">
        <v>24</v>
      </c>
      <c r="K12" s="7" t="s">
        <v>28</v>
      </c>
      <c r="L12" s="7" t="s">
        <v>28</v>
      </c>
      <c r="M12" s="7" t="s">
        <v>28</v>
      </c>
      <c r="N12" s="7" t="s">
        <v>28</v>
      </c>
      <c r="O12" s="7" t="s">
        <v>24</v>
      </c>
      <c r="P12" s="7" t="s">
        <v>24</v>
      </c>
      <c r="Q12" s="7" t="s">
        <v>24</v>
      </c>
      <c r="R12" s="7" t="s">
        <v>24</v>
      </c>
      <c r="S12" s="7" t="s">
        <v>24</v>
      </c>
      <c r="T12" s="3" t="s">
        <v>25</v>
      </c>
      <c r="U12" s="8">
        <f>'Desarrollo infantil'!$I$59</f>
        <v>0.44736842105263158</v>
      </c>
    </row>
    <row r="13" spans="1:21" ht="14.25" customHeight="1">
      <c r="A13" s="3">
        <v>9</v>
      </c>
      <c r="B13" s="9" t="s">
        <v>40</v>
      </c>
      <c r="C13" s="5" t="s">
        <v>41</v>
      </c>
      <c r="D13" s="6" t="s">
        <v>22</v>
      </c>
      <c r="E13" s="6" t="s">
        <v>22</v>
      </c>
      <c r="F13" s="6" t="s">
        <v>22</v>
      </c>
      <c r="G13" s="5" t="s">
        <v>23</v>
      </c>
      <c r="H13" s="5" t="s">
        <v>23</v>
      </c>
      <c r="I13" s="7" t="s">
        <v>24</v>
      </c>
      <c r="J13" s="7" t="s">
        <v>24</v>
      </c>
      <c r="K13" s="7" t="s">
        <v>28</v>
      </c>
      <c r="L13" s="7" t="s">
        <v>28</v>
      </c>
      <c r="M13" s="7" t="s">
        <v>28</v>
      </c>
      <c r="N13" s="7" t="s">
        <v>28</v>
      </c>
      <c r="O13" s="7" t="s">
        <v>24</v>
      </c>
      <c r="P13" s="7" t="s">
        <v>24</v>
      </c>
      <c r="Q13" s="7" t="s">
        <v>24</v>
      </c>
      <c r="R13" s="7" t="s">
        <v>24</v>
      </c>
      <c r="S13" s="7" t="s">
        <v>24</v>
      </c>
      <c r="T13" s="3" t="s">
        <v>25</v>
      </c>
      <c r="U13" s="8">
        <f>Patrimonio!$I$59</f>
        <v>0.43684210526315792</v>
      </c>
    </row>
    <row r="14" spans="1:21" ht="14.25" customHeight="1">
      <c r="A14" s="3">
        <v>10</v>
      </c>
      <c r="B14" s="9" t="s">
        <v>42</v>
      </c>
      <c r="C14" s="5" t="s">
        <v>43</v>
      </c>
      <c r="D14" s="6" t="s">
        <v>22</v>
      </c>
      <c r="E14" s="6" t="s">
        <v>22</v>
      </c>
      <c r="F14" s="6" t="s">
        <v>22</v>
      </c>
      <c r="G14" s="5" t="s">
        <v>23</v>
      </c>
      <c r="H14" s="5" t="s">
        <v>23</v>
      </c>
      <c r="I14" s="7" t="s">
        <v>24</v>
      </c>
      <c r="J14" s="7" t="s">
        <v>24</v>
      </c>
      <c r="K14" s="7" t="s">
        <v>28</v>
      </c>
      <c r="L14" s="7" t="s">
        <v>28</v>
      </c>
      <c r="M14" s="7" t="s">
        <v>28</v>
      </c>
      <c r="N14" s="7" t="s">
        <v>28</v>
      </c>
      <c r="O14" s="7" t="s">
        <v>24</v>
      </c>
      <c r="P14" s="7" t="s">
        <v>24</v>
      </c>
      <c r="Q14" s="7" t="s">
        <v>24</v>
      </c>
      <c r="R14" s="7" t="s">
        <v>24</v>
      </c>
      <c r="S14" s="7" t="s">
        <v>24</v>
      </c>
      <c r="T14" s="3" t="s">
        <v>25</v>
      </c>
      <c r="U14" s="8">
        <f>'Mantenimiento eléctrico'!$I$59</f>
        <v>0.86315789473684201</v>
      </c>
    </row>
    <row r="15" spans="1:21" ht="14.25" customHeight="1">
      <c r="A15" s="3">
        <v>11</v>
      </c>
      <c r="B15" s="9" t="s">
        <v>44</v>
      </c>
      <c r="C15" s="5" t="s">
        <v>45</v>
      </c>
      <c r="D15" s="6" t="s">
        <v>22</v>
      </c>
      <c r="E15" s="6" t="s">
        <v>22</v>
      </c>
      <c r="F15" s="6" t="s">
        <v>22</v>
      </c>
      <c r="G15" s="5" t="s">
        <v>23</v>
      </c>
      <c r="H15" s="5" t="s">
        <v>23</v>
      </c>
      <c r="I15" s="7" t="s">
        <v>24</v>
      </c>
      <c r="J15" s="7" t="s">
        <v>24</v>
      </c>
      <c r="K15" s="7" t="s">
        <v>28</v>
      </c>
      <c r="L15" s="7" t="s">
        <v>28</v>
      </c>
      <c r="M15" s="7" t="s">
        <v>28</v>
      </c>
      <c r="N15" s="7" t="s">
        <v>28</v>
      </c>
      <c r="O15" s="7" t="s">
        <v>24</v>
      </c>
      <c r="P15" s="7" t="s">
        <v>24</v>
      </c>
      <c r="Q15" s="7" t="s">
        <v>24</v>
      </c>
      <c r="R15" s="7" t="s">
        <v>24</v>
      </c>
      <c r="S15" s="7" t="s">
        <v>24</v>
      </c>
      <c r="T15" s="3" t="s">
        <v>25</v>
      </c>
      <c r="U15" s="8">
        <f>Mecatrónica!$I$59</f>
        <v>0.82894736842105265</v>
      </c>
    </row>
    <row r="16" spans="1:21" ht="14.25" customHeight="1">
      <c r="A16" s="3">
        <v>12</v>
      </c>
      <c r="B16" s="9" t="s">
        <v>46</v>
      </c>
      <c r="C16" s="5" t="s">
        <v>47</v>
      </c>
      <c r="D16" s="6" t="s">
        <v>22</v>
      </c>
      <c r="E16" s="6" t="s">
        <v>22</v>
      </c>
      <c r="F16" s="6" t="s">
        <v>22</v>
      </c>
      <c r="G16" s="5" t="s">
        <v>23</v>
      </c>
      <c r="H16" s="5" t="s">
        <v>23</v>
      </c>
      <c r="I16" s="7" t="s">
        <v>24</v>
      </c>
      <c r="J16" s="7" t="s">
        <v>24</v>
      </c>
      <c r="K16" s="7" t="s">
        <v>24</v>
      </c>
      <c r="L16" s="7" t="s">
        <v>24</v>
      </c>
      <c r="M16" s="7" t="s">
        <v>24</v>
      </c>
      <c r="N16" s="7" t="s">
        <v>24</v>
      </c>
      <c r="O16" s="7" t="s">
        <v>24</v>
      </c>
      <c r="P16" s="7" t="s">
        <v>24</v>
      </c>
      <c r="Q16" s="7" t="s">
        <v>24</v>
      </c>
      <c r="R16" s="7" t="s">
        <v>24</v>
      </c>
      <c r="S16" s="7" t="s">
        <v>24</v>
      </c>
      <c r="T16" s="3" t="s">
        <v>25</v>
      </c>
      <c r="U16" s="8">
        <f>Metalmecánica!$I$59</f>
        <v>0.98684210526315785</v>
      </c>
    </row>
    <row r="17" spans="1:21" ht="14.25" customHeight="1">
      <c r="A17" s="3">
        <v>13</v>
      </c>
      <c r="B17" s="9" t="s">
        <v>48</v>
      </c>
      <c r="C17" s="5" t="s">
        <v>49</v>
      </c>
      <c r="D17" s="6" t="s">
        <v>22</v>
      </c>
      <c r="E17" s="6" t="s">
        <v>22</v>
      </c>
      <c r="F17" s="12" t="s">
        <v>50</v>
      </c>
      <c r="G17" s="5" t="s">
        <v>23</v>
      </c>
      <c r="H17" s="5" t="s">
        <v>23</v>
      </c>
      <c r="I17" s="13" t="s">
        <v>23</v>
      </c>
      <c r="J17" s="13" t="s">
        <v>23</v>
      </c>
      <c r="K17" s="13" t="s">
        <v>23</v>
      </c>
      <c r="L17" s="13" t="s">
        <v>23</v>
      </c>
      <c r="M17" s="13" t="s">
        <v>23</v>
      </c>
      <c r="N17" s="13" t="s">
        <v>23</v>
      </c>
      <c r="O17" s="13" t="s">
        <v>23</v>
      </c>
      <c r="P17" s="13" t="s">
        <v>23</v>
      </c>
      <c r="Q17" s="13" t="s">
        <v>23</v>
      </c>
      <c r="R17" s="13" t="s">
        <v>23</v>
      </c>
      <c r="S17" s="13" t="s">
        <v>23</v>
      </c>
      <c r="T17" s="13" t="s">
        <v>51</v>
      </c>
      <c r="U17" s="8">
        <f>Madera!$I$59</f>
        <v>0</v>
      </c>
    </row>
    <row r="18" spans="1:21" ht="14.25" customHeight="1">
      <c r="A18" s="3">
        <v>14</v>
      </c>
      <c r="B18" s="9" t="s">
        <v>52</v>
      </c>
      <c r="C18" s="5" t="s">
        <v>53</v>
      </c>
      <c r="D18" s="6" t="s">
        <v>22</v>
      </c>
      <c r="E18" s="6" t="s">
        <v>22</v>
      </c>
      <c r="F18" s="6" t="s">
        <v>22</v>
      </c>
      <c r="G18" s="5" t="s">
        <v>23</v>
      </c>
      <c r="H18" s="5" t="s">
        <v>23</v>
      </c>
      <c r="I18" s="7" t="s">
        <v>24</v>
      </c>
      <c r="J18" s="7" t="s">
        <v>24</v>
      </c>
      <c r="K18" s="7" t="s">
        <v>28</v>
      </c>
      <c r="L18" s="7" t="s">
        <v>28</v>
      </c>
      <c r="M18" s="7" t="s">
        <v>28</v>
      </c>
      <c r="N18" s="7" t="s">
        <v>28</v>
      </c>
      <c r="O18" s="7" t="s">
        <v>24</v>
      </c>
      <c r="P18" s="7" t="s">
        <v>24</v>
      </c>
      <c r="Q18" s="7" t="s">
        <v>24</v>
      </c>
      <c r="R18" s="7" t="s">
        <v>24</v>
      </c>
      <c r="S18" s="7" t="s">
        <v>24</v>
      </c>
      <c r="T18" s="3" t="s">
        <v>25</v>
      </c>
      <c r="U18" s="10">
        <f>'Seguridad y Prevención de riesg'!$I$59</f>
        <v>0.60526315789473684</v>
      </c>
    </row>
    <row r="19" spans="1:21" ht="14.25" customHeight="1">
      <c r="A19" s="3">
        <v>15</v>
      </c>
      <c r="B19" s="9" t="s">
        <v>54</v>
      </c>
      <c r="C19" s="5" t="s">
        <v>55</v>
      </c>
      <c r="D19" s="6" t="s">
        <v>22</v>
      </c>
      <c r="E19" s="6" t="s">
        <v>22</v>
      </c>
      <c r="F19" s="6" t="s">
        <v>22</v>
      </c>
      <c r="G19" s="5" t="s">
        <v>23</v>
      </c>
      <c r="H19" s="5" t="s">
        <v>23</v>
      </c>
      <c r="I19" s="7" t="s">
        <v>24</v>
      </c>
      <c r="J19" s="7" t="s">
        <v>24</v>
      </c>
      <c r="K19" s="7" t="s">
        <v>28</v>
      </c>
      <c r="L19" s="7" t="s">
        <v>28</v>
      </c>
      <c r="M19" s="7" t="s">
        <v>28</v>
      </c>
      <c r="N19" s="7" t="s">
        <v>28</v>
      </c>
      <c r="O19" s="7" t="s">
        <v>24</v>
      </c>
      <c r="P19" s="7" t="s">
        <v>24</v>
      </c>
      <c r="Q19" s="7" t="s">
        <v>24</v>
      </c>
      <c r="R19" s="7" t="s">
        <v>24</v>
      </c>
      <c r="S19" s="7" t="s">
        <v>24</v>
      </c>
      <c r="T19" s="3" t="s">
        <v>25</v>
      </c>
      <c r="U19" s="8">
        <f>Tributación!$I$59</f>
        <v>0.94736842105263153</v>
      </c>
    </row>
    <row r="20" spans="1:21" ht="14.25" customHeight="1">
      <c r="A20" s="3">
        <v>16</v>
      </c>
      <c r="B20" s="9" t="s">
        <v>56</v>
      </c>
      <c r="C20" s="5" t="s">
        <v>37</v>
      </c>
      <c r="D20" s="6" t="s">
        <v>22</v>
      </c>
      <c r="E20" s="6" t="s">
        <v>22</v>
      </c>
      <c r="F20" s="6" t="s">
        <v>22</v>
      </c>
      <c r="G20" s="5" t="s">
        <v>23</v>
      </c>
      <c r="H20" s="5" t="s">
        <v>23</v>
      </c>
      <c r="I20" s="7" t="s">
        <v>24</v>
      </c>
      <c r="J20" s="7" t="s">
        <v>24</v>
      </c>
      <c r="K20" s="7" t="s">
        <v>28</v>
      </c>
      <c r="L20" s="7" t="s">
        <v>28</v>
      </c>
      <c r="M20" s="7" t="s">
        <v>28</v>
      </c>
      <c r="N20" s="7" t="s">
        <v>28</v>
      </c>
      <c r="O20" s="7" t="s">
        <v>24</v>
      </c>
      <c r="P20" s="7" t="s">
        <v>24</v>
      </c>
      <c r="Q20" s="7" t="s">
        <v>24</v>
      </c>
      <c r="R20" s="7" t="s">
        <v>24</v>
      </c>
      <c r="S20" s="7" t="s">
        <v>24</v>
      </c>
      <c r="T20" s="3" t="s">
        <v>25</v>
      </c>
      <c r="U20" s="10">
        <f>'Universitaria Software'!$I$59</f>
        <v>0.85526315789473684</v>
      </c>
    </row>
    <row r="21" spans="1:21" ht="14.25" customHeight="1">
      <c r="A21" s="3">
        <v>17</v>
      </c>
      <c r="B21" s="9" t="s">
        <v>57</v>
      </c>
      <c r="C21" s="3" t="s">
        <v>47</v>
      </c>
      <c r="D21" s="6" t="s">
        <v>22</v>
      </c>
      <c r="E21" s="12" t="s">
        <v>50</v>
      </c>
      <c r="F21" s="12" t="s">
        <v>50</v>
      </c>
      <c r="G21" s="5" t="s">
        <v>23</v>
      </c>
      <c r="H21" s="5" t="s">
        <v>23</v>
      </c>
      <c r="I21" s="13" t="s">
        <v>23</v>
      </c>
      <c r="J21" s="13" t="s">
        <v>23</v>
      </c>
      <c r="K21" s="13" t="s">
        <v>23</v>
      </c>
      <c r="L21" s="13" t="s">
        <v>23</v>
      </c>
      <c r="M21" s="13" t="s">
        <v>23</v>
      </c>
      <c r="N21" s="13" t="s">
        <v>23</v>
      </c>
      <c r="O21" s="13" t="s">
        <v>23</v>
      </c>
      <c r="P21" s="13" t="s">
        <v>23</v>
      </c>
      <c r="Q21" s="13" t="s">
        <v>23</v>
      </c>
      <c r="R21" s="13" t="s">
        <v>23</v>
      </c>
      <c r="S21" s="13" t="s">
        <v>23</v>
      </c>
      <c r="T21" s="13" t="s">
        <v>51</v>
      </c>
      <c r="U21" s="8">
        <f>'Universitaria Industrial'!$I$59</f>
        <v>0</v>
      </c>
    </row>
    <row r="22" spans="1:21" ht="14.25" customHeight="1">
      <c r="A22" s="3">
        <v>18</v>
      </c>
      <c r="B22" s="9" t="s">
        <v>58</v>
      </c>
      <c r="C22" s="3" t="s">
        <v>21</v>
      </c>
      <c r="D22" s="6" t="s">
        <v>22</v>
      </c>
      <c r="E22" s="12" t="s">
        <v>50</v>
      </c>
      <c r="F22" s="12" t="s">
        <v>50</v>
      </c>
      <c r="G22" s="5" t="s">
        <v>23</v>
      </c>
      <c r="H22" s="5" t="s">
        <v>23</v>
      </c>
      <c r="I22" s="13" t="s">
        <v>23</v>
      </c>
      <c r="J22" s="13" t="s">
        <v>23</v>
      </c>
      <c r="K22" s="13" t="s">
        <v>23</v>
      </c>
      <c r="L22" s="13" t="s">
        <v>23</v>
      </c>
      <c r="M22" s="13" t="s">
        <v>23</v>
      </c>
      <c r="N22" s="13" t="s">
        <v>23</v>
      </c>
      <c r="O22" s="13" t="s">
        <v>23</v>
      </c>
      <c r="P22" s="13" t="s">
        <v>23</v>
      </c>
      <c r="Q22" s="13" t="s">
        <v>23</v>
      </c>
      <c r="R22" s="13" t="s">
        <v>23</v>
      </c>
      <c r="S22" s="13" t="s">
        <v>23</v>
      </c>
      <c r="T22" s="13" t="s">
        <v>51</v>
      </c>
      <c r="U22" s="8">
        <v>0</v>
      </c>
    </row>
    <row r="23" spans="1:21" ht="14.25" customHeight="1">
      <c r="A23" s="3">
        <v>19</v>
      </c>
      <c r="B23" s="9" t="s">
        <v>59</v>
      </c>
      <c r="C23" s="5" t="s">
        <v>39</v>
      </c>
      <c r="D23" s="6" t="s">
        <v>22</v>
      </c>
      <c r="E23" s="6" t="s">
        <v>22</v>
      </c>
      <c r="F23" s="6" t="s">
        <v>22</v>
      </c>
      <c r="G23" s="5" t="s">
        <v>23</v>
      </c>
      <c r="H23" s="5" t="s">
        <v>23</v>
      </c>
      <c r="I23" s="7" t="s">
        <v>24</v>
      </c>
      <c r="J23" s="7" t="s">
        <v>24</v>
      </c>
      <c r="K23" s="7" t="s">
        <v>28</v>
      </c>
      <c r="L23" s="7" t="s">
        <v>28</v>
      </c>
      <c r="M23" s="7" t="s">
        <v>28</v>
      </c>
      <c r="N23" s="7" t="s">
        <v>28</v>
      </c>
      <c r="O23" s="7" t="s">
        <v>24</v>
      </c>
      <c r="P23" s="7" t="s">
        <v>24</v>
      </c>
      <c r="Q23" s="7" t="s">
        <v>24</v>
      </c>
      <c r="R23" s="7" t="s">
        <v>24</v>
      </c>
      <c r="S23" s="7" t="s">
        <v>24</v>
      </c>
      <c r="T23" s="3" t="s">
        <v>25</v>
      </c>
      <c r="U23" s="8">
        <f>'Educación Inicial'!$I$59</f>
        <v>0.93571428571428572</v>
      </c>
    </row>
    <row r="24" spans="1:21" ht="14.25" customHeight="1">
      <c r="Q24" s="14"/>
      <c r="R24" s="15"/>
    </row>
    <row r="25" spans="1:21" ht="14.25" customHeight="1">
      <c r="Q25" s="14"/>
      <c r="R25" s="15"/>
    </row>
    <row r="26" spans="1:21" ht="14.25" customHeight="1">
      <c r="Q26" s="14"/>
      <c r="R26" s="15"/>
    </row>
    <row r="27" spans="1:21" ht="14.25" customHeight="1">
      <c r="Q27" s="14"/>
      <c r="R27" s="15"/>
    </row>
    <row r="28" spans="1:21" ht="14.25" customHeight="1">
      <c r="Q28" s="14"/>
      <c r="R28" s="15"/>
    </row>
    <row r="29" spans="1:21" ht="14.25" customHeight="1">
      <c r="Q29" s="14"/>
      <c r="R29" s="15"/>
    </row>
    <row r="30" spans="1:21" ht="14.25" customHeight="1">
      <c r="Q30" s="14"/>
      <c r="R30" s="15"/>
    </row>
    <row r="31" spans="1:21" ht="14.25" customHeight="1">
      <c r="Q31" s="14"/>
      <c r="R31" s="15"/>
    </row>
    <row r="32" spans="1:21" ht="14.25" customHeight="1">
      <c r="Q32" s="14"/>
      <c r="R32" s="15"/>
    </row>
    <row r="33" spans="17:18" ht="14.25" customHeight="1">
      <c r="Q33" s="14"/>
      <c r="R33" s="15"/>
    </row>
    <row r="34" spans="17:18" ht="14.25" customHeight="1">
      <c r="Q34" s="14"/>
      <c r="R34" s="15"/>
    </row>
    <row r="35" spans="17:18" ht="14.25" customHeight="1">
      <c r="Q35" s="14"/>
      <c r="R35" s="15"/>
    </row>
    <row r="36" spans="17:18" ht="14.25" customHeight="1">
      <c r="Q36" s="14"/>
      <c r="R36" s="15"/>
    </row>
    <row r="37" spans="17:18" ht="14.25" customHeight="1">
      <c r="Q37" s="14"/>
      <c r="R37" s="15"/>
    </row>
    <row r="38" spans="17:18" ht="14.25" customHeight="1">
      <c r="Q38" s="14"/>
      <c r="R38" s="15"/>
    </row>
    <row r="39" spans="17:18" ht="14.25" customHeight="1">
      <c r="Q39" s="14"/>
      <c r="R39" s="15"/>
    </row>
    <row r="40" spans="17:18" ht="14.25" customHeight="1">
      <c r="Q40" s="14"/>
      <c r="R40" s="15"/>
    </row>
    <row r="41" spans="17:18" ht="14.25" customHeight="1">
      <c r="Q41" s="14"/>
      <c r="R41" s="15"/>
    </row>
    <row r="42" spans="17:18" ht="14.25" customHeight="1">
      <c r="Q42" s="14"/>
      <c r="R42" s="15"/>
    </row>
    <row r="43" spans="17:18" ht="14.25" customHeight="1">
      <c r="Q43" s="14"/>
      <c r="R43" s="15"/>
    </row>
    <row r="44" spans="17:18" ht="14.25" customHeight="1">
      <c r="Q44" s="14"/>
      <c r="R44" s="15"/>
    </row>
    <row r="45" spans="17:18" ht="14.25" customHeight="1">
      <c r="Q45" s="14"/>
      <c r="R45" s="15"/>
    </row>
    <row r="46" spans="17:18" ht="14.25" customHeight="1">
      <c r="Q46" s="14"/>
      <c r="R46" s="15"/>
    </row>
    <row r="47" spans="17:18" ht="14.25" customHeight="1">
      <c r="Q47" s="14"/>
      <c r="R47" s="15"/>
    </row>
    <row r="48" spans="17:18" ht="14.25" customHeight="1">
      <c r="Q48" s="14"/>
      <c r="R48" s="15"/>
    </row>
    <row r="49" spans="17:18" ht="14.25" customHeight="1">
      <c r="Q49" s="14"/>
      <c r="R49" s="15"/>
    </row>
    <row r="50" spans="17:18" ht="14.25" customHeight="1">
      <c r="Q50" s="14"/>
      <c r="R50" s="15"/>
    </row>
    <row r="51" spans="17:18" ht="14.25" customHeight="1">
      <c r="Q51" s="14"/>
      <c r="R51" s="15"/>
    </row>
    <row r="52" spans="17:18" ht="14.25" customHeight="1">
      <c r="Q52" s="14"/>
      <c r="R52" s="15"/>
    </row>
    <row r="53" spans="17:18" ht="14.25" customHeight="1">
      <c r="Q53" s="14"/>
      <c r="R53" s="15"/>
    </row>
    <row r="54" spans="17:18" ht="14.25" customHeight="1">
      <c r="Q54" s="14"/>
      <c r="R54" s="15"/>
    </row>
    <row r="55" spans="17:18" ht="14.25" customHeight="1">
      <c r="Q55" s="14"/>
      <c r="R55" s="15"/>
    </row>
    <row r="56" spans="17:18" ht="14.25" customHeight="1">
      <c r="Q56" s="14"/>
      <c r="R56" s="15"/>
    </row>
    <row r="57" spans="17:18" ht="14.25" customHeight="1">
      <c r="Q57" s="14"/>
      <c r="R57" s="15"/>
    </row>
    <row r="58" spans="17:18" ht="14.25" customHeight="1">
      <c r="Q58" s="14"/>
      <c r="R58" s="15"/>
    </row>
    <row r="59" spans="17:18" ht="14.25" customHeight="1">
      <c r="Q59" s="14"/>
      <c r="R59" s="15"/>
    </row>
    <row r="60" spans="17:18" ht="14.25" customHeight="1">
      <c r="Q60" s="14"/>
      <c r="R60" s="15"/>
    </row>
    <row r="61" spans="17:18" ht="14.25" customHeight="1">
      <c r="Q61" s="14"/>
      <c r="R61" s="15"/>
    </row>
    <row r="62" spans="17:18" ht="14.25" customHeight="1">
      <c r="Q62" s="14"/>
      <c r="R62" s="15"/>
    </row>
    <row r="63" spans="17:18" ht="14.25" customHeight="1">
      <c r="Q63" s="14"/>
      <c r="R63" s="15"/>
    </row>
    <row r="64" spans="17:18" ht="14.25" customHeight="1">
      <c r="Q64" s="14"/>
      <c r="R64" s="15"/>
    </row>
    <row r="65" spans="17:18" ht="14.25" customHeight="1">
      <c r="Q65" s="14"/>
      <c r="R65" s="15"/>
    </row>
    <row r="66" spans="17:18" ht="14.25" customHeight="1">
      <c r="Q66" s="14"/>
      <c r="R66" s="15"/>
    </row>
    <row r="67" spans="17:18" ht="14.25" customHeight="1">
      <c r="Q67" s="14"/>
      <c r="R67" s="15"/>
    </row>
    <row r="68" spans="17:18" ht="14.25" customHeight="1">
      <c r="Q68" s="14"/>
      <c r="R68" s="15"/>
    </row>
    <row r="69" spans="17:18" ht="14.25" customHeight="1">
      <c r="Q69" s="14"/>
      <c r="R69" s="15"/>
    </row>
    <row r="70" spans="17:18" ht="14.25" customHeight="1">
      <c r="Q70" s="14"/>
      <c r="R70" s="15"/>
    </row>
    <row r="71" spans="17:18" ht="14.25" customHeight="1">
      <c r="Q71" s="14"/>
      <c r="R71" s="15"/>
    </row>
    <row r="72" spans="17:18" ht="14.25" customHeight="1">
      <c r="Q72" s="14"/>
      <c r="R72" s="15"/>
    </row>
    <row r="73" spans="17:18" ht="14.25" customHeight="1">
      <c r="Q73" s="14"/>
      <c r="R73" s="15"/>
    </row>
    <row r="74" spans="17:18" ht="14.25" customHeight="1">
      <c r="Q74" s="14"/>
      <c r="R74" s="15"/>
    </row>
    <row r="75" spans="17:18" ht="14.25" customHeight="1">
      <c r="Q75" s="14"/>
      <c r="R75" s="15"/>
    </row>
    <row r="76" spans="17:18" ht="14.25" customHeight="1">
      <c r="Q76" s="14"/>
      <c r="R76" s="15"/>
    </row>
    <row r="77" spans="17:18" ht="14.25" customHeight="1">
      <c r="Q77" s="14"/>
      <c r="R77" s="15"/>
    </row>
    <row r="78" spans="17:18" ht="14.25" customHeight="1">
      <c r="Q78" s="14"/>
      <c r="R78" s="15"/>
    </row>
    <row r="79" spans="17:18" ht="14.25" customHeight="1">
      <c r="Q79" s="14"/>
      <c r="R79" s="15"/>
    </row>
    <row r="80" spans="17:18" ht="14.25" customHeight="1">
      <c r="Q80" s="14"/>
      <c r="R80" s="15"/>
    </row>
    <row r="81" spans="17:18" ht="14.25" customHeight="1">
      <c r="Q81" s="14"/>
      <c r="R81" s="15"/>
    </row>
    <row r="82" spans="17:18" ht="14.25" customHeight="1">
      <c r="Q82" s="14"/>
      <c r="R82" s="15"/>
    </row>
    <row r="83" spans="17:18" ht="14.25" customHeight="1">
      <c r="Q83" s="14"/>
      <c r="R83" s="15"/>
    </row>
    <row r="84" spans="17:18" ht="14.25" customHeight="1">
      <c r="Q84" s="14"/>
      <c r="R84" s="15"/>
    </row>
    <row r="85" spans="17:18" ht="14.25" customHeight="1">
      <c r="Q85" s="14"/>
      <c r="R85" s="15"/>
    </row>
    <row r="86" spans="17:18" ht="14.25" customHeight="1">
      <c r="Q86" s="14"/>
      <c r="R86" s="15"/>
    </row>
    <row r="87" spans="17:18" ht="14.25" customHeight="1">
      <c r="Q87" s="14"/>
      <c r="R87" s="15"/>
    </row>
    <row r="88" spans="17:18" ht="14.25" customHeight="1">
      <c r="Q88" s="14"/>
      <c r="R88" s="15"/>
    </row>
    <row r="89" spans="17:18" ht="14.25" customHeight="1">
      <c r="Q89" s="14"/>
      <c r="R89" s="15"/>
    </row>
    <row r="90" spans="17:18" ht="14.25" customHeight="1">
      <c r="Q90" s="14"/>
      <c r="R90" s="15"/>
    </row>
    <row r="91" spans="17:18" ht="14.25" customHeight="1">
      <c r="Q91" s="14"/>
      <c r="R91" s="15"/>
    </row>
    <row r="92" spans="17:18" ht="14.25" customHeight="1">
      <c r="Q92" s="14"/>
      <c r="R92" s="15"/>
    </row>
    <row r="93" spans="17:18" ht="14.25" customHeight="1">
      <c r="Q93" s="14"/>
      <c r="R93" s="15"/>
    </row>
    <row r="94" spans="17:18" ht="14.25" customHeight="1">
      <c r="Q94" s="14"/>
      <c r="R94" s="15"/>
    </row>
    <row r="95" spans="17:18" ht="14.25" customHeight="1">
      <c r="Q95" s="14"/>
      <c r="R95" s="15"/>
    </row>
    <row r="96" spans="17:18" ht="14.25" customHeight="1">
      <c r="Q96" s="14"/>
      <c r="R96" s="15"/>
    </row>
    <row r="97" spans="17:18" ht="14.25" customHeight="1">
      <c r="Q97" s="14"/>
      <c r="R97" s="15"/>
    </row>
    <row r="98" spans="17:18" ht="14.25" customHeight="1">
      <c r="Q98" s="14"/>
      <c r="R98" s="15"/>
    </row>
    <row r="99" spans="17:18" ht="14.25" customHeight="1">
      <c r="Q99" s="14"/>
      <c r="R99" s="15"/>
    </row>
    <row r="100" spans="17:18" ht="14.25" customHeight="1">
      <c r="Q100" s="14"/>
      <c r="R100" s="15"/>
    </row>
    <row r="101" spans="17:18" ht="14.25" customHeight="1">
      <c r="Q101" s="14"/>
      <c r="R101" s="15"/>
    </row>
    <row r="102" spans="17:18" ht="14.25" customHeight="1">
      <c r="Q102" s="14"/>
      <c r="R102" s="15"/>
    </row>
    <row r="103" spans="17:18" ht="14.25" customHeight="1">
      <c r="Q103" s="14"/>
      <c r="R103" s="15"/>
    </row>
    <row r="104" spans="17:18" ht="14.25" customHeight="1">
      <c r="Q104" s="14"/>
      <c r="R104" s="15"/>
    </row>
    <row r="105" spans="17:18" ht="14.25" customHeight="1">
      <c r="Q105" s="14"/>
      <c r="R105" s="15"/>
    </row>
    <row r="106" spans="17:18" ht="14.25" customHeight="1">
      <c r="Q106" s="14"/>
      <c r="R106" s="15"/>
    </row>
    <row r="107" spans="17:18" ht="14.25" customHeight="1">
      <c r="Q107" s="14"/>
      <c r="R107" s="15"/>
    </row>
    <row r="108" spans="17:18" ht="14.25" customHeight="1">
      <c r="Q108" s="14"/>
      <c r="R108" s="15"/>
    </row>
    <row r="109" spans="17:18" ht="14.25" customHeight="1">
      <c r="Q109" s="14"/>
      <c r="R109" s="15"/>
    </row>
    <row r="110" spans="17:18" ht="14.25" customHeight="1">
      <c r="Q110" s="14"/>
      <c r="R110" s="15"/>
    </row>
    <row r="111" spans="17:18" ht="14.25" customHeight="1">
      <c r="Q111" s="14"/>
      <c r="R111" s="15"/>
    </row>
    <row r="112" spans="17:18" ht="14.25" customHeight="1">
      <c r="Q112" s="14"/>
      <c r="R112" s="15"/>
    </row>
    <row r="113" spans="17:18" ht="14.25" customHeight="1">
      <c r="Q113" s="14"/>
      <c r="R113" s="15"/>
    </row>
    <row r="114" spans="17:18" ht="14.25" customHeight="1">
      <c r="Q114" s="14"/>
      <c r="R114" s="15"/>
    </row>
    <row r="115" spans="17:18" ht="14.25" customHeight="1">
      <c r="Q115" s="14"/>
      <c r="R115" s="15"/>
    </row>
    <row r="116" spans="17:18" ht="14.25" customHeight="1">
      <c r="Q116" s="14"/>
      <c r="R116" s="15"/>
    </row>
    <row r="117" spans="17:18" ht="14.25" customHeight="1">
      <c r="Q117" s="14"/>
      <c r="R117" s="15"/>
    </row>
    <row r="118" spans="17:18" ht="14.25" customHeight="1">
      <c r="Q118" s="14"/>
      <c r="R118" s="15"/>
    </row>
    <row r="119" spans="17:18" ht="14.25" customHeight="1">
      <c r="Q119" s="14"/>
      <c r="R119" s="15"/>
    </row>
    <row r="120" spans="17:18" ht="14.25" customHeight="1">
      <c r="Q120" s="14"/>
      <c r="R120" s="15"/>
    </row>
    <row r="121" spans="17:18" ht="14.25" customHeight="1">
      <c r="Q121" s="14"/>
      <c r="R121" s="15"/>
    </row>
    <row r="122" spans="17:18" ht="14.25" customHeight="1">
      <c r="Q122" s="14"/>
      <c r="R122" s="15"/>
    </row>
    <row r="123" spans="17:18" ht="14.25" customHeight="1">
      <c r="Q123" s="14"/>
      <c r="R123" s="15"/>
    </row>
    <row r="124" spans="17:18" ht="14.25" customHeight="1">
      <c r="Q124" s="14"/>
      <c r="R124" s="15"/>
    </row>
    <row r="125" spans="17:18" ht="14.25" customHeight="1">
      <c r="Q125" s="14"/>
      <c r="R125" s="15"/>
    </row>
    <row r="126" spans="17:18" ht="14.25" customHeight="1">
      <c r="Q126" s="14"/>
      <c r="R126" s="15"/>
    </row>
    <row r="127" spans="17:18" ht="14.25" customHeight="1">
      <c r="Q127" s="14"/>
      <c r="R127" s="15"/>
    </row>
    <row r="128" spans="17:18" ht="14.25" customHeight="1">
      <c r="Q128" s="14"/>
      <c r="R128" s="15"/>
    </row>
    <row r="129" spans="17:18" ht="14.25" customHeight="1">
      <c r="Q129" s="14"/>
      <c r="R129" s="15"/>
    </row>
    <row r="130" spans="17:18" ht="14.25" customHeight="1">
      <c r="Q130" s="14"/>
      <c r="R130" s="15"/>
    </row>
    <row r="131" spans="17:18" ht="14.25" customHeight="1">
      <c r="Q131" s="14"/>
      <c r="R131" s="15"/>
    </row>
    <row r="132" spans="17:18" ht="14.25" customHeight="1">
      <c r="Q132" s="14"/>
      <c r="R132" s="15"/>
    </row>
    <row r="133" spans="17:18" ht="14.25" customHeight="1">
      <c r="Q133" s="14"/>
      <c r="R133" s="15"/>
    </row>
    <row r="134" spans="17:18" ht="14.25" customHeight="1">
      <c r="Q134" s="14"/>
      <c r="R134" s="15"/>
    </row>
    <row r="135" spans="17:18" ht="14.25" customHeight="1">
      <c r="Q135" s="14"/>
      <c r="R135" s="15"/>
    </row>
    <row r="136" spans="17:18" ht="14.25" customHeight="1">
      <c r="Q136" s="14"/>
      <c r="R136" s="15"/>
    </row>
    <row r="137" spans="17:18" ht="14.25" customHeight="1">
      <c r="Q137" s="14"/>
      <c r="R137" s="15"/>
    </row>
    <row r="138" spans="17:18" ht="14.25" customHeight="1">
      <c r="Q138" s="14"/>
      <c r="R138" s="15"/>
    </row>
    <row r="139" spans="17:18" ht="14.25" customHeight="1">
      <c r="Q139" s="14"/>
      <c r="R139" s="15"/>
    </row>
    <row r="140" spans="17:18" ht="14.25" customHeight="1">
      <c r="Q140" s="14"/>
      <c r="R140" s="15"/>
    </row>
    <row r="141" spans="17:18" ht="14.25" customHeight="1">
      <c r="Q141" s="14"/>
      <c r="R141" s="15"/>
    </row>
    <row r="142" spans="17:18" ht="14.25" customHeight="1">
      <c r="Q142" s="14"/>
      <c r="R142" s="15"/>
    </row>
    <row r="143" spans="17:18" ht="14.25" customHeight="1">
      <c r="Q143" s="14"/>
      <c r="R143" s="15"/>
    </row>
    <row r="144" spans="17:18" ht="14.25" customHeight="1">
      <c r="Q144" s="14"/>
      <c r="R144" s="15"/>
    </row>
    <row r="145" spans="17:18" ht="14.25" customHeight="1">
      <c r="Q145" s="14"/>
      <c r="R145" s="15"/>
    </row>
    <row r="146" spans="17:18" ht="14.25" customHeight="1">
      <c r="Q146" s="14"/>
      <c r="R146" s="15"/>
    </row>
    <row r="147" spans="17:18" ht="14.25" customHeight="1">
      <c r="Q147" s="14"/>
      <c r="R147" s="15"/>
    </row>
    <row r="148" spans="17:18" ht="14.25" customHeight="1">
      <c r="Q148" s="14"/>
      <c r="R148" s="15"/>
    </row>
    <row r="149" spans="17:18" ht="14.25" customHeight="1">
      <c r="Q149" s="14"/>
      <c r="R149" s="15"/>
    </row>
    <row r="150" spans="17:18" ht="14.25" customHeight="1">
      <c r="Q150" s="14"/>
      <c r="R150" s="15"/>
    </row>
    <row r="151" spans="17:18" ht="14.25" customHeight="1">
      <c r="Q151" s="14"/>
      <c r="R151" s="15"/>
    </row>
    <row r="152" spans="17:18" ht="14.25" customHeight="1">
      <c r="Q152" s="14"/>
      <c r="R152" s="15"/>
    </row>
    <row r="153" spans="17:18" ht="14.25" customHeight="1">
      <c r="Q153" s="14"/>
      <c r="R153" s="15"/>
    </row>
    <row r="154" spans="17:18" ht="14.25" customHeight="1">
      <c r="Q154" s="14"/>
      <c r="R154" s="15"/>
    </row>
    <row r="155" spans="17:18" ht="14.25" customHeight="1">
      <c r="Q155" s="14"/>
      <c r="R155" s="15"/>
    </row>
    <row r="156" spans="17:18" ht="14.25" customHeight="1">
      <c r="Q156" s="14"/>
      <c r="R156" s="15"/>
    </row>
    <row r="157" spans="17:18" ht="14.25" customHeight="1">
      <c r="Q157" s="14"/>
      <c r="R157" s="15"/>
    </row>
    <row r="158" spans="17:18" ht="14.25" customHeight="1">
      <c r="Q158" s="14"/>
      <c r="R158" s="15"/>
    </row>
    <row r="159" spans="17:18" ht="14.25" customHeight="1">
      <c r="Q159" s="14"/>
      <c r="R159" s="15"/>
    </row>
    <row r="160" spans="17:18" ht="14.25" customHeight="1">
      <c r="Q160" s="14"/>
      <c r="R160" s="15"/>
    </row>
    <row r="161" spans="17:18" ht="14.25" customHeight="1">
      <c r="Q161" s="14"/>
      <c r="R161" s="15"/>
    </row>
    <row r="162" spans="17:18" ht="14.25" customHeight="1">
      <c r="Q162" s="14"/>
      <c r="R162" s="15"/>
    </row>
    <row r="163" spans="17:18" ht="14.25" customHeight="1">
      <c r="Q163" s="14"/>
      <c r="R163" s="15"/>
    </row>
    <row r="164" spans="17:18" ht="14.25" customHeight="1">
      <c r="Q164" s="14"/>
      <c r="R164" s="15"/>
    </row>
    <row r="165" spans="17:18" ht="14.25" customHeight="1">
      <c r="Q165" s="14"/>
      <c r="R165" s="15"/>
    </row>
    <row r="166" spans="17:18" ht="14.25" customHeight="1">
      <c r="Q166" s="14"/>
      <c r="R166" s="15"/>
    </row>
    <row r="167" spans="17:18" ht="14.25" customHeight="1">
      <c r="Q167" s="14"/>
      <c r="R167" s="15"/>
    </row>
    <row r="168" spans="17:18" ht="14.25" customHeight="1">
      <c r="Q168" s="14"/>
      <c r="R168" s="15"/>
    </row>
    <row r="169" spans="17:18" ht="14.25" customHeight="1">
      <c r="Q169" s="14"/>
      <c r="R169" s="15"/>
    </row>
    <row r="170" spans="17:18" ht="14.25" customHeight="1">
      <c r="Q170" s="14"/>
      <c r="R170" s="15"/>
    </row>
    <row r="171" spans="17:18" ht="14.25" customHeight="1">
      <c r="Q171" s="14"/>
      <c r="R171" s="15"/>
    </row>
    <row r="172" spans="17:18" ht="14.25" customHeight="1">
      <c r="Q172" s="14"/>
      <c r="R172" s="15"/>
    </row>
    <row r="173" spans="17:18" ht="14.25" customHeight="1">
      <c r="Q173" s="14"/>
      <c r="R173" s="15"/>
    </row>
    <row r="174" spans="17:18" ht="14.25" customHeight="1">
      <c r="Q174" s="14"/>
      <c r="R174" s="15"/>
    </row>
    <row r="175" spans="17:18" ht="14.25" customHeight="1">
      <c r="Q175" s="14"/>
      <c r="R175" s="15"/>
    </row>
    <row r="176" spans="17:18" ht="14.25" customHeight="1">
      <c r="Q176" s="14"/>
      <c r="R176" s="15"/>
    </row>
    <row r="177" spans="17:18" ht="14.25" customHeight="1">
      <c r="Q177" s="14"/>
      <c r="R177" s="15"/>
    </row>
    <row r="178" spans="17:18" ht="14.25" customHeight="1">
      <c r="Q178" s="14"/>
      <c r="R178" s="15"/>
    </row>
    <row r="179" spans="17:18" ht="14.25" customHeight="1">
      <c r="Q179" s="14"/>
      <c r="R179" s="15"/>
    </row>
    <row r="180" spans="17:18" ht="14.25" customHeight="1">
      <c r="Q180" s="14"/>
      <c r="R180" s="15"/>
    </row>
    <row r="181" spans="17:18" ht="14.25" customHeight="1">
      <c r="Q181" s="14"/>
      <c r="R181" s="15"/>
    </row>
    <row r="182" spans="17:18" ht="14.25" customHeight="1">
      <c r="Q182" s="14"/>
      <c r="R182" s="15"/>
    </row>
    <row r="183" spans="17:18" ht="14.25" customHeight="1">
      <c r="Q183" s="14"/>
      <c r="R183" s="15"/>
    </row>
    <row r="184" spans="17:18" ht="14.25" customHeight="1">
      <c r="Q184" s="14"/>
      <c r="R184" s="15"/>
    </row>
    <row r="185" spans="17:18" ht="14.25" customHeight="1">
      <c r="Q185" s="14"/>
      <c r="R185" s="15"/>
    </row>
    <row r="186" spans="17:18" ht="14.25" customHeight="1">
      <c r="Q186" s="14"/>
      <c r="R186" s="15"/>
    </row>
    <row r="187" spans="17:18" ht="14.25" customHeight="1">
      <c r="Q187" s="14"/>
      <c r="R187" s="15"/>
    </row>
    <row r="188" spans="17:18" ht="14.25" customHeight="1">
      <c r="Q188" s="14"/>
      <c r="R188" s="15"/>
    </row>
    <row r="189" spans="17:18" ht="14.25" customHeight="1">
      <c r="Q189" s="14"/>
      <c r="R189" s="15"/>
    </row>
    <row r="190" spans="17:18" ht="14.25" customHeight="1">
      <c r="Q190" s="14"/>
      <c r="R190" s="15"/>
    </row>
    <row r="191" spans="17:18" ht="14.25" customHeight="1">
      <c r="Q191" s="14"/>
      <c r="R191" s="15"/>
    </row>
    <row r="192" spans="17:18" ht="14.25" customHeight="1">
      <c r="Q192" s="14"/>
      <c r="R192" s="15"/>
    </row>
    <row r="193" spans="17:18" ht="14.25" customHeight="1">
      <c r="Q193" s="14"/>
      <c r="R193" s="15"/>
    </row>
    <row r="194" spans="17:18" ht="14.25" customHeight="1">
      <c r="Q194" s="14"/>
      <c r="R194" s="15"/>
    </row>
    <row r="195" spans="17:18" ht="14.25" customHeight="1">
      <c r="Q195" s="14"/>
      <c r="R195" s="15"/>
    </row>
    <row r="196" spans="17:18" ht="14.25" customHeight="1">
      <c r="Q196" s="14"/>
      <c r="R196" s="15"/>
    </row>
    <row r="197" spans="17:18" ht="14.25" customHeight="1">
      <c r="Q197" s="14"/>
      <c r="R197" s="15"/>
    </row>
    <row r="198" spans="17:18" ht="14.25" customHeight="1">
      <c r="Q198" s="14"/>
      <c r="R198" s="15"/>
    </row>
    <row r="199" spans="17:18" ht="14.25" customHeight="1">
      <c r="Q199" s="14"/>
      <c r="R199" s="15"/>
    </row>
    <row r="200" spans="17:18" ht="14.25" customHeight="1">
      <c r="Q200" s="14"/>
      <c r="R200" s="15"/>
    </row>
    <row r="201" spans="17:18" ht="14.25" customHeight="1">
      <c r="Q201" s="14"/>
      <c r="R201" s="15"/>
    </row>
    <row r="202" spans="17:18" ht="14.25" customHeight="1">
      <c r="Q202" s="14"/>
      <c r="R202" s="15"/>
    </row>
    <row r="203" spans="17:18" ht="14.25" customHeight="1">
      <c r="Q203" s="14"/>
      <c r="R203" s="15"/>
    </row>
    <row r="204" spans="17:18" ht="14.25" customHeight="1">
      <c r="Q204" s="14"/>
      <c r="R204" s="15"/>
    </row>
    <row r="205" spans="17:18" ht="14.25" customHeight="1">
      <c r="Q205" s="14"/>
      <c r="R205" s="15"/>
    </row>
    <row r="206" spans="17:18" ht="14.25" customHeight="1">
      <c r="Q206" s="14"/>
      <c r="R206" s="15"/>
    </row>
    <row r="207" spans="17:18" ht="14.25" customHeight="1">
      <c r="Q207" s="14"/>
      <c r="R207" s="15"/>
    </row>
    <row r="208" spans="17:18" ht="14.25" customHeight="1">
      <c r="Q208" s="14"/>
      <c r="R208" s="15"/>
    </row>
    <row r="209" spans="17:18" ht="14.25" customHeight="1">
      <c r="Q209" s="14"/>
      <c r="R209" s="15"/>
    </row>
    <row r="210" spans="17:18" ht="14.25" customHeight="1">
      <c r="Q210" s="14"/>
      <c r="R210" s="15"/>
    </row>
    <row r="211" spans="17:18" ht="14.25" customHeight="1">
      <c r="Q211" s="14"/>
      <c r="R211" s="15"/>
    </row>
    <row r="212" spans="17:18" ht="14.25" customHeight="1">
      <c r="Q212" s="14"/>
      <c r="R212" s="15"/>
    </row>
    <row r="213" spans="17:18" ht="14.25" customHeight="1">
      <c r="Q213" s="14"/>
      <c r="R213" s="15"/>
    </row>
    <row r="214" spans="17:18" ht="14.25" customHeight="1">
      <c r="Q214" s="14"/>
      <c r="R214" s="15"/>
    </row>
    <row r="215" spans="17:18" ht="14.25" customHeight="1">
      <c r="Q215" s="14"/>
      <c r="R215" s="15"/>
    </row>
    <row r="216" spans="17:18" ht="14.25" customHeight="1">
      <c r="Q216" s="14"/>
      <c r="R216" s="15"/>
    </row>
    <row r="217" spans="17:18" ht="14.25" customHeight="1">
      <c r="Q217" s="14"/>
      <c r="R217" s="15"/>
    </row>
    <row r="218" spans="17:18" ht="14.25" customHeight="1">
      <c r="Q218" s="14"/>
      <c r="R218" s="15"/>
    </row>
    <row r="219" spans="17:18" ht="14.25" customHeight="1">
      <c r="Q219" s="14"/>
      <c r="R219" s="15"/>
    </row>
    <row r="220" spans="17:18" ht="14.25" customHeight="1">
      <c r="Q220" s="14"/>
      <c r="R220" s="15"/>
    </row>
    <row r="221" spans="17:18" ht="14.25" customHeight="1">
      <c r="Q221" s="14"/>
      <c r="R221" s="15"/>
    </row>
    <row r="222" spans="17:18" ht="14.25" customHeight="1">
      <c r="Q222" s="14"/>
      <c r="R222" s="15"/>
    </row>
    <row r="223" spans="17:18" ht="14.25" customHeight="1">
      <c r="Q223" s="14"/>
      <c r="R223" s="15"/>
    </row>
    <row r="224" spans="17:18" ht="14.25" customHeight="1">
      <c r="Q224" s="14"/>
      <c r="R224" s="15"/>
    </row>
    <row r="225" spans="17:18" ht="14.25" customHeight="1">
      <c r="Q225" s="14"/>
      <c r="R225" s="15"/>
    </row>
    <row r="226" spans="17:18" ht="14.25" customHeight="1">
      <c r="Q226" s="14"/>
      <c r="R226" s="15"/>
    </row>
    <row r="227" spans="17:18" ht="14.25" customHeight="1">
      <c r="Q227" s="14"/>
      <c r="R227" s="15"/>
    </row>
    <row r="228" spans="17:18" ht="14.25" customHeight="1">
      <c r="Q228" s="14"/>
      <c r="R228" s="15"/>
    </row>
    <row r="229" spans="17:18" ht="14.25" customHeight="1">
      <c r="Q229" s="14"/>
      <c r="R229" s="15"/>
    </row>
    <row r="230" spans="17:18" ht="14.25" customHeight="1">
      <c r="Q230" s="14"/>
      <c r="R230" s="15"/>
    </row>
    <row r="231" spans="17:18" ht="14.25" customHeight="1">
      <c r="Q231" s="14"/>
      <c r="R231" s="15"/>
    </row>
    <row r="232" spans="17:18" ht="14.25" customHeight="1">
      <c r="Q232" s="14"/>
      <c r="R232" s="15"/>
    </row>
    <row r="233" spans="17:18" ht="14.25" customHeight="1">
      <c r="Q233" s="14"/>
      <c r="R233" s="15"/>
    </row>
    <row r="234" spans="17:18" ht="14.25" customHeight="1">
      <c r="Q234" s="14"/>
      <c r="R234" s="15"/>
    </row>
    <row r="235" spans="17:18" ht="14.25" customHeight="1">
      <c r="Q235" s="14"/>
      <c r="R235" s="15"/>
    </row>
    <row r="236" spans="17:18" ht="14.25" customHeight="1">
      <c r="Q236" s="14"/>
      <c r="R236" s="15"/>
    </row>
    <row r="237" spans="17:18" ht="14.25" customHeight="1">
      <c r="Q237" s="14"/>
      <c r="R237" s="15"/>
    </row>
    <row r="238" spans="17:18" ht="14.25" customHeight="1">
      <c r="Q238" s="14"/>
      <c r="R238" s="15"/>
    </row>
    <row r="239" spans="17:18" ht="14.25" customHeight="1">
      <c r="Q239" s="14"/>
      <c r="R239" s="15"/>
    </row>
    <row r="240" spans="17:18" ht="14.25" customHeight="1">
      <c r="Q240" s="14"/>
      <c r="R240" s="15"/>
    </row>
    <row r="241" spans="17:18" ht="14.25" customHeight="1">
      <c r="Q241" s="14"/>
      <c r="R241" s="15"/>
    </row>
    <row r="242" spans="17:18" ht="14.25" customHeight="1">
      <c r="Q242" s="14"/>
      <c r="R242" s="15"/>
    </row>
    <row r="243" spans="17:18" ht="14.25" customHeight="1">
      <c r="Q243" s="14"/>
      <c r="R243" s="15"/>
    </row>
    <row r="244" spans="17:18" ht="14.25" customHeight="1">
      <c r="Q244" s="14"/>
      <c r="R244" s="15"/>
    </row>
    <row r="245" spans="17:18" ht="14.25" customHeight="1">
      <c r="Q245" s="14"/>
      <c r="R245" s="15"/>
    </row>
    <row r="246" spans="17:18" ht="14.25" customHeight="1">
      <c r="Q246" s="14"/>
      <c r="R246" s="15"/>
    </row>
    <row r="247" spans="17:18" ht="14.25" customHeight="1">
      <c r="Q247" s="14"/>
      <c r="R247" s="15"/>
    </row>
    <row r="248" spans="17:18" ht="14.25" customHeight="1">
      <c r="Q248" s="14"/>
      <c r="R248" s="15"/>
    </row>
    <row r="249" spans="17:18" ht="14.25" customHeight="1">
      <c r="Q249" s="14"/>
      <c r="R249" s="15"/>
    </row>
    <row r="250" spans="17:18" ht="14.25" customHeight="1">
      <c r="Q250" s="14"/>
      <c r="R250" s="15"/>
    </row>
    <row r="251" spans="17:18" ht="14.25" customHeight="1">
      <c r="Q251" s="14"/>
      <c r="R251" s="15"/>
    </row>
    <row r="252" spans="17:18" ht="14.25" customHeight="1">
      <c r="Q252" s="14"/>
      <c r="R252" s="15"/>
    </row>
    <row r="253" spans="17:18" ht="14.25" customHeight="1">
      <c r="Q253" s="14"/>
      <c r="R253" s="15"/>
    </row>
    <row r="254" spans="17:18" ht="14.25" customHeight="1">
      <c r="Q254" s="14"/>
      <c r="R254" s="15"/>
    </row>
    <row r="255" spans="17:18" ht="14.25" customHeight="1">
      <c r="Q255" s="14"/>
      <c r="R255" s="15"/>
    </row>
    <row r="256" spans="17:18" ht="14.25" customHeight="1">
      <c r="Q256" s="14"/>
      <c r="R256" s="15"/>
    </row>
    <row r="257" spans="17:18" ht="14.25" customHeight="1">
      <c r="Q257" s="14"/>
      <c r="R257" s="15"/>
    </row>
    <row r="258" spans="17:18" ht="14.25" customHeight="1">
      <c r="Q258" s="14"/>
      <c r="R258" s="15"/>
    </row>
    <row r="259" spans="17:18" ht="14.25" customHeight="1">
      <c r="Q259" s="14"/>
      <c r="R259" s="15"/>
    </row>
    <row r="260" spans="17:18" ht="14.25" customHeight="1">
      <c r="Q260" s="14"/>
      <c r="R260" s="15"/>
    </row>
    <row r="261" spans="17:18" ht="14.25" customHeight="1">
      <c r="Q261" s="14"/>
      <c r="R261" s="15"/>
    </row>
    <row r="262" spans="17:18" ht="14.25" customHeight="1">
      <c r="Q262" s="14"/>
      <c r="R262" s="15"/>
    </row>
    <row r="263" spans="17:18" ht="14.25" customHeight="1">
      <c r="Q263" s="14"/>
      <c r="R263" s="15"/>
    </row>
    <row r="264" spans="17:18" ht="14.25" customHeight="1">
      <c r="Q264" s="14"/>
      <c r="R264" s="15"/>
    </row>
    <row r="265" spans="17:18" ht="14.25" customHeight="1">
      <c r="Q265" s="14"/>
      <c r="R265" s="15"/>
    </row>
    <row r="266" spans="17:18" ht="14.25" customHeight="1">
      <c r="Q266" s="14"/>
      <c r="R266" s="15"/>
    </row>
    <row r="267" spans="17:18" ht="14.25" customHeight="1">
      <c r="Q267" s="14"/>
      <c r="R267" s="15"/>
    </row>
    <row r="268" spans="17:18" ht="14.25" customHeight="1">
      <c r="Q268" s="14"/>
      <c r="R268" s="15"/>
    </row>
    <row r="269" spans="17:18" ht="14.25" customHeight="1">
      <c r="Q269" s="14"/>
      <c r="R269" s="15"/>
    </row>
    <row r="270" spans="17:18" ht="14.25" customHeight="1">
      <c r="Q270" s="14"/>
      <c r="R270" s="15"/>
    </row>
    <row r="271" spans="17:18" ht="14.25" customHeight="1">
      <c r="Q271" s="14"/>
      <c r="R271" s="15"/>
    </row>
    <row r="272" spans="17:18" ht="14.25" customHeight="1">
      <c r="Q272" s="14"/>
      <c r="R272" s="15"/>
    </row>
    <row r="273" spans="17:18" ht="14.25" customHeight="1">
      <c r="Q273" s="14"/>
      <c r="R273" s="15"/>
    </row>
    <row r="274" spans="17:18" ht="14.25" customHeight="1">
      <c r="Q274" s="14"/>
      <c r="R274" s="15"/>
    </row>
    <row r="275" spans="17:18" ht="14.25" customHeight="1">
      <c r="Q275" s="14"/>
      <c r="R275" s="15"/>
    </row>
    <row r="276" spans="17:18" ht="14.25" customHeight="1">
      <c r="Q276" s="14"/>
      <c r="R276" s="15"/>
    </row>
    <row r="277" spans="17:18" ht="14.25" customHeight="1">
      <c r="Q277" s="14"/>
      <c r="R277" s="15"/>
    </row>
    <row r="278" spans="17:18" ht="14.25" customHeight="1">
      <c r="Q278" s="14"/>
      <c r="R278" s="15"/>
    </row>
    <row r="279" spans="17:18" ht="14.25" customHeight="1">
      <c r="Q279" s="14"/>
      <c r="R279" s="15"/>
    </row>
    <row r="280" spans="17:18" ht="14.25" customHeight="1">
      <c r="Q280" s="14"/>
      <c r="R280" s="15"/>
    </row>
    <row r="281" spans="17:18" ht="14.25" customHeight="1">
      <c r="Q281" s="14"/>
      <c r="R281" s="15"/>
    </row>
    <row r="282" spans="17:18" ht="14.25" customHeight="1">
      <c r="Q282" s="14"/>
      <c r="R282" s="15"/>
    </row>
    <row r="283" spans="17:18" ht="14.25" customHeight="1">
      <c r="Q283" s="14"/>
      <c r="R283" s="15"/>
    </row>
    <row r="284" spans="17:18" ht="14.25" customHeight="1">
      <c r="Q284" s="14"/>
      <c r="R284" s="15"/>
    </row>
    <row r="285" spans="17:18" ht="14.25" customHeight="1">
      <c r="Q285" s="14"/>
      <c r="R285" s="15"/>
    </row>
    <row r="286" spans="17:18" ht="14.25" customHeight="1">
      <c r="Q286" s="14"/>
      <c r="R286" s="15"/>
    </row>
    <row r="287" spans="17:18" ht="14.25" customHeight="1">
      <c r="Q287" s="14"/>
      <c r="R287" s="15"/>
    </row>
    <row r="288" spans="17:18" ht="14.25" customHeight="1">
      <c r="Q288" s="14"/>
      <c r="R288" s="15"/>
    </row>
    <row r="289" spans="17:18" ht="14.25" customHeight="1">
      <c r="Q289" s="14"/>
      <c r="R289" s="15"/>
    </row>
    <row r="290" spans="17:18" ht="14.25" customHeight="1">
      <c r="Q290" s="14"/>
      <c r="R290" s="15"/>
    </row>
    <row r="291" spans="17:18" ht="14.25" customHeight="1">
      <c r="Q291" s="14"/>
      <c r="R291" s="15"/>
    </row>
    <row r="292" spans="17:18" ht="14.25" customHeight="1">
      <c r="Q292" s="14"/>
      <c r="R292" s="15"/>
    </row>
    <row r="293" spans="17:18" ht="14.25" customHeight="1">
      <c r="Q293" s="14"/>
      <c r="R293" s="15"/>
    </row>
    <row r="294" spans="17:18" ht="14.25" customHeight="1">
      <c r="Q294" s="14"/>
      <c r="R294" s="15"/>
    </row>
    <row r="295" spans="17:18" ht="14.25" customHeight="1">
      <c r="Q295" s="14"/>
      <c r="R295" s="15"/>
    </row>
    <row r="296" spans="17:18" ht="14.25" customHeight="1">
      <c r="Q296" s="14"/>
      <c r="R296" s="15"/>
    </row>
    <row r="297" spans="17:18" ht="14.25" customHeight="1">
      <c r="Q297" s="14"/>
      <c r="R297" s="15"/>
    </row>
    <row r="298" spans="17:18" ht="14.25" customHeight="1">
      <c r="Q298" s="14"/>
      <c r="R298" s="15"/>
    </row>
    <row r="299" spans="17:18" ht="14.25" customHeight="1">
      <c r="Q299" s="14"/>
      <c r="R299" s="15"/>
    </row>
    <row r="300" spans="17:18" ht="14.25" customHeight="1">
      <c r="Q300" s="14"/>
      <c r="R300" s="15"/>
    </row>
    <row r="301" spans="17:18" ht="14.25" customHeight="1">
      <c r="Q301" s="14"/>
      <c r="R301" s="15"/>
    </row>
    <row r="302" spans="17:18" ht="14.25" customHeight="1">
      <c r="Q302" s="14"/>
      <c r="R302" s="15"/>
    </row>
    <row r="303" spans="17:18" ht="14.25" customHeight="1">
      <c r="Q303" s="14"/>
      <c r="R303" s="15"/>
    </row>
    <row r="304" spans="17:18" ht="14.25" customHeight="1">
      <c r="Q304" s="14"/>
      <c r="R304" s="15"/>
    </row>
    <row r="305" spans="17:18" ht="14.25" customHeight="1">
      <c r="Q305" s="14"/>
      <c r="R305" s="15"/>
    </row>
    <row r="306" spans="17:18" ht="14.25" customHeight="1">
      <c r="Q306" s="14"/>
      <c r="R306" s="15"/>
    </row>
    <row r="307" spans="17:18" ht="14.25" customHeight="1">
      <c r="Q307" s="14"/>
      <c r="R307" s="15"/>
    </row>
    <row r="308" spans="17:18" ht="14.25" customHeight="1">
      <c r="Q308" s="14"/>
      <c r="R308" s="15"/>
    </row>
    <row r="309" spans="17:18" ht="14.25" customHeight="1">
      <c r="Q309" s="14"/>
      <c r="R309" s="15"/>
    </row>
    <row r="310" spans="17:18" ht="14.25" customHeight="1">
      <c r="Q310" s="14"/>
      <c r="R310" s="15"/>
    </row>
    <row r="311" spans="17:18" ht="14.25" customHeight="1">
      <c r="Q311" s="14"/>
      <c r="R311" s="15"/>
    </row>
    <row r="312" spans="17:18" ht="14.25" customHeight="1">
      <c r="Q312" s="14"/>
      <c r="R312" s="15"/>
    </row>
    <row r="313" spans="17:18" ht="14.25" customHeight="1">
      <c r="Q313" s="14"/>
      <c r="R313" s="15"/>
    </row>
    <row r="314" spans="17:18" ht="14.25" customHeight="1">
      <c r="Q314" s="14"/>
      <c r="R314" s="15"/>
    </row>
    <row r="315" spans="17:18" ht="14.25" customHeight="1">
      <c r="Q315" s="14"/>
      <c r="R315" s="15"/>
    </row>
    <row r="316" spans="17:18" ht="14.25" customHeight="1">
      <c r="Q316" s="14"/>
      <c r="R316" s="15"/>
    </row>
    <row r="317" spans="17:18" ht="14.25" customHeight="1">
      <c r="Q317" s="14"/>
      <c r="R317" s="15"/>
    </row>
    <row r="318" spans="17:18" ht="14.25" customHeight="1">
      <c r="Q318" s="14"/>
      <c r="R318" s="15"/>
    </row>
    <row r="319" spans="17:18" ht="14.25" customHeight="1">
      <c r="Q319" s="14"/>
      <c r="R319" s="15"/>
    </row>
    <row r="320" spans="17:18" ht="14.25" customHeight="1">
      <c r="Q320" s="14"/>
      <c r="R320" s="15"/>
    </row>
    <row r="321" spans="17:18" ht="14.25" customHeight="1">
      <c r="Q321" s="14"/>
      <c r="R321" s="15"/>
    </row>
    <row r="322" spans="17:18" ht="14.25" customHeight="1">
      <c r="Q322" s="14"/>
      <c r="R322" s="15"/>
    </row>
    <row r="323" spans="17:18" ht="14.25" customHeight="1">
      <c r="Q323" s="14"/>
      <c r="R323" s="15"/>
    </row>
    <row r="324" spans="17:18" ht="14.25" customHeight="1">
      <c r="Q324" s="14"/>
      <c r="R324" s="15"/>
    </row>
    <row r="325" spans="17:18" ht="14.25" customHeight="1">
      <c r="Q325" s="14"/>
      <c r="R325" s="15"/>
    </row>
    <row r="326" spans="17:18" ht="14.25" customHeight="1">
      <c r="Q326" s="14"/>
      <c r="R326" s="15"/>
    </row>
    <row r="327" spans="17:18" ht="14.25" customHeight="1">
      <c r="Q327" s="14"/>
      <c r="R327" s="15"/>
    </row>
    <row r="328" spans="17:18" ht="14.25" customHeight="1">
      <c r="Q328" s="14"/>
      <c r="R328" s="15"/>
    </row>
    <row r="329" spans="17:18" ht="14.25" customHeight="1">
      <c r="Q329" s="14"/>
      <c r="R329" s="15"/>
    </row>
    <row r="330" spans="17:18" ht="14.25" customHeight="1">
      <c r="Q330" s="14"/>
      <c r="R330" s="15"/>
    </row>
    <row r="331" spans="17:18" ht="14.25" customHeight="1">
      <c r="Q331" s="14"/>
      <c r="R331" s="15"/>
    </row>
    <row r="332" spans="17:18" ht="14.25" customHeight="1">
      <c r="Q332" s="14"/>
      <c r="R332" s="15"/>
    </row>
    <row r="333" spans="17:18" ht="14.25" customHeight="1">
      <c r="Q333" s="14"/>
      <c r="R333" s="15"/>
    </row>
    <row r="334" spans="17:18" ht="14.25" customHeight="1">
      <c r="Q334" s="14"/>
      <c r="R334" s="15"/>
    </row>
    <row r="335" spans="17:18" ht="14.25" customHeight="1">
      <c r="Q335" s="14"/>
      <c r="R335" s="15"/>
    </row>
    <row r="336" spans="17:18" ht="14.25" customHeight="1">
      <c r="Q336" s="14"/>
      <c r="R336" s="15"/>
    </row>
    <row r="337" spans="17:18" ht="14.25" customHeight="1">
      <c r="Q337" s="14"/>
      <c r="R337" s="15"/>
    </row>
    <row r="338" spans="17:18" ht="14.25" customHeight="1">
      <c r="Q338" s="14"/>
      <c r="R338" s="15"/>
    </row>
    <row r="339" spans="17:18" ht="14.25" customHeight="1">
      <c r="Q339" s="14"/>
      <c r="R339" s="15"/>
    </row>
    <row r="340" spans="17:18" ht="14.25" customHeight="1">
      <c r="Q340" s="14"/>
      <c r="R340" s="15"/>
    </row>
    <row r="341" spans="17:18" ht="14.25" customHeight="1">
      <c r="Q341" s="14"/>
      <c r="R341" s="15"/>
    </row>
    <row r="342" spans="17:18" ht="14.25" customHeight="1">
      <c r="Q342" s="14"/>
      <c r="R342" s="15"/>
    </row>
    <row r="343" spans="17:18" ht="14.25" customHeight="1">
      <c r="Q343" s="14"/>
      <c r="R343" s="15"/>
    </row>
    <row r="344" spans="17:18" ht="14.25" customHeight="1">
      <c r="Q344" s="14"/>
      <c r="R344" s="15"/>
    </row>
    <row r="345" spans="17:18" ht="14.25" customHeight="1">
      <c r="Q345" s="14"/>
      <c r="R345" s="15"/>
    </row>
    <row r="346" spans="17:18" ht="14.25" customHeight="1">
      <c r="Q346" s="14"/>
      <c r="R346" s="15"/>
    </row>
    <row r="347" spans="17:18" ht="14.25" customHeight="1">
      <c r="Q347" s="14"/>
      <c r="R347" s="15"/>
    </row>
    <row r="348" spans="17:18" ht="14.25" customHeight="1">
      <c r="Q348" s="14"/>
      <c r="R348" s="15"/>
    </row>
    <row r="349" spans="17:18" ht="14.25" customHeight="1">
      <c r="Q349" s="14"/>
      <c r="R349" s="15"/>
    </row>
    <row r="350" spans="17:18" ht="14.25" customHeight="1">
      <c r="Q350" s="14"/>
      <c r="R350" s="15"/>
    </row>
    <row r="351" spans="17:18" ht="14.25" customHeight="1">
      <c r="Q351" s="14"/>
      <c r="R351" s="15"/>
    </row>
    <row r="352" spans="17:18" ht="14.25" customHeight="1">
      <c r="Q352" s="14"/>
      <c r="R352" s="15"/>
    </row>
    <row r="353" spans="17:18" ht="14.25" customHeight="1">
      <c r="Q353" s="14"/>
      <c r="R353" s="15"/>
    </row>
    <row r="354" spans="17:18" ht="14.25" customHeight="1">
      <c r="Q354" s="14"/>
      <c r="R354" s="15"/>
    </row>
    <row r="355" spans="17:18" ht="14.25" customHeight="1">
      <c r="Q355" s="14"/>
      <c r="R355" s="15"/>
    </row>
    <row r="356" spans="17:18" ht="14.25" customHeight="1">
      <c r="Q356" s="14"/>
      <c r="R356" s="15"/>
    </row>
    <row r="357" spans="17:18" ht="14.25" customHeight="1">
      <c r="Q357" s="14"/>
      <c r="R357" s="15"/>
    </row>
    <row r="358" spans="17:18" ht="14.25" customHeight="1">
      <c r="Q358" s="14"/>
      <c r="R358" s="15"/>
    </row>
    <row r="359" spans="17:18" ht="14.25" customHeight="1">
      <c r="Q359" s="14"/>
      <c r="R359" s="15"/>
    </row>
    <row r="360" spans="17:18" ht="14.25" customHeight="1">
      <c r="Q360" s="14"/>
      <c r="R360" s="15"/>
    </row>
    <row r="361" spans="17:18" ht="14.25" customHeight="1">
      <c r="Q361" s="14"/>
      <c r="R361" s="15"/>
    </row>
    <row r="362" spans="17:18" ht="14.25" customHeight="1">
      <c r="Q362" s="14"/>
      <c r="R362" s="15"/>
    </row>
    <row r="363" spans="17:18" ht="14.25" customHeight="1">
      <c r="Q363" s="14"/>
      <c r="R363" s="15"/>
    </row>
    <row r="364" spans="17:18" ht="14.25" customHeight="1">
      <c r="Q364" s="14"/>
      <c r="R364" s="15"/>
    </row>
    <row r="365" spans="17:18" ht="14.25" customHeight="1">
      <c r="Q365" s="14"/>
      <c r="R365" s="15"/>
    </row>
    <row r="366" spans="17:18" ht="14.25" customHeight="1">
      <c r="Q366" s="14"/>
      <c r="R366" s="15"/>
    </row>
    <row r="367" spans="17:18" ht="14.25" customHeight="1">
      <c r="Q367" s="14"/>
      <c r="R367" s="15"/>
    </row>
    <row r="368" spans="17:18" ht="14.25" customHeight="1">
      <c r="Q368" s="14"/>
      <c r="R368" s="15"/>
    </row>
    <row r="369" spans="17:18" ht="14.25" customHeight="1">
      <c r="Q369" s="14"/>
      <c r="R369" s="15"/>
    </row>
    <row r="370" spans="17:18" ht="14.25" customHeight="1">
      <c r="Q370" s="14"/>
      <c r="R370" s="15"/>
    </row>
    <row r="371" spans="17:18" ht="14.25" customHeight="1">
      <c r="Q371" s="14"/>
      <c r="R371" s="15"/>
    </row>
    <row r="372" spans="17:18" ht="14.25" customHeight="1">
      <c r="Q372" s="14"/>
      <c r="R372" s="15"/>
    </row>
    <row r="373" spans="17:18" ht="14.25" customHeight="1">
      <c r="Q373" s="14"/>
      <c r="R373" s="15"/>
    </row>
    <row r="374" spans="17:18" ht="14.25" customHeight="1">
      <c r="Q374" s="14"/>
      <c r="R374" s="15"/>
    </row>
    <row r="375" spans="17:18" ht="14.25" customHeight="1">
      <c r="Q375" s="14"/>
      <c r="R375" s="15"/>
    </row>
    <row r="376" spans="17:18" ht="14.25" customHeight="1">
      <c r="Q376" s="14"/>
      <c r="R376" s="15"/>
    </row>
    <row r="377" spans="17:18" ht="14.25" customHeight="1">
      <c r="Q377" s="14"/>
      <c r="R377" s="15"/>
    </row>
    <row r="378" spans="17:18" ht="14.25" customHeight="1">
      <c r="Q378" s="14"/>
      <c r="R378" s="15"/>
    </row>
    <row r="379" spans="17:18" ht="14.25" customHeight="1">
      <c r="Q379" s="14"/>
      <c r="R379" s="15"/>
    </row>
    <row r="380" spans="17:18" ht="14.25" customHeight="1">
      <c r="Q380" s="14"/>
      <c r="R380" s="15"/>
    </row>
    <row r="381" spans="17:18" ht="14.25" customHeight="1">
      <c r="Q381" s="14"/>
      <c r="R381" s="15"/>
    </row>
    <row r="382" spans="17:18" ht="14.25" customHeight="1">
      <c r="Q382" s="14"/>
      <c r="R382" s="15"/>
    </row>
    <row r="383" spans="17:18" ht="14.25" customHeight="1">
      <c r="Q383" s="14"/>
      <c r="R383" s="15"/>
    </row>
    <row r="384" spans="17:18" ht="14.25" customHeight="1">
      <c r="Q384" s="14"/>
      <c r="R384" s="15"/>
    </row>
    <row r="385" spans="17:18" ht="14.25" customHeight="1">
      <c r="Q385" s="14"/>
      <c r="R385" s="15"/>
    </row>
    <row r="386" spans="17:18" ht="14.25" customHeight="1">
      <c r="Q386" s="14"/>
      <c r="R386" s="15"/>
    </row>
    <row r="387" spans="17:18" ht="14.25" customHeight="1">
      <c r="Q387" s="14"/>
      <c r="R387" s="15"/>
    </row>
    <row r="388" spans="17:18" ht="14.25" customHeight="1">
      <c r="Q388" s="14"/>
      <c r="R388" s="15"/>
    </row>
    <row r="389" spans="17:18" ht="14.25" customHeight="1">
      <c r="Q389" s="14"/>
      <c r="R389" s="15"/>
    </row>
    <row r="390" spans="17:18" ht="14.25" customHeight="1">
      <c r="Q390" s="14"/>
      <c r="R390" s="15"/>
    </row>
    <row r="391" spans="17:18" ht="14.25" customHeight="1">
      <c r="Q391" s="14"/>
      <c r="R391" s="15"/>
    </row>
    <row r="392" spans="17:18" ht="14.25" customHeight="1">
      <c r="Q392" s="14"/>
      <c r="R392" s="15"/>
    </row>
    <row r="393" spans="17:18" ht="14.25" customHeight="1">
      <c r="Q393" s="14"/>
      <c r="R393" s="15"/>
    </row>
    <row r="394" spans="17:18" ht="14.25" customHeight="1">
      <c r="Q394" s="14"/>
      <c r="R394" s="15"/>
    </row>
    <row r="395" spans="17:18" ht="14.25" customHeight="1">
      <c r="Q395" s="14"/>
      <c r="R395" s="15"/>
    </row>
    <row r="396" spans="17:18" ht="14.25" customHeight="1">
      <c r="Q396" s="14"/>
      <c r="R396" s="15"/>
    </row>
    <row r="397" spans="17:18" ht="14.25" customHeight="1">
      <c r="Q397" s="14"/>
      <c r="R397" s="15"/>
    </row>
    <row r="398" spans="17:18" ht="14.25" customHeight="1">
      <c r="Q398" s="14"/>
      <c r="R398" s="15"/>
    </row>
    <row r="399" spans="17:18" ht="14.25" customHeight="1">
      <c r="Q399" s="14"/>
      <c r="R399" s="15"/>
    </row>
    <row r="400" spans="17:18" ht="14.25" customHeight="1">
      <c r="Q400" s="14"/>
      <c r="R400" s="15"/>
    </row>
    <row r="401" spans="17:18" ht="14.25" customHeight="1">
      <c r="Q401" s="14"/>
      <c r="R401" s="15"/>
    </row>
    <row r="402" spans="17:18" ht="14.25" customHeight="1">
      <c r="Q402" s="14"/>
      <c r="R402" s="15"/>
    </row>
    <row r="403" spans="17:18" ht="14.25" customHeight="1">
      <c r="Q403" s="14"/>
      <c r="R403" s="15"/>
    </row>
    <row r="404" spans="17:18" ht="14.25" customHeight="1">
      <c r="Q404" s="14"/>
      <c r="R404" s="15"/>
    </row>
    <row r="405" spans="17:18" ht="14.25" customHeight="1">
      <c r="Q405" s="14"/>
      <c r="R405" s="15"/>
    </row>
    <row r="406" spans="17:18" ht="14.25" customHeight="1">
      <c r="Q406" s="14"/>
      <c r="R406" s="15"/>
    </row>
    <row r="407" spans="17:18" ht="14.25" customHeight="1">
      <c r="Q407" s="14"/>
      <c r="R407" s="15"/>
    </row>
    <row r="408" spans="17:18" ht="14.25" customHeight="1">
      <c r="Q408" s="14"/>
      <c r="R408" s="15"/>
    </row>
    <row r="409" spans="17:18" ht="14.25" customHeight="1">
      <c r="Q409" s="14"/>
      <c r="R409" s="15"/>
    </row>
    <row r="410" spans="17:18" ht="14.25" customHeight="1">
      <c r="Q410" s="14"/>
      <c r="R410" s="15"/>
    </row>
    <row r="411" spans="17:18" ht="14.25" customHeight="1">
      <c r="Q411" s="14"/>
      <c r="R411" s="15"/>
    </row>
    <row r="412" spans="17:18" ht="14.25" customHeight="1">
      <c r="Q412" s="14"/>
      <c r="R412" s="15"/>
    </row>
    <row r="413" spans="17:18" ht="14.25" customHeight="1">
      <c r="Q413" s="14"/>
      <c r="R413" s="15"/>
    </row>
    <row r="414" spans="17:18" ht="14.25" customHeight="1">
      <c r="Q414" s="14"/>
      <c r="R414" s="15"/>
    </row>
    <row r="415" spans="17:18" ht="14.25" customHeight="1">
      <c r="Q415" s="14"/>
      <c r="R415" s="15"/>
    </row>
    <row r="416" spans="17:18" ht="14.25" customHeight="1">
      <c r="Q416" s="14"/>
      <c r="R416" s="15"/>
    </row>
    <row r="417" spans="17:18" ht="14.25" customHeight="1">
      <c r="Q417" s="14"/>
      <c r="R417" s="15"/>
    </row>
    <row r="418" spans="17:18" ht="14.25" customHeight="1">
      <c r="Q418" s="14"/>
      <c r="R418" s="15"/>
    </row>
    <row r="419" spans="17:18" ht="14.25" customHeight="1">
      <c r="Q419" s="14"/>
      <c r="R419" s="15"/>
    </row>
    <row r="420" spans="17:18" ht="14.25" customHeight="1">
      <c r="Q420" s="14"/>
      <c r="R420" s="15"/>
    </row>
    <row r="421" spans="17:18" ht="14.25" customHeight="1">
      <c r="Q421" s="14"/>
      <c r="R421" s="15"/>
    </row>
    <row r="422" spans="17:18" ht="14.25" customHeight="1">
      <c r="Q422" s="14"/>
      <c r="R422" s="15"/>
    </row>
    <row r="423" spans="17:18" ht="14.25" customHeight="1">
      <c r="Q423" s="14"/>
      <c r="R423" s="15"/>
    </row>
    <row r="424" spans="17:18" ht="14.25" customHeight="1">
      <c r="Q424" s="14"/>
      <c r="R424" s="15"/>
    </row>
    <row r="425" spans="17:18" ht="14.25" customHeight="1">
      <c r="Q425" s="14"/>
      <c r="R425" s="15"/>
    </row>
    <row r="426" spans="17:18" ht="14.25" customHeight="1">
      <c r="Q426" s="14"/>
      <c r="R426" s="15"/>
    </row>
    <row r="427" spans="17:18" ht="14.25" customHeight="1">
      <c r="Q427" s="14"/>
      <c r="R427" s="15"/>
    </row>
    <row r="428" spans="17:18" ht="14.25" customHeight="1">
      <c r="Q428" s="14"/>
      <c r="R428" s="15"/>
    </row>
    <row r="429" spans="17:18" ht="14.25" customHeight="1">
      <c r="Q429" s="14"/>
      <c r="R429" s="15"/>
    </row>
    <row r="430" spans="17:18" ht="14.25" customHeight="1">
      <c r="Q430" s="14"/>
      <c r="R430" s="15"/>
    </row>
    <row r="431" spans="17:18" ht="14.25" customHeight="1">
      <c r="Q431" s="14"/>
      <c r="R431" s="15"/>
    </row>
    <row r="432" spans="17:18" ht="14.25" customHeight="1">
      <c r="Q432" s="14"/>
      <c r="R432" s="15"/>
    </row>
    <row r="433" spans="17:18" ht="14.25" customHeight="1">
      <c r="Q433" s="14"/>
      <c r="R433" s="15"/>
    </row>
    <row r="434" spans="17:18" ht="14.25" customHeight="1">
      <c r="Q434" s="14"/>
      <c r="R434" s="15"/>
    </row>
    <row r="435" spans="17:18" ht="14.25" customHeight="1">
      <c r="Q435" s="14"/>
      <c r="R435" s="15"/>
    </row>
    <row r="436" spans="17:18" ht="14.25" customHeight="1">
      <c r="Q436" s="14"/>
      <c r="R436" s="15"/>
    </row>
    <row r="437" spans="17:18" ht="14.25" customHeight="1">
      <c r="Q437" s="14"/>
      <c r="R437" s="15"/>
    </row>
    <row r="438" spans="17:18" ht="14.25" customHeight="1">
      <c r="Q438" s="14"/>
      <c r="R438" s="15"/>
    </row>
    <row r="439" spans="17:18" ht="14.25" customHeight="1">
      <c r="Q439" s="14"/>
      <c r="R439" s="15"/>
    </row>
    <row r="440" spans="17:18" ht="14.25" customHeight="1">
      <c r="Q440" s="14"/>
      <c r="R440" s="15"/>
    </row>
    <row r="441" spans="17:18" ht="14.25" customHeight="1">
      <c r="Q441" s="14"/>
      <c r="R441" s="15"/>
    </row>
    <row r="442" spans="17:18" ht="14.25" customHeight="1">
      <c r="Q442" s="14"/>
      <c r="R442" s="15"/>
    </row>
    <row r="443" spans="17:18" ht="14.25" customHeight="1">
      <c r="Q443" s="14"/>
      <c r="R443" s="15"/>
    </row>
    <row r="444" spans="17:18" ht="14.25" customHeight="1">
      <c r="Q444" s="14"/>
      <c r="R444" s="15"/>
    </row>
    <row r="445" spans="17:18" ht="14.25" customHeight="1">
      <c r="Q445" s="14"/>
      <c r="R445" s="15"/>
    </row>
    <row r="446" spans="17:18" ht="14.25" customHeight="1">
      <c r="Q446" s="14"/>
      <c r="R446" s="15"/>
    </row>
    <row r="447" spans="17:18" ht="14.25" customHeight="1">
      <c r="Q447" s="14"/>
      <c r="R447" s="15"/>
    </row>
    <row r="448" spans="17:18" ht="14.25" customHeight="1">
      <c r="Q448" s="14"/>
      <c r="R448" s="15"/>
    </row>
    <row r="449" spans="17:18" ht="14.25" customHeight="1">
      <c r="Q449" s="14"/>
      <c r="R449" s="15"/>
    </row>
    <row r="450" spans="17:18" ht="14.25" customHeight="1">
      <c r="Q450" s="14"/>
      <c r="R450" s="15"/>
    </row>
    <row r="451" spans="17:18" ht="14.25" customHeight="1">
      <c r="Q451" s="14"/>
      <c r="R451" s="15"/>
    </row>
    <row r="452" spans="17:18" ht="14.25" customHeight="1">
      <c r="Q452" s="14"/>
      <c r="R452" s="15"/>
    </row>
    <row r="453" spans="17:18" ht="14.25" customHeight="1">
      <c r="Q453" s="14"/>
      <c r="R453" s="15"/>
    </row>
    <row r="454" spans="17:18" ht="14.25" customHeight="1">
      <c r="Q454" s="14"/>
      <c r="R454" s="15"/>
    </row>
    <row r="455" spans="17:18" ht="14.25" customHeight="1">
      <c r="Q455" s="14"/>
      <c r="R455" s="15"/>
    </row>
    <row r="456" spans="17:18" ht="14.25" customHeight="1">
      <c r="Q456" s="14"/>
      <c r="R456" s="15"/>
    </row>
    <row r="457" spans="17:18" ht="14.25" customHeight="1">
      <c r="Q457" s="14"/>
      <c r="R457" s="15"/>
    </row>
    <row r="458" spans="17:18" ht="14.25" customHeight="1">
      <c r="Q458" s="14"/>
      <c r="R458" s="15"/>
    </row>
    <row r="459" spans="17:18" ht="14.25" customHeight="1">
      <c r="Q459" s="14"/>
      <c r="R459" s="15"/>
    </row>
    <row r="460" spans="17:18" ht="14.25" customHeight="1">
      <c r="Q460" s="14"/>
      <c r="R460" s="15"/>
    </row>
    <row r="461" spans="17:18" ht="14.25" customHeight="1">
      <c r="Q461" s="14"/>
      <c r="R461" s="15"/>
    </row>
    <row r="462" spans="17:18" ht="14.25" customHeight="1">
      <c r="Q462" s="14"/>
      <c r="R462" s="15"/>
    </row>
    <row r="463" spans="17:18" ht="14.25" customHeight="1">
      <c r="Q463" s="14"/>
      <c r="R463" s="15"/>
    </row>
    <row r="464" spans="17:18" ht="14.25" customHeight="1">
      <c r="Q464" s="14"/>
      <c r="R464" s="15"/>
    </row>
    <row r="465" spans="17:18" ht="14.25" customHeight="1">
      <c r="Q465" s="14"/>
      <c r="R465" s="15"/>
    </row>
    <row r="466" spans="17:18" ht="14.25" customHeight="1">
      <c r="Q466" s="14"/>
      <c r="R466" s="15"/>
    </row>
    <row r="467" spans="17:18" ht="14.25" customHeight="1">
      <c r="Q467" s="14"/>
      <c r="R467" s="15"/>
    </row>
    <row r="468" spans="17:18" ht="14.25" customHeight="1">
      <c r="Q468" s="14"/>
      <c r="R468" s="15"/>
    </row>
    <row r="469" spans="17:18" ht="14.25" customHeight="1">
      <c r="Q469" s="14"/>
      <c r="R469" s="15"/>
    </row>
    <row r="470" spans="17:18" ht="14.25" customHeight="1">
      <c r="Q470" s="14"/>
      <c r="R470" s="15"/>
    </row>
    <row r="471" spans="17:18" ht="14.25" customHeight="1">
      <c r="Q471" s="14"/>
      <c r="R471" s="15"/>
    </row>
    <row r="472" spans="17:18" ht="14.25" customHeight="1">
      <c r="Q472" s="14"/>
      <c r="R472" s="15"/>
    </row>
    <row r="473" spans="17:18" ht="14.25" customHeight="1">
      <c r="Q473" s="14"/>
      <c r="R473" s="15"/>
    </row>
    <row r="474" spans="17:18" ht="14.25" customHeight="1">
      <c r="Q474" s="14"/>
      <c r="R474" s="15"/>
    </row>
    <row r="475" spans="17:18" ht="14.25" customHeight="1">
      <c r="Q475" s="14"/>
      <c r="R475" s="15"/>
    </row>
    <row r="476" spans="17:18" ht="14.25" customHeight="1">
      <c r="Q476" s="14"/>
      <c r="R476" s="15"/>
    </row>
    <row r="477" spans="17:18" ht="14.25" customHeight="1">
      <c r="Q477" s="14"/>
      <c r="R477" s="15"/>
    </row>
    <row r="478" spans="17:18" ht="14.25" customHeight="1">
      <c r="Q478" s="14"/>
      <c r="R478" s="15"/>
    </row>
    <row r="479" spans="17:18" ht="14.25" customHeight="1">
      <c r="Q479" s="14"/>
      <c r="R479" s="15"/>
    </row>
    <row r="480" spans="17:18" ht="14.25" customHeight="1">
      <c r="Q480" s="14"/>
      <c r="R480" s="15"/>
    </row>
    <row r="481" spans="17:18" ht="14.25" customHeight="1">
      <c r="Q481" s="14"/>
      <c r="R481" s="15"/>
    </row>
    <row r="482" spans="17:18" ht="14.25" customHeight="1">
      <c r="Q482" s="14"/>
      <c r="R482" s="15"/>
    </row>
    <row r="483" spans="17:18" ht="14.25" customHeight="1">
      <c r="Q483" s="14"/>
      <c r="R483" s="15"/>
    </row>
    <row r="484" spans="17:18" ht="14.25" customHeight="1">
      <c r="Q484" s="14"/>
      <c r="R484" s="15"/>
    </row>
    <row r="485" spans="17:18" ht="14.25" customHeight="1">
      <c r="Q485" s="14"/>
      <c r="R485" s="15"/>
    </row>
    <row r="486" spans="17:18" ht="14.25" customHeight="1">
      <c r="Q486" s="14"/>
      <c r="R486" s="15"/>
    </row>
    <row r="487" spans="17:18" ht="14.25" customHeight="1">
      <c r="Q487" s="14"/>
      <c r="R487" s="15"/>
    </row>
    <row r="488" spans="17:18" ht="14.25" customHeight="1">
      <c r="Q488" s="14"/>
      <c r="R488" s="15"/>
    </row>
    <row r="489" spans="17:18" ht="14.25" customHeight="1">
      <c r="Q489" s="14"/>
      <c r="R489" s="15"/>
    </row>
    <row r="490" spans="17:18" ht="14.25" customHeight="1">
      <c r="Q490" s="14"/>
      <c r="R490" s="15"/>
    </row>
    <row r="491" spans="17:18" ht="14.25" customHeight="1">
      <c r="Q491" s="14"/>
      <c r="R491" s="15"/>
    </row>
    <row r="492" spans="17:18" ht="14.25" customHeight="1">
      <c r="Q492" s="14"/>
      <c r="R492" s="15"/>
    </row>
    <row r="493" spans="17:18" ht="14.25" customHeight="1">
      <c r="Q493" s="14"/>
      <c r="R493" s="15"/>
    </row>
    <row r="494" spans="17:18" ht="14.25" customHeight="1">
      <c r="Q494" s="14"/>
      <c r="R494" s="15"/>
    </row>
    <row r="495" spans="17:18" ht="14.25" customHeight="1">
      <c r="Q495" s="14"/>
      <c r="R495" s="15"/>
    </row>
    <row r="496" spans="17:18" ht="14.25" customHeight="1">
      <c r="Q496" s="14"/>
      <c r="R496" s="15"/>
    </row>
    <row r="497" spans="17:18" ht="14.25" customHeight="1">
      <c r="Q497" s="14"/>
      <c r="R497" s="15"/>
    </row>
    <row r="498" spans="17:18" ht="14.25" customHeight="1">
      <c r="Q498" s="14"/>
      <c r="R498" s="15"/>
    </row>
    <row r="499" spans="17:18" ht="14.25" customHeight="1">
      <c r="Q499" s="14"/>
      <c r="R499" s="15"/>
    </row>
    <row r="500" spans="17:18" ht="14.25" customHeight="1">
      <c r="Q500" s="14"/>
      <c r="R500" s="15"/>
    </row>
    <row r="501" spans="17:18" ht="14.25" customHeight="1">
      <c r="Q501" s="14"/>
      <c r="R501" s="15"/>
    </row>
    <row r="502" spans="17:18" ht="14.25" customHeight="1">
      <c r="Q502" s="14"/>
      <c r="R502" s="15"/>
    </row>
    <row r="503" spans="17:18" ht="14.25" customHeight="1">
      <c r="Q503" s="14"/>
      <c r="R503" s="15"/>
    </row>
    <row r="504" spans="17:18" ht="14.25" customHeight="1">
      <c r="Q504" s="14"/>
      <c r="R504" s="15"/>
    </row>
    <row r="505" spans="17:18" ht="14.25" customHeight="1">
      <c r="Q505" s="14"/>
      <c r="R505" s="15"/>
    </row>
    <row r="506" spans="17:18" ht="14.25" customHeight="1">
      <c r="Q506" s="14"/>
      <c r="R506" s="15"/>
    </row>
    <row r="507" spans="17:18" ht="14.25" customHeight="1">
      <c r="Q507" s="14"/>
      <c r="R507" s="15"/>
    </row>
    <row r="508" spans="17:18" ht="14.25" customHeight="1">
      <c r="Q508" s="14"/>
      <c r="R508" s="15"/>
    </row>
    <row r="509" spans="17:18" ht="14.25" customHeight="1">
      <c r="Q509" s="14"/>
      <c r="R509" s="15"/>
    </row>
    <row r="510" spans="17:18" ht="14.25" customHeight="1">
      <c r="Q510" s="14"/>
      <c r="R510" s="15"/>
    </row>
    <row r="511" spans="17:18" ht="14.25" customHeight="1">
      <c r="Q511" s="14"/>
      <c r="R511" s="15"/>
    </row>
    <row r="512" spans="17:18" ht="14.25" customHeight="1">
      <c r="Q512" s="14"/>
      <c r="R512" s="15"/>
    </row>
    <row r="513" spans="17:18" ht="14.25" customHeight="1">
      <c r="Q513" s="14"/>
      <c r="R513" s="15"/>
    </row>
    <row r="514" spans="17:18" ht="14.25" customHeight="1">
      <c r="Q514" s="14"/>
      <c r="R514" s="15"/>
    </row>
    <row r="515" spans="17:18" ht="14.25" customHeight="1">
      <c r="Q515" s="14"/>
      <c r="R515" s="15"/>
    </row>
    <row r="516" spans="17:18" ht="14.25" customHeight="1">
      <c r="Q516" s="14"/>
      <c r="R516" s="15"/>
    </row>
    <row r="517" spans="17:18" ht="14.25" customHeight="1">
      <c r="Q517" s="14"/>
      <c r="R517" s="15"/>
    </row>
    <row r="518" spans="17:18" ht="14.25" customHeight="1">
      <c r="Q518" s="14"/>
      <c r="R518" s="15"/>
    </row>
    <row r="519" spans="17:18" ht="14.25" customHeight="1">
      <c r="Q519" s="14"/>
      <c r="R519" s="15"/>
    </row>
    <row r="520" spans="17:18" ht="14.25" customHeight="1">
      <c r="Q520" s="14"/>
      <c r="R520" s="15"/>
    </row>
    <row r="521" spans="17:18" ht="14.25" customHeight="1">
      <c r="Q521" s="14"/>
      <c r="R521" s="15"/>
    </row>
    <row r="522" spans="17:18" ht="14.25" customHeight="1">
      <c r="Q522" s="14"/>
      <c r="R522" s="15"/>
    </row>
    <row r="523" spans="17:18" ht="14.25" customHeight="1">
      <c r="Q523" s="14"/>
      <c r="R523" s="15"/>
    </row>
    <row r="524" spans="17:18" ht="14.25" customHeight="1">
      <c r="Q524" s="14"/>
      <c r="R524" s="15"/>
    </row>
    <row r="525" spans="17:18" ht="14.25" customHeight="1">
      <c r="Q525" s="14"/>
      <c r="R525" s="15"/>
    </row>
    <row r="526" spans="17:18" ht="14.25" customHeight="1">
      <c r="Q526" s="14"/>
      <c r="R526" s="15"/>
    </row>
    <row r="527" spans="17:18" ht="14.25" customHeight="1">
      <c r="Q527" s="14"/>
      <c r="R527" s="15"/>
    </row>
    <row r="528" spans="17:18" ht="14.25" customHeight="1">
      <c r="Q528" s="14"/>
      <c r="R528" s="15"/>
    </row>
    <row r="529" spans="17:18" ht="14.25" customHeight="1">
      <c r="Q529" s="14"/>
      <c r="R529" s="15"/>
    </row>
    <row r="530" spans="17:18" ht="14.25" customHeight="1">
      <c r="Q530" s="14"/>
      <c r="R530" s="15"/>
    </row>
    <row r="531" spans="17:18" ht="14.25" customHeight="1">
      <c r="Q531" s="14"/>
      <c r="R531" s="15"/>
    </row>
    <row r="532" spans="17:18" ht="14.25" customHeight="1">
      <c r="Q532" s="14"/>
      <c r="R532" s="15"/>
    </row>
    <row r="533" spans="17:18" ht="14.25" customHeight="1">
      <c r="Q533" s="14"/>
      <c r="R533" s="15"/>
    </row>
    <row r="534" spans="17:18" ht="14.25" customHeight="1">
      <c r="Q534" s="14"/>
      <c r="R534" s="15"/>
    </row>
    <row r="535" spans="17:18" ht="14.25" customHeight="1">
      <c r="Q535" s="14"/>
      <c r="R535" s="15"/>
    </row>
    <row r="536" spans="17:18" ht="14.25" customHeight="1">
      <c r="Q536" s="14"/>
      <c r="R536" s="15"/>
    </row>
    <row r="537" spans="17:18" ht="14.25" customHeight="1">
      <c r="Q537" s="14"/>
      <c r="R537" s="15"/>
    </row>
    <row r="538" spans="17:18" ht="14.25" customHeight="1">
      <c r="Q538" s="14"/>
      <c r="R538" s="15"/>
    </row>
    <row r="539" spans="17:18" ht="14.25" customHeight="1">
      <c r="Q539" s="14"/>
      <c r="R539" s="15"/>
    </row>
    <row r="540" spans="17:18" ht="14.25" customHeight="1">
      <c r="Q540" s="14"/>
      <c r="R540" s="15"/>
    </row>
    <row r="541" spans="17:18" ht="14.25" customHeight="1">
      <c r="Q541" s="14"/>
      <c r="R541" s="15"/>
    </row>
    <row r="542" spans="17:18" ht="14.25" customHeight="1">
      <c r="Q542" s="14"/>
      <c r="R542" s="15"/>
    </row>
    <row r="543" spans="17:18" ht="14.25" customHeight="1">
      <c r="Q543" s="14"/>
      <c r="R543" s="15"/>
    </row>
    <row r="544" spans="17:18" ht="14.25" customHeight="1">
      <c r="Q544" s="14"/>
      <c r="R544" s="15"/>
    </row>
    <row r="545" spans="17:18" ht="14.25" customHeight="1">
      <c r="Q545" s="14"/>
      <c r="R545" s="15"/>
    </row>
    <row r="546" spans="17:18" ht="14.25" customHeight="1">
      <c r="Q546" s="14"/>
      <c r="R546" s="15"/>
    </row>
    <row r="547" spans="17:18" ht="14.25" customHeight="1">
      <c r="Q547" s="14"/>
      <c r="R547" s="15"/>
    </row>
    <row r="548" spans="17:18" ht="14.25" customHeight="1">
      <c r="Q548" s="14"/>
      <c r="R548" s="15"/>
    </row>
    <row r="549" spans="17:18" ht="14.25" customHeight="1">
      <c r="Q549" s="14"/>
      <c r="R549" s="15"/>
    </row>
    <row r="550" spans="17:18" ht="14.25" customHeight="1">
      <c r="Q550" s="14"/>
      <c r="R550" s="15"/>
    </row>
    <row r="551" spans="17:18" ht="14.25" customHeight="1">
      <c r="Q551" s="14"/>
      <c r="R551" s="15"/>
    </row>
    <row r="552" spans="17:18" ht="14.25" customHeight="1">
      <c r="Q552" s="14"/>
      <c r="R552" s="15"/>
    </row>
    <row r="553" spans="17:18" ht="14.25" customHeight="1">
      <c r="Q553" s="14"/>
      <c r="R553" s="15"/>
    </row>
    <row r="554" spans="17:18" ht="14.25" customHeight="1">
      <c r="Q554" s="14"/>
      <c r="R554" s="15"/>
    </row>
    <row r="555" spans="17:18" ht="14.25" customHeight="1">
      <c r="Q555" s="14"/>
      <c r="R555" s="15"/>
    </row>
    <row r="556" spans="17:18" ht="14.25" customHeight="1">
      <c r="Q556" s="14"/>
      <c r="R556" s="15"/>
    </row>
    <row r="557" spans="17:18" ht="14.25" customHeight="1">
      <c r="Q557" s="14"/>
      <c r="R557" s="15"/>
    </row>
    <row r="558" spans="17:18" ht="14.25" customHeight="1">
      <c r="Q558" s="14"/>
      <c r="R558" s="15"/>
    </row>
    <row r="559" spans="17:18" ht="14.25" customHeight="1">
      <c r="Q559" s="14"/>
      <c r="R559" s="15"/>
    </row>
    <row r="560" spans="17:18" ht="14.25" customHeight="1">
      <c r="Q560" s="14"/>
      <c r="R560" s="15"/>
    </row>
    <row r="561" spans="17:18" ht="14.25" customHeight="1">
      <c r="Q561" s="14"/>
      <c r="R561" s="15"/>
    </row>
    <row r="562" spans="17:18" ht="14.25" customHeight="1">
      <c r="Q562" s="14"/>
      <c r="R562" s="15"/>
    </row>
    <row r="563" spans="17:18" ht="14.25" customHeight="1">
      <c r="Q563" s="14"/>
      <c r="R563" s="15"/>
    </row>
    <row r="564" spans="17:18" ht="14.25" customHeight="1">
      <c r="Q564" s="14"/>
      <c r="R564" s="15"/>
    </row>
    <row r="565" spans="17:18" ht="14.25" customHeight="1">
      <c r="Q565" s="14"/>
      <c r="R565" s="15"/>
    </row>
    <row r="566" spans="17:18" ht="14.25" customHeight="1">
      <c r="Q566" s="14"/>
      <c r="R566" s="15"/>
    </row>
    <row r="567" spans="17:18" ht="14.25" customHeight="1">
      <c r="Q567" s="14"/>
      <c r="R567" s="15"/>
    </row>
    <row r="568" spans="17:18" ht="14.25" customHeight="1">
      <c r="Q568" s="14"/>
      <c r="R568" s="15"/>
    </row>
    <row r="569" spans="17:18" ht="14.25" customHeight="1">
      <c r="Q569" s="14"/>
      <c r="R569" s="15"/>
    </row>
    <row r="570" spans="17:18" ht="14.25" customHeight="1">
      <c r="Q570" s="14"/>
      <c r="R570" s="15"/>
    </row>
    <row r="571" spans="17:18" ht="14.25" customHeight="1">
      <c r="Q571" s="14"/>
      <c r="R571" s="15"/>
    </row>
    <row r="572" spans="17:18" ht="14.25" customHeight="1">
      <c r="Q572" s="14"/>
      <c r="R572" s="15"/>
    </row>
    <row r="573" spans="17:18" ht="14.25" customHeight="1">
      <c r="Q573" s="14"/>
      <c r="R573" s="15"/>
    </row>
    <row r="574" spans="17:18" ht="14.25" customHeight="1">
      <c r="Q574" s="14"/>
      <c r="R574" s="15"/>
    </row>
    <row r="575" spans="17:18" ht="14.25" customHeight="1">
      <c r="Q575" s="14"/>
      <c r="R575" s="15"/>
    </row>
    <row r="576" spans="17:18" ht="14.25" customHeight="1">
      <c r="Q576" s="14"/>
      <c r="R576" s="15"/>
    </row>
    <row r="577" spans="17:18" ht="14.25" customHeight="1">
      <c r="Q577" s="14"/>
      <c r="R577" s="15"/>
    </row>
    <row r="578" spans="17:18" ht="14.25" customHeight="1">
      <c r="Q578" s="14"/>
      <c r="R578" s="15"/>
    </row>
    <row r="579" spans="17:18" ht="14.25" customHeight="1">
      <c r="Q579" s="14"/>
      <c r="R579" s="15"/>
    </row>
    <row r="580" spans="17:18" ht="14.25" customHeight="1">
      <c r="Q580" s="14"/>
      <c r="R580" s="15"/>
    </row>
    <row r="581" spans="17:18" ht="14.25" customHeight="1">
      <c r="Q581" s="14"/>
      <c r="R581" s="15"/>
    </row>
    <row r="582" spans="17:18" ht="14.25" customHeight="1">
      <c r="Q582" s="14"/>
      <c r="R582" s="15"/>
    </row>
    <row r="583" spans="17:18" ht="14.25" customHeight="1">
      <c r="Q583" s="14"/>
      <c r="R583" s="15"/>
    </row>
    <row r="584" spans="17:18" ht="14.25" customHeight="1">
      <c r="Q584" s="14"/>
      <c r="R584" s="15"/>
    </row>
    <row r="585" spans="17:18" ht="14.25" customHeight="1">
      <c r="Q585" s="14"/>
      <c r="R585" s="15"/>
    </row>
    <row r="586" spans="17:18" ht="14.25" customHeight="1">
      <c r="Q586" s="14"/>
      <c r="R586" s="15"/>
    </row>
    <row r="587" spans="17:18" ht="14.25" customHeight="1">
      <c r="Q587" s="14"/>
      <c r="R587" s="15"/>
    </row>
    <row r="588" spans="17:18" ht="14.25" customHeight="1">
      <c r="Q588" s="14"/>
      <c r="R588" s="15"/>
    </row>
    <row r="589" spans="17:18" ht="14.25" customHeight="1">
      <c r="Q589" s="14"/>
      <c r="R589" s="15"/>
    </row>
    <row r="590" spans="17:18" ht="14.25" customHeight="1">
      <c r="Q590" s="14"/>
      <c r="R590" s="15"/>
    </row>
    <row r="591" spans="17:18" ht="14.25" customHeight="1">
      <c r="Q591" s="14"/>
      <c r="R591" s="15"/>
    </row>
    <row r="592" spans="17:18" ht="14.25" customHeight="1">
      <c r="Q592" s="14"/>
      <c r="R592" s="15"/>
    </row>
    <row r="593" spans="17:18" ht="14.25" customHeight="1">
      <c r="Q593" s="14"/>
      <c r="R593" s="15"/>
    </row>
    <row r="594" spans="17:18" ht="14.25" customHeight="1">
      <c r="Q594" s="14"/>
      <c r="R594" s="15"/>
    </row>
    <row r="595" spans="17:18" ht="14.25" customHeight="1">
      <c r="Q595" s="14"/>
      <c r="R595" s="15"/>
    </row>
    <row r="596" spans="17:18" ht="14.25" customHeight="1">
      <c r="Q596" s="14"/>
      <c r="R596" s="15"/>
    </row>
    <row r="597" spans="17:18" ht="14.25" customHeight="1">
      <c r="Q597" s="14"/>
      <c r="R597" s="15"/>
    </row>
    <row r="598" spans="17:18" ht="14.25" customHeight="1">
      <c r="Q598" s="14"/>
      <c r="R598" s="15"/>
    </row>
    <row r="599" spans="17:18" ht="14.25" customHeight="1">
      <c r="Q599" s="14"/>
      <c r="R599" s="15"/>
    </row>
    <row r="600" spans="17:18" ht="14.25" customHeight="1">
      <c r="Q600" s="14"/>
      <c r="R600" s="15"/>
    </row>
    <row r="601" spans="17:18" ht="14.25" customHeight="1">
      <c r="Q601" s="14"/>
      <c r="R601" s="15"/>
    </row>
    <row r="602" spans="17:18" ht="14.25" customHeight="1">
      <c r="Q602" s="14"/>
      <c r="R602" s="15"/>
    </row>
    <row r="603" spans="17:18" ht="14.25" customHeight="1">
      <c r="Q603" s="14"/>
      <c r="R603" s="15"/>
    </row>
    <row r="604" spans="17:18" ht="14.25" customHeight="1">
      <c r="Q604" s="14"/>
      <c r="R604" s="15"/>
    </row>
    <row r="605" spans="17:18" ht="14.25" customHeight="1">
      <c r="Q605" s="14"/>
      <c r="R605" s="15"/>
    </row>
    <row r="606" spans="17:18" ht="14.25" customHeight="1">
      <c r="Q606" s="14"/>
      <c r="R606" s="15"/>
    </row>
    <row r="607" spans="17:18" ht="14.25" customHeight="1">
      <c r="Q607" s="14"/>
      <c r="R607" s="15"/>
    </row>
    <row r="608" spans="17:18" ht="14.25" customHeight="1">
      <c r="Q608" s="14"/>
      <c r="R608" s="15"/>
    </row>
    <row r="609" spans="17:18" ht="14.25" customHeight="1">
      <c r="Q609" s="14"/>
      <c r="R609" s="15"/>
    </row>
    <row r="610" spans="17:18" ht="14.25" customHeight="1">
      <c r="Q610" s="14"/>
      <c r="R610" s="15"/>
    </row>
    <row r="611" spans="17:18" ht="14.25" customHeight="1">
      <c r="Q611" s="14"/>
      <c r="R611" s="15"/>
    </row>
    <row r="612" spans="17:18" ht="14.25" customHeight="1">
      <c r="Q612" s="14"/>
      <c r="R612" s="15"/>
    </row>
    <row r="613" spans="17:18" ht="14.25" customHeight="1">
      <c r="Q613" s="14"/>
      <c r="R613" s="15"/>
    </row>
    <row r="614" spans="17:18" ht="14.25" customHeight="1">
      <c r="Q614" s="14"/>
      <c r="R614" s="15"/>
    </row>
    <row r="615" spans="17:18" ht="14.25" customHeight="1">
      <c r="Q615" s="14"/>
      <c r="R615" s="15"/>
    </row>
    <row r="616" spans="17:18" ht="14.25" customHeight="1">
      <c r="Q616" s="14"/>
      <c r="R616" s="15"/>
    </row>
    <row r="617" spans="17:18" ht="14.25" customHeight="1">
      <c r="Q617" s="14"/>
      <c r="R617" s="15"/>
    </row>
    <row r="618" spans="17:18" ht="14.25" customHeight="1">
      <c r="Q618" s="14"/>
      <c r="R618" s="15"/>
    </row>
    <row r="619" spans="17:18" ht="14.25" customHeight="1">
      <c r="Q619" s="14"/>
      <c r="R619" s="15"/>
    </row>
    <row r="620" spans="17:18" ht="14.25" customHeight="1">
      <c r="Q620" s="14"/>
      <c r="R620" s="15"/>
    </row>
    <row r="621" spans="17:18" ht="14.25" customHeight="1">
      <c r="Q621" s="14"/>
      <c r="R621" s="15"/>
    </row>
    <row r="622" spans="17:18" ht="14.25" customHeight="1">
      <c r="Q622" s="14"/>
      <c r="R622" s="15"/>
    </row>
    <row r="623" spans="17:18" ht="14.25" customHeight="1">
      <c r="Q623" s="14"/>
      <c r="R623" s="15"/>
    </row>
    <row r="624" spans="17:18" ht="14.25" customHeight="1">
      <c r="Q624" s="14"/>
      <c r="R624" s="15"/>
    </row>
    <row r="625" spans="17:18" ht="14.25" customHeight="1">
      <c r="Q625" s="14"/>
      <c r="R625" s="15"/>
    </row>
    <row r="626" spans="17:18" ht="14.25" customHeight="1">
      <c r="Q626" s="14"/>
      <c r="R626" s="15"/>
    </row>
    <row r="627" spans="17:18" ht="14.25" customHeight="1">
      <c r="Q627" s="14"/>
      <c r="R627" s="15"/>
    </row>
    <row r="628" spans="17:18" ht="14.25" customHeight="1">
      <c r="Q628" s="14"/>
      <c r="R628" s="15"/>
    </row>
    <row r="629" spans="17:18" ht="14.25" customHeight="1">
      <c r="Q629" s="14"/>
      <c r="R629" s="15"/>
    </row>
    <row r="630" spans="17:18" ht="14.25" customHeight="1">
      <c r="Q630" s="14"/>
      <c r="R630" s="15"/>
    </row>
    <row r="631" spans="17:18" ht="14.25" customHeight="1">
      <c r="Q631" s="14"/>
      <c r="R631" s="15"/>
    </row>
    <row r="632" spans="17:18" ht="14.25" customHeight="1">
      <c r="Q632" s="14"/>
      <c r="R632" s="15"/>
    </row>
    <row r="633" spans="17:18" ht="14.25" customHeight="1">
      <c r="Q633" s="14"/>
      <c r="R633" s="15"/>
    </row>
    <row r="634" spans="17:18" ht="14.25" customHeight="1">
      <c r="Q634" s="14"/>
      <c r="R634" s="15"/>
    </row>
    <row r="635" spans="17:18" ht="14.25" customHeight="1">
      <c r="Q635" s="14"/>
      <c r="R635" s="15"/>
    </row>
    <row r="636" spans="17:18" ht="14.25" customHeight="1">
      <c r="Q636" s="14"/>
      <c r="R636" s="15"/>
    </row>
    <row r="637" spans="17:18" ht="14.25" customHeight="1">
      <c r="Q637" s="14"/>
      <c r="R637" s="15"/>
    </row>
    <row r="638" spans="17:18" ht="14.25" customHeight="1">
      <c r="Q638" s="14"/>
      <c r="R638" s="15"/>
    </row>
    <row r="639" spans="17:18" ht="14.25" customHeight="1">
      <c r="Q639" s="14"/>
      <c r="R639" s="15"/>
    </row>
    <row r="640" spans="17:18" ht="14.25" customHeight="1">
      <c r="Q640" s="14"/>
      <c r="R640" s="15"/>
    </row>
    <row r="641" spans="17:18" ht="14.25" customHeight="1">
      <c r="Q641" s="14"/>
      <c r="R641" s="15"/>
    </row>
    <row r="642" spans="17:18" ht="14.25" customHeight="1">
      <c r="Q642" s="14"/>
      <c r="R642" s="15"/>
    </row>
    <row r="643" spans="17:18" ht="14.25" customHeight="1">
      <c r="Q643" s="14"/>
      <c r="R643" s="15"/>
    </row>
    <row r="644" spans="17:18" ht="14.25" customHeight="1">
      <c r="Q644" s="14"/>
      <c r="R644" s="15"/>
    </row>
    <row r="645" spans="17:18" ht="14.25" customHeight="1">
      <c r="Q645" s="14"/>
      <c r="R645" s="15"/>
    </row>
    <row r="646" spans="17:18" ht="14.25" customHeight="1">
      <c r="Q646" s="14"/>
      <c r="R646" s="15"/>
    </row>
    <row r="647" spans="17:18" ht="14.25" customHeight="1">
      <c r="Q647" s="14"/>
      <c r="R647" s="15"/>
    </row>
    <row r="648" spans="17:18" ht="14.25" customHeight="1">
      <c r="Q648" s="14"/>
      <c r="R648" s="15"/>
    </row>
    <row r="649" spans="17:18" ht="14.25" customHeight="1">
      <c r="Q649" s="14"/>
      <c r="R649" s="15"/>
    </row>
    <row r="650" spans="17:18" ht="14.25" customHeight="1">
      <c r="Q650" s="14"/>
      <c r="R650" s="15"/>
    </row>
    <row r="651" spans="17:18" ht="14.25" customHeight="1">
      <c r="Q651" s="14"/>
      <c r="R651" s="15"/>
    </row>
    <row r="652" spans="17:18" ht="14.25" customHeight="1">
      <c r="Q652" s="14"/>
      <c r="R652" s="15"/>
    </row>
    <row r="653" spans="17:18" ht="14.25" customHeight="1">
      <c r="Q653" s="14"/>
      <c r="R653" s="15"/>
    </row>
    <row r="654" spans="17:18" ht="14.25" customHeight="1">
      <c r="Q654" s="14"/>
      <c r="R654" s="15"/>
    </row>
    <row r="655" spans="17:18" ht="14.25" customHeight="1">
      <c r="Q655" s="14"/>
      <c r="R655" s="15"/>
    </row>
    <row r="656" spans="17:18" ht="14.25" customHeight="1">
      <c r="Q656" s="14"/>
      <c r="R656" s="15"/>
    </row>
    <row r="657" spans="17:18" ht="14.25" customHeight="1">
      <c r="Q657" s="14"/>
      <c r="R657" s="15"/>
    </row>
    <row r="658" spans="17:18" ht="14.25" customHeight="1">
      <c r="Q658" s="14"/>
      <c r="R658" s="15"/>
    </row>
    <row r="659" spans="17:18" ht="14.25" customHeight="1">
      <c r="Q659" s="14"/>
      <c r="R659" s="15"/>
    </row>
    <row r="660" spans="17:18" ht="14.25" customHeight="1">
      <c r="Q660" s="14"/>
      <c r="R660" s="15"/>
    </row>
    <row r="661" spans="17:18" ht="14.25" customHeight="1">
      <c r="Q661" s="14"/>
      <c r="R661" s="15"/>
    </row>
    <row r="662" spans="17:18" ht="14.25" customHeight="1">
      <c r="Q662" s="14"/>
      <c r="R662" s="15"/>
    </row>
    <row r="663" spans="17:18" ht="14.25" customHeight="1">
      <c r="Q663" s="14"/>
      <c r="R663" s="15"/>
    </row>
    <row r="664" spans="17:18" ht="14.25" customHeight="1">
      <c r="Q664" s="14"/>
      <c r="R664" s="15"/>
    </row>
    <row r="665" spans="17:18" ht="14.25" customHeight="1">
      <c r="Q665" s="14"/>
      <c r="R665" s="15"/>
    </row>
    <row r="666" spans="17:18" ht="14.25" customHeight="1">
      <c r="Q666" s="14"/>
      <c r="R666" s="15"/>
    </row>
    <row r="667" spans="17:18" ht="14.25" customHeight="1">
      <c r="Q667" s="14"/>
      <c r="R667" s="15"/>
    </row>
    <row r="668" spans="17:18" ht="14.25" customHeight="1">
      <c r="Q668" s="14"/>
      <c r="R668" s="15"/>
    </row>
    <row r="669" spans="17:18" ht="14.25" customHeight="1">
      <c r="Q669" s="14"/>
      <c r="R669" s="15"/>
    </row>
    <row r="670" spans="17:18" ht="14.25" customHeight="1">
      <c r="Q670" s="14"/>
      <c r="R670" s="15"/>
    </row>
    <row r="671" spans="17:18" ht="14.25" customHeight="1">
      <c r="Q671" s="14"/>
      <c r="R671" s="15"/>
    </row>
    <row r="672" spans="17:18" ht="14.25" customHeight="1">
      <c r="Q672" s="14"/>
      <c r="R672" s="15"/>
    </row>
    <row r="673" spans="17:18" ht="14.25" customHeight="1">
      <c r="Q673" s="14"/>
      <c r="R673" s="15"/>
    </row>
    <row r="674" spans="17:18" ht="14.25" customHeight="1">
      <c r="Q674" s="14"/>
      <c r="R674" s="15"/>
    </row>
    <row r="675" spans="17:18" ht="14.25" customHeight="1">
      <c r="Q675" s="14"/>
      <c r="R675" s="15"/>
    </row>
    <row r="676" spans="17:18" ht="14.25" customHeight="1">
      <c r="Q676" s="14"/>
      <c r="R676" s="15"/>
    </row>
    <row r="677" spans="17:18" ht="14.25" customHeight="1">
      <c r="Q677" s="14"/>
      <c r="R677" s="15"/>
    </row>
    <row r="678" spans="17:18" ht="14.25" customHeight="1">
      <c r="Q678" s="14"/>
      <c r="R678" s="15"/>
    </row>
    <row r="679" spans="17:18" ht="14.25" customHeight="1">
      <c r="Q679" s="14"/>
      <c r="R679" s="15"/>
    </row>
    <row r="680" spans="17:18" ht="14.25" customHeight="1">
      <c r="Q680" s="14"/>
      <c r="R680" s="15"/>
    </row>
    <row r="681" spans="17:18" ht="14.25" customHeight="1">
      <c r="Q681" s="14"/>
      <c r="R681" s="15"/>
    </row>
    <row r="682" spans="17:18" ht="14.25" customHeight="1">
      <c r="Q682" s="14"/>
      <c r="R682" s="15"/>
    </row>
    <row r="683" spans="17:18" ht="14.25" customHeight="1">
      <c r="Q683" s="14"/>
      <c r="R683" s="15"/>
    </row>
    <row r="684" spans="17:18" ht="14.25" customHeight="1">
      <c r="Q684" s="14"/>
      <c r="R684" s="15"/>
    </row>
    <row r="685" spans="17:18" ht="14.25" customHeight="1">
      <c r="Q685" s="14"/>
      <c r="R685" s="15"/>
    </row>
    <row r="686" spans="17:18" ht="14.25" customHeight="1">
      <c r="Q686" s="14"/>
      <c r="R686" s="15"/>
    </row>
    <row r="687" spans="17:18" ht="14.25" customHeight="1">
      <c r="Q687" s="14"/>
      <c r="R687" s="15"/>
    </row>
    <row r="688" spans="17:18" ht="14.25" customHeight="1">
      <c r="Q688" s="14"/>
      <c r="R688" s="15"/>
    </row>
    <row r="689" spans="17:18" ht="14.25" customHeight="1">
      <c r="Q689" s="14"/>
      <c r="R689" s="15"/>
    </row>
    <row r="690" spans="17:18" ht="14.25" customHeight="1">
      <c r="Q690" s="14"/>
      <c r="R690" s="15"/>
    </row>
    <row r="691" spans="17:18" ht="14.25" customHeight="1">
      <c r="Q691" s="14"/>
      <c r="R691" s="15"/>
    </row>
    <row r="692" spans="17:18" ht="14.25" customHeight="1">
      <c r="Q692" s="14"/>
      <c r="R692" s="15"/>
    </row>
    <row r="693" spans="17:18" ht="14.25" customHeight="1">
      <c r="Q693" s="14"/>
      <c r="R693" s="15"/>
    </row>
    <row r="694" spans="17:18" ht="14.25" customHeight="1">
      <c r="Q694" s="14"/>
      <c r="R694" s="15"/>
    </row>
    <row r="695" spans="17:18" ht="14.25" customHeight="1">
      <c r="Q695" s="14"/>
      <c r="R695" s="15"/>
    </row>
    <row r="696" spans="17:18" ht="14.25" customHeight="1">
      <c r="Q696" s="14"/>
      <c r="R696" s="15"/>
    </row>
    <row r="697" spans="17:18" ht="14.25" customHeight="1">
      <c r="Q697" s="14"/>
      <c r="R697" s="15"/>
    </row>
    <row r="698" spans="17:18" ht="14.25" customHeight="1">
      <c r="Q698" s="14"/>
      <c r="R698" s="15"/>
    </row>
    <row r="699" spans="17:18" ht="14.25" customHeight="1">
      <c r="Q699" s="14"/>
      <c r="R699" s="15"/>
    </row>
    <row r="700" spans="17:18" ht="14.25" customHeight="1">
      <c r="Q700" s="14"/>
      <c r="R700" s="15"/>
    </row>
    <row r="701" spans="17:18" ht="14.25" customHeight="1">
      <c r="Q701" s="14"/>
      <c r="R701" s="15"/>
    </row>
    <row r="702" spans="17:18" ht="14.25" customHeight="1">
      <c r="Q702" s="14"/>
      <c r="R702" s="15"/>
    </row>
    <row r="703" spans="17:18" ht="14.25" customHeight="1">
      <c r="Q703" s="14"/>
      <c r="R703" s="15"/>
    </row>
    <row r="704" spans="17:18" ht="14.25" customHeight="1">
      <c r="Q704" s="14"/>
      <c r="R704" s="15"/>
    </row>
    <row r="705" spans="17:18" ht="14.25" customHeight="1">
      <c r="Q705" s="14"/>
      <c r="R705" s="15"/>
    </row>
    <row r="706" spans="17:18" ht="14.25" customHeight="1">
      <c r="Q706" s="14"/>
      <c r="R706" s="15"/>
    </row>
    <row r="707" spans="17:18" ht="14.25" customHeight="1">
      <c r="Q707" s="14"/>
      <c r="R707" s="15"/>
    </row>
    <row r="708" spans="17:18" ht="14.25" customHeight="1">
      <c r="Q708" s="14"/>
      <c r="R708" s="15"/>
    </row>
    <row r="709" spans="17:18" ht="14.25" customHeight="1">
      <c r="Q709" s="14"/>
      <c r="R709" s="15"/>
    </row>
    <row r="710" spans="17:18" ht="14.25" customHeight="1">
      <c r="Q710" s="14"/>
      <c r="R710" s="15"/>
    </row>
    <row r="711" spans="17:18" ht="14.25" customHeight="1">
      <c r="Q711" s="14"/>
      <c r="R711" s="15"/>
    </row>
    <row r="712" spans="17:18" ht="14.25" customHeight="1">
      <c r="Q712" s="14"/>
      <c r="R712" s="15"/>
    </row>
    <row r="713" spans="17:18" ht="14.25" customHeight="1">
      <c r="Q713" s="14"/>
      <c r="R713" s="15"/>
    </row>
    <row r="714" spans="17:18" ht="14.25" customHeight="1">
      <c r="Q714" s="14"/>
      <c r="R714" s="15"/>
    </row>
    <row r="715" spans="17:18" ht="14.25" customHeight="1">
      <c r="Q715" s="14"/>
      <c r="R715" s="15"/>
    </row>
    <row r="716" spans="17:18" ht="14.25" customHeight="1">
      <c r="Q716" s="14"/>
      <c r="R716" s="15"/>
    </row>
    <row r="717" spans="17:18" ht="14.25" customHeight="1">
      <c r="Q717" s="14"/>
      <c r="R717" s="15"/>
    </row>
    <row r="718" spans="17:18" ht="14.25" customHeight="1">
      <c r="Q718" s="14"/>
      <c r="R718" s="15"/>
    </row>
    <row r="719" spans="17:18" ht="14.25" customHeight="1">
      <c r="Q719" s="14"/>
      <c r="R719" s="15"/>
    </row>
    <row r="720" spans="17:18" ht="14.25" customHeight="1">
      <c r="Q720" s="14"/>
      <c r="R720" s="15"/>
    </row>
    <row r="721" spans="17:18" ht="14.25" customHeight="1">
      <c r="Q721" s="14"/>
      <c r="R721" s="15"/>
    </row>
    <row r="722" spans="17:18" ht="14.25" customHeight="1">
      <c r="Q722" s="14"/>
      <c r="R722" s="15"/>
    </row>
    <row r="723" spans="17:18" ht="14.25" customHeight="1">
      <c r="Q723" s="14"/>
      <c r="R723" s="15"/>
    </row>
    <row r="724" spans="17:18" ht="14.25" customHeight="1">
      <c r="Q724" s="14"/>
      <c r="R724" s="15"/>
    </row>
    <row r="725" spans="17:18" ht="14.25" customHeight="1">
      <c r="Q725" s="14"/>
      <c r="R725" s="15"/>
    </row>
    <row r="726" spans="17:18" ht="14.25" customHeight="1">
      <c r="Q726" s="14"/>
      <c r="R726" s="15"/>
    </row>
    <row r="727" spans="17:18" ht="14.25" customHeight="1">
      <c r="Q727" s="14"/>
      <c r="R727" s="15"/>
    </row>
    <row r="728" spans="17:18" ht="14.25" customHeight="1">
      <c r="Q728" s="14"/>
      <c r="R728" s="15"/>
    </row>
    <row r="729" spans="17:18" ht="14.25" customHeight="1">
      <c r="Q729" s="14"/>
      <c r="R729" s="15"/>
    </row>
    <row r="730" spans="17:18" ht="14.25" customHeight="1">
      <c r="Q730" s="14"/>
      <c r="R730" s="15"/>
    </row>
    <row r="731" spans="17:18" ht="14.25" customHeight="1">
      <c r="Q731" s="14"/>
      <c r="R731" s="15"/>
    </row>
    <row r="732" spans="17:18" ht="14.25" customHeight="1">
      <c r="Q732" s="14"/>
      <c r="R732" s="15"/>
    </row>
    <row r="733" spans="17:18" ht="14.25" customHeight="1">
      <c r="Q733" s="14"/>
      <c r="R733" s="15"/>
    </row>
    <row r="734" spans="17:18" ht="14.25" customHeight="1">
      <c r="Q734" s="14"/>
      <c r="R734" s="15"/>
    </row>
    <row r="735" spans="17:18" ht="14.25" customHeight="1">
      <c r="Q735" s="14"/>
      <c r="R735" s="15"/>
    </row>
    <row r="736" spans="17:18" ht="14.25" customHeight="1">
      <c r="Q736" s="14"/>
      <c r="R736" s="15"/>
    </row>
    <row r="737" spans="17:18" ht="14.25" customHeight="1">
      <c r="Q737" s="14"/>
      <c r="R737" s="15"/>
    </row>
    <row r="738" spans="17:18" ht="14.25" customHeight="1">
      <c r="Q738" s="14"/>
      <c r="R738" s="15"/>
    </row>
    <row r="739" spans="17:18" ht="14.25" customHeight="1">
      <c r="Q739" s="14"/>
      <c r="R739" s="15"/>
    </row>
    <row r="740" spans="17:18" ht="14.25" customHeight="1">
      <c r="Q740" s="14"/>
      <c r="R740" s="15"/>
    </row>
    <row r="741" spans="17:18" ht="14.25" customHeight="1">
      <c r="Q741" s="14"/>
      <c r="R741" s="15"/>
    </row>
    <row r="742" spans="17:18" ht="14.25" customHeight="1">
      <c r="Q742" s="14"/>
      <c r="R742" s="15"/>
    </row>
    <row r="743" spans="17:18" ht="14.25" customHeight="1">
      <c r="Q743" s="14"/>
      <c r="R743" s="15"/>
    </row>
    <row r="744" spans="17:18" ht="14.25" customHeight="1">
      <c r="Q744" s="14"/>
      <c r="R744" s="15"/>
    </row>
    <row r="745" spans="17:18" ht="14.25" customHeight="1">
      <c r="Q745" s="14"/>
      <c r="R745" s="15"/>
    </row>
    <row r="746" spans="17:18" ht="14.25" customHeight="1">
      <c r="Q746" s="14"/>
      <c r="R746" s="15"/>
    </row>
    <row r="747" spans="17:18" ht="14.25" customHeight="1">
      <c r="Q747" s="14"/>
      <c r="R747" s="15"/>
    </row>
    <row r="748" spans="17:18" ht="14.25" customHeight="1">
      <c r="Q748" s="14"/>
      <c r="R748" s="15"/>
    </row>
    <row r="749" spans="17:18" ht="14.25" customHeight="1">
      <c r="Q749" s="14"/>
      <c r="R749" s="15"/>
    </row>
    <row r="750" spans="17:18" ht="14.25" customHeight="1">
      <c r="Q750" s="14"/>
      <c r="R750" s="15"/>
    </row>
    <row r="751" spans="17:18" ht="14.25" customHeight="1">
      <c r="Q751" s="14"/>
      <c r="R751" s="15"/>
    </row>
    <row r="752" spans="17:18" ht="14.25" customHeight="1">
      <c r="Q752" s="14"/>
      <c r="R752" s="15"/>
    </row>
    <row r="753" spans="17:18" ht="14.25" customHeight="1">
      <c r="Q753" s="14"/>
      <c r="R753" s="15"/>
    </row>
    <row r="754" spans="17:18" ht="14.25" customHeight="1">
      <c r="Q754" s="14"/>
      <c r="R754" s="15"/>
    </row>
    <row r="755" spans="17:18" ht="14.25" customHeight="1">
      <c r="Q755" s="14"/>
      <c r="R755" s="15"/>
    </row>
    <row r="756" spans="17:18" ht="14.25" customHeight="1">
      <c r="Q756" s="14"/>
      <c r="R756" s="15"/>
    </row>
    <row r="757" spans="17:18" ht="14.25" customHeight="1">
      <c r="Q757" s="14"/>
      <c r="R757" s="15"/>
    </row>
    <row r="758" spans="17:18" ht="14.25" customHeight="1">
      <c r="Q758" s="14"/>
      <c r="R758" s="15"/>
    </row>
    <row r="759" spans="17:18" ht="14.25" customHeight="1">
      <c r="Q759" s="14"/>
      <c r="R759" s="15"/>
    </row>
    <row r="760" spans="17:18" ht="14.25" customHeight="1">
      <c r="Q760" s="14"/>
      <c r="R760" s="15"/>
    </row>
    <row r="761" spans="17:18" ht="14.25" customHeight="1">
      <c r="Q761" s="14"/>
      <c r="R761" s="15"/>
    </row>
    <row r="762" spans="17:18" ht="14.25" customHeight="1">
      <c r="Q762" s="14"/>
      <c r="R762" s="15"/>
    </row>
    <row r="763" spans="17:18" ht="14.25" customHeight="1">
      <c r="Q763" s="14"/>
      <c r="R763" s="15"/>
    </row>
    <row r="764" spans="17:18" ht="14.25" customHeight="1">
      <c r="Q764" s="14"/>
      <c r="R764" s="15"/>
    </row>
    <row r="765" spans="17:18" ht="14.25" customHeight="1">
      <c r="Q765" s="14"/>
      <c r="R765" s="15"/>
    </row>
    <row r="766" spans="17:18" ht="14.25" customHeight="1">
      <c r="Q766" s="14"/>
      <c r="R766" s="15"/>
    </row>
    <row r="767" spans="17:18" ht="14.25" customHeight="1">
      <c r="Q767" s="14"/>
      <c r="R767" s="15"/>
    </row>
    <row r="768" spans="17:18" ht="14.25" customHeight="1">
      <c r="Q768" s="14"/>
      <c r="R768" s="15"/>
    </row>
    <row r="769" spans="17:18" ht="14.25" customHeight="1">
      <c r="Q769" s="14"/>
      <c r="R769" s="15"/>
    </row>
    <row r="770" spans="17:18" ht="14.25" customHeight="1">
      <c r="Q770" s="14"/>
      <c r="R770" s="15"/>
    </row>
    <row r="771" spans="17:18" ht="14.25" customHeight="1">
      <c r="Q771" s="14"/>
      <c r="R771" s="15"/>
    </row>
    <row r="772" spans="17:18" ht="14.25" customHeight="1">
      <c r="Q772" s="14"/>
      <c r="R772" s="15"/>
    </row>
    <row r="773" spans="17:18" ht="14.25" customHeight="1">
      <c r="Q773" s="14"/>
      <c r="R773" s="15"/>
    </row>
    <row r="774" spans="17:18" ht="14.25" customHeight="1">
      <c r="Q774" s="14"/>
      <c r="R774" s="15"/>
    </row>
    <row r="775" spans="17:18" ht="14.25" customHeight="1">
      <c r="Q775" s="14"/>
      <c r="R775" s="15"/>
    </row>
    <row r="776" spans="17:18" ht="14.25" customHeight="1">
      <c r="Q776" s="14"/>
      <c r="R776" s="15"/>
    </row>
    <row r="777" spans="17:18" ht="14.25" customHeight="1">
      <c r="Q777" s="14"/>
      <c r="R777" s="15"/>
    </row>
    <row r="778" spans="17:18" ht="14.25" customHeight="1">
      <c r="Q778" s="14"/>
      <c r="R778" s="15"/>
    </row>
    <row r="779" spans="17:18" ht="14.25" customHeight="1">
      <c r="Q779" s="14"/>
      <c r="R779" s="15"/>
    </row>
    <row r="780" spans="17:18" ht="14.25" customHeight="1">
      <c r="Q780" s="14"/>
      <c r="R780" s="15"/>
    </row>
    <row r="781" spans="17:18" ht="14.25" customHeight="1">
      <c r="Q781" s="14"/>
      <c r="R781" s="15"/>
    </row>
    <row r="782" spans="17:18" ht="14.25" customHeight="1">
      <c r="Q782" s="14"/>
      <c r="R782" s="15"/>
    </row>
    <row r="783" spans="17:18" ht="14.25" customHeight="1">
      <c r="Q783" s="14"/>
      <c r="R783" s="15"/>
    </row>
    <row r="784" spans="17:18" ht="14.25" customHeight="1">
      <c r="Q784" s="14"/>
      <c r="R784" s="15"/>
    </row>
    <row r="785" spans="17:18" ht="14.25" customHeight="1">
      <c r="Q785" s="14"/>
      <c r="R785" s="15"/>
    </row>
    <row r="786" spans="17:18" ht="14.25" customHeight="1">
      <c r="Q786" s="14"/>
      <c r="R786" s="15"/>
    </row>
    <row r="787" spans="17:18" ht="14.25" customHeight="1">
      <c r="Q787" s="14"/>
      <c r="R787" s="15"/>
    </row>
    <row r="788" spans="17:18" ht="14.25" customHeight="1">
      <c r="Q788" s="14"/>
      <c r="R788" s="15"/>
    </row>
    <row r="789" spans="17:18" ht="14.25" customHeight="1">
      <c r="Q789" s="14"/>
      <c r="R789" s="15"/>
    </row>
    <row r="790" spans="17:18" ht="14.25" customHeight="1">
      <c r="Q790" s="14"/>
      <c r="R790" s="15"/>
    </row>
    <row r="791" spans="17:18" ht="14.25" customHeight="1">
      <c r="Q791" s="14"/>
      <c r="R791" s="15"/>
    </row>
    <row r="792" spans="17:18" ht="14.25" customHeight="1">
      <c r="Q792" s="14"/>
      <c r="R792" s="15"/>
    </row>
    <row r="793" spans="17:18" ht="14.25" customHeight="1">
      <c r="Q793" s="14"/>
      <c r="R793" s="15"/>
    </row>
    <row r="794" spans="17:18" ht="14.25" customHeight="1">
      <c r="Q794" s="14"/>
      <c r="R794" s="15"/>
    </row>
    <row r="795" spans="17:18" ht="14.25" customHeight="1">
      <c r="Q795" s="14"/>
      <c r="R795" s="15"/>
    </row>
    <row r="796" spans="17:18" ht="14.25" customHeight="1">
      <c r="Q796" s="14"/>
      <c r="R796" s="15"/>
    </row>
    <row r="797" spans="17:18" ht="14.25" customHeight="1">
      <c r="Q797" s="14"/>
      <c r="R797" s="15"/>
    </row>
    <row r="798" spans="17:18" ht="14.25" customHeight="1">
      <c r="Q798" s="14"/>
      <c r="R798" s="15"/>
    </row>
    <row r="799" spans="17:18" ht="14.25" customHeight="1">
      <c r="Q799" s="14"/>
      <c r="R799" s="15"/>
    </row>
    <row r="800" spans="17:18" ht="14.25" customHeight="1">
      <c r="Q800" s="14"/>
      <c r="R800" s="15"/>
    </row>
    <row r="801" spans="17:18" ht="14.25" customHeight="1">
      <c r="Q801" s="14"/>
      <c r="R801" s="15"/>
    </row>
    <row r="802" spans="17:18" ht="14.25" customHeight="1">
      <c r="Q802" s="14"/>
      <c r="R802" s="15"/>
    </row>
    <row r="803" spans="17:18" ht="14.25" customHeight="1">
      <c r="Q803" s="14"/>
      <c r="R803" s="15"/>
    </row>
    <row r="804" spans="17:18" ht="14.25" customHeight="1">
      <c r="Q804" s="14"/>
      <c r="R804" s="15"/>
    </row>
    <row r="805" spans="17:18" ht="14.25" customHeight="1">
      <c r="Q805" s="14"/>
      <c r="R805" s="15"/>
    </row>
    <row r="806" spans="17:18" ht="14.25" customHeight="1">
      <c r="Q806" s="14"/>
      <c r="R806" s="15"/>
    </row>
    <row r="807" spans="17:18" ht="14.25" customHeight="1">
      <c r="Q807" s="14"/>
      <c r="R807" s="15"/>
    </row>
    <row r="808" spans="17:18" ht="14.25" customHeight="1">
      <c r="Q808" s="14"/>
      <c r="R808" s="15"/>
    </row>
    <row r="809" spans="17:18" ht="14.25" customHeight="1">
      <c r="Q809" s="14"/>
      <c r="R809" s="15"/>
    </row>
    <row r="810" spans="17:18" ht="14.25" customHeight="1">
      <c r="Q810" s="14"/>
      <c r="R810" s="15"/>
    </row>
    <row r="811" spans="17:18" ht="14.25" customHeight="1">
      <c r="Q811" s="14"/>
      <c r="R811" s="15"/>
    </row>
    <row r="812" spans="17:18" ht="14.25" customHeight="1">
      <c r="Q812" s="14"/>
      <c r="R812" s="15"/>
    </row>
    <row r="813" spans="17:18" ht="14.25" customHeight="1">
      <c r="Q813" s="14"/>
      <c r="R813" s="15"/>
    </row>
    <row r="814" spans="17:18" ht="14.25" customHeight="1">
      <c r="Q814" s="14"/>
      <c r="R814" s="15"/>
    </row>
    <row r="815" spans="17:18" ht="14.25" customHeight="1">
      <c r="Q815" s="14"/>
      <c r="R815" s="15"/>
    </row>
    <row r="816" spans="17:18" ht="14.25" customHeight="1">
      <c r="Q816" s="14"/>
      <c r="R816" s="15"/>
    </row>
    <row r="817" spans="17:18" ht="14.25" customHeight="1">
      <c r="Q817" s="14"/>
      <c r="R817" s="15"/>
    </row>
    <row r="818" spans="17:18" ht="14.25" customHeight="1">
      <c r="Q818" s="14"/>
      <c r="R818" s="15"/>
    </row>
    <row r="819" spans="17:18" ht="14.25" customHeight="1">
      <c r="Q819" s="14"/>
      <c r="R819" s="15"/>
    </row>
    <row r="820" spans="17:18" ht="14.25" customHeight="1">
      <c r="Q820" s="14"/>
      <c r="R820" s="15"/>
    </row>
    <row r="821" spans="17:18" ht="14.25" customHeight="1">
      <c r="Q821" s="14"/>
      <c r="R821" s="15"/>
    </row>
    <row r="822" spans="17:18" ht="14.25" customHeight="1">
      <c r="Q822" s="14"/>
      <c r="R822" s="15"/>
    </row>
    <row r="823" spans="17:18" ht="14.25" customHeight="1">
      <c r="Q823" s="14"/>
      <c r="R823" s="15"/>
    </row>
    <row r="824" spans="17:18" ht="14.25" customHeight="1">
      <c r="Q824" s="14"/>
      <c r="R824" s="15"/>
    </row>
    <row r="825" spans="17:18" ht="14.25" customHeight="1">
      <c r="Q825" s="14"/>
      <c r="R825" s="15"/>
    </row>
    <row r="826" spans="17:18" ht="14.25" customHeight="1">
      <c r="Q826" s="14"/>
      <c r="R826" s="15"/>
    </row>
    <row r="827" spans="17:18" ht="14.25" customHeight="1">
      <c r="Q827" s="14"/>
      <c r="R827" s="15"/>
    </row>
    <row r="828" spans="17:18" ht="14.25" customHeight="1">
      <c r="Q828" s="14"/>
      <c r="R828" s="15"/>
    </row>
    <row r="829" spans="17:18" ht="14.25" customHeight="1">
      <c r="Q829" s="14"/>
      <c r="R829" s="15"/>
    </row>
    <row r="830" spans="17:18" ht="14.25" customHeight="1">
      <c r="Q830" s="14"/>
      <c r="R830" s="15"/>
    </row>
    <row r="831" spans="17:18" ht="14.25" customHeight="1">
      <c r="Q831" s="14"/>
      <c r="R831" s="15"/>
    </row>
    <row r="832" spans="17:18" ht="14.25" customHeight="1">
      <c r="Q832" s="14"/>
      <c r="R832" s="15"/>
    </row>
    <row r="833" spans="17:18" ht="14.25" customHeight="1">
      <c r="Q833" s="14"/>
      <c r="R833" s="15"/>
    </row>
    <row r="834" spans="17:18" ht="14.25" customHeight="1">
      <c r="Q834" s="14"/>
      <c r="R834" s="15"/>
    </row>
    <row r="835" spans="17:18" ht="14.25" customHeight="1">
      <c r="Q835" s="14"/>
      <c r="R835" s="15"/>
    </row>
    <row r="836" spans="17:18" ht="14.25" customHeight="1">
      <c r="Q836" s="14"/>
      <c r="R836" s="15"/>
    </row>
    <row r="837" spans="17:18" ht="14.25" customHeight="1">
      <c r="Q837" s="14"/>
      <c r="R837" s="15"/>
    </row>
    <row r="838" spans="17:18" ht="14.25" customHeight="1">
      <c r="Q838" s="14"/>
      <c r="R838" s="15"/>
    </row>
    <row r="839" spans="17:18" ht="14.25" customHeight="1">
      <c r="Q839" s="14"/>
      <c r="R839" s="15"/>
    </row>
    <row r="840" spans="17:18" ht="14.25" customHeight="1">
      <c r="Q840" s="14"/>
      <c r="R840" s="15"/>
    </row>
    <row r="841" spans="17:18" ht="14.25" customHeight="1">
      <c r="Q841" s="14"/>
      <c r="R841" s="15"/>
    </row>
    <row r="842" spans="17:18" ht="14.25" customHeight="1">
      <c r="Q842" s="14"/>
      <c r="R842" s="15"/>
    </row>
    <row r="843" spans="17:18" ht="14.25" customHeight="1">
      <c r="Q843" s="14"/>
      <c r="R843" s="15"/>
    </row>
    <row r="844" spans="17:18" ht="14.25" customHeight="1">
      <c r="Q844" s="14"/>
      <c r="R844" s="15"/>
    </row>
    <row r="845" spans="17:18" ht="14.25" customHeight="1">
      <c r="Q845" s="14"/>
      <c r="R845" s="15"/>
    </row>
    <row r="846" spans="17:18" ht="14.25" customHeight="1">
      <c r="Q846" s="14"/>
      <c r="R846" s="15"/>
    </row>
    <row r="847" spans="17:18" ht="14.25" customHeight="1">
      <c r="Q847" s="14"/>
      <c r="R847" s="15"/>
    </row>
    <row r="848" spans="17:18" ht="14.25" customHeight="1">
      <c r="Q848" s="14"/>
      <c r="R848" s="15"/>
    </row>
    <row r="849" spans="17:18" ht="14.25" customHeight="1">
      <c r="Q849" s="14"/>
      <c r="R849" s="15"/>
    </row>
    <row r="850" spans="17:18" ht="14.25" customHeight="1">
      <c r="Q850" s="14"/>
      <c r="R850" s="15"/>
    </row>
    <row r="851" spans="17:18" ht="14.25" customHeight="1">
      <c r="Q851" s="14"/>
      <c r="R851" s="15"/>
    </row>
    <row r="852" spans="17:18" ht="14.25" customHeight="1">
      <c r="Q852" s="14"/>
      <c r="R852" s="15"/>
    </row>
    <row r="853" spans="17:18" ht="14.25" customHeight="1">
      <c r="Q853" s="14"/>
      <c r="R853" s="15"/>
    </row>
    <row r="854" spans="17:18" ht="14.25" customHeight="1">
      <c r="Q854" s="14"/>
      <c r="R854" s="15"/>
    </row>
    <row r="855" spans="17:18" ht="14.25" customHeight="1">
      <c r="Q855" s="14"/>
      <c r="R855" s="15"/>
    </row>
    <row r="856" spans="17:18" ht="14.25" customHeight="1">
      <c r="Q856" s="14"/>
      <c r="R856" s="15"/>
    </row>
    <row r="857" spans="17:18" ht="14.25" customHeight="1">
      <c r="Q857" s="14"/>
      <c r="R857" s="15"/>
    </row>
    <row r="858" spans="17:18" ht="14.25" customHeight="1">
      <c r="Q858" s="14"/>
      <c r="R858" s="15"/>
    </row>
    <row r="859" spans="17:18" ht="14.25" customHeight="1">
      <c r="Q859" s="14"/>
      <c r="R859" s="15"/>
    </row>
    <row r="860" spans="17:18" ht="14.25" customHeight="1">
      <c r="Q860" s="14"/>
      <c r="R860" s="15"/>
    </row>
    <row r="861" spans="17:18" ht="14.25" customHeight="1">
      <c r="Q861" s="14"/>
      <c r="R861" s="15"/>
    </row>
    <row r="862" spans="17:18" ht="14.25" customHeight="1">
      <c r="Q862" s="14"/>
      <c r="R862" s="15"/>
    </row>
    <row r="863" spans="17:18" ht="14.25" customHeight="1">
      <c r="Q863" s="14"/>
      <c r="R863" s="15"/>
    </row>
    <row r="864" spans="17:18" ht="14.25" customHeight="1">
      <c r="Q864" s="14"/>
      <c r="R864" s="15"/>
    </row>
    <row r="865" spans="17:18" ht="14.25" customHeight="1">
      <c r="Q865" s="14"/>
      <c r="R865" s="15"/>
    </row>
    <row r="866" spans="17:18" ht="14.25" customHeight="1">
      <c r="Q866" s="14"/>
      <c r="R866" s="15"/>
    </row>
    <row r="867" spans="17:18" ht="14.25" customHeight="1">
      <c r="Q867" s="14"/>
      <c r="R867" s="15"/>
    </row>
    <row r="868" spans="17:18" ht="14.25" customHeight="1">
      <c r="Q868" s="14"/>
      <c r="R868" s="15"/>
    </row>
    <row r="869" spans="17:18" ht="14.25" customHeight="1">
      <c r="Q869" s="14"/>
      <c r="R869" s="15"/>
    </row>
    <row r="870" spans="17:18" ht="14.25" customHeight="1">
      <c r="Q870" s="14"/>
      <c r="R870" s="15"/>
    </row>
    <row r="871" spans="17:18" ht="14.25" customHeight="1">
      <c r="Q871" s="14"/>
      <c r="R871" s="15"/>
    </row>
    <row r="872" spans="17:18" ht="14.25" customHeight="1">
      <c r="Q872" s="14"/>
      <c r="R872" s="15"/>
    </row>
    <row r="873" spans="17:18" ht="14.25" customHeight="1">
      <c r="Q873" s="14"/>
      <c r="R873" s="15"/>
    </row>
    <row r="874" spans="17:18" ht="14.25" customHeight="1">
      <c r="Q874" s="14"/>
      <c r="R874" s="15"/>
    </row>
    <row r="875" spans="17:18" ht="14.25" customHeight="1">
      <c r="Q875" s="14"/>
      <c r="R875" s="15"/>
    </row>
    <row r="876" spans="17:18" ht="14.25" customHeight="1">
      <c r="Q876" s="14"/>
      <c r="R876" s="15"/>
    </row>
    <row r="877" spans="17:18" ht="14.25" customHeight="1">
      <c r="Q877" s="14"/>
      <c r="R877" s="15"/>
    </row>
    <row r="878" spans="17:18" ht="14.25" customHeight="1">
      <c r="Q878" s="14"/>
      <c r="R878" s="15"/>
    </row>
    <row r="879" spans="17:18" ht="14.25" customHeight="1">
      <c r="Q879" s="14"/>
      <c r="R879" s="15"/>
    </row>
    <row r="880" spans="17:18" ht="14.25" customHeight="1">
      <c r="Q880" s="14"/>
      <c r="R880" s="15"/>
    </row>
    <row r="881" spans="17:18" ht="14.25" customHeight="1">
      <c r="Q881" s="14"/>
      <c r="R881" s="15"/>
    </row>
    <row r="882" spans="17:18" ht="14.25" customHeight="1">
      <c r="Q882" s="14"/>
      <c r="R882" s="15"/>
    </row>
    <row r="883" spans="17:18" ht="14.25" customHeight="1">
      <c r="Q883" s="14"/>
      <c r="R883" s="15"/>
    </row>
    <row r="884" spans="17:18" ht="14.25" customHeight="1">
      <c r="Q884" s="14"/>
      <c r="R884" s="15"/>
    </row>
    <row r="885" spans="17:18" ht="14.25" customHeight="1">
      <c r="Q885" s="14"/>
      <c r="R885" s="15"/>
    </row>
    <row r="886" spans="17:18" ht="14.25" customHeight="1">
      <c r="Q886" s="14"/>
      <c r="R886" s="15"/>
    </row>
    <row r="887" spans="17:18" ht="14.25" customHeight="1">
      <c r="Q887" s="14"/>
      <c r="R887" s="15"/>
    </row>
    <row r="888" spans="17:18" ht="14.25" customHeight="1">
      <c r="Q888" s="14"/>
      <c r="R888" s="15"/>
    </row>
    <row r="889" spans="17:18" ht="14.25" customHeight="1">
      <c r="Q889" s="14"/>
      <c r="R889" s="15"/>
    </row>
    <row r="890" spans="17:18" ht="14.25" customHeight="1">
      <c r="Q890" s="14"/>
      <c r="R890" s="15"/>
    </row>
    <row r="891" spans="17:18" ht="14.25" customHeight="1">
      <c r="Q891" s="14"/>
      <c r="R891" s="15"/>
    </row>
    <row r="892" spans="17:18" ht="14.25" customHeight="1">
      <c r="Q892" s="14"/>
      <c r="R892" s="15"/>
    </row>
    <row r="893" spans="17:18" ht="14.25" customHeight="1">
      <c r="Q893" s="14"/>
      <c r="R893" s="15"/>
    </row>
    <row r="894" spans="17:18" ht="14.25" customHeight="1">
      <c r="Q894" s="14"/>
      <c r="R894" s="15"/>
    </row>
    <row r="895" spans="17:18" ht="14.25" customHeight="1">
      <c r="Q895" s="14"/>
      <c r="R895" s="15"/>
    </row>
    <row r="896" spans="17:18" ht="14.25" customHeight="1">
      <c r="Q896" s="14"/>
      <c r="R896" s="15"/>
    </row>
    <row r="897" spans="17:18" ht="14.25" customHeight="1">
      <c r="Q897" s="14"/>
      <c r="R897" s="15"/>
    </row>
    <row r="898" spans="17:18" ht="14.25" customHeight="1">
      <c r="Q898" s="14"/>
      <c r="R898" s="15"/>
    </row>
    <row r="899" spans="17:18" ht="14.25" customHeight="1">
      <c r="Q899" s="14"/>
      <c r="R899" s="15"/>
    </row>
    <row r="900" spans="17:18" ht="14.25" customHeight="1">
      <c r="Q900" s="14"/>
      <c r="R900" s="15"/>
    </row>
    <row r="901" spans="17:18" ht="14.25" customHeight="1">
      <c r="Q901" s="14"/>
      <c r="R901" s="15"/>
    </row>
    <row r="902" spans="17:18" ht="14.25" customHeight="1">
      <c r="Q902" s="14"/>
      <c r="R902" s="15"/>
    </row>
    <row r="903" spans="17:18" ht="14.25" customHeight="1">
      <c r="Q903" s="14"/>
      <c r="R903" s="15"/>
    </row>
    <row r="904" spans="17:18" ht="14.25" customHeight="1">
      <c r="Q904" s="14"/>
      <c r="R904" s="15"/>
    </row>
    <row r="905" spans="17:18" ht="14.25" customHeight="1">
      <c r="Q905" s="14"/>
      <c r="R905" s="15"/>
    </row>
    <row r="906" spans="17:18" ht="14.25" customHeight="1">
      <c r="Q906" s="14"/>
      <c r="R906" s="15"/>
    </row>
    <row r="907" spans="17:18" ht="14.25" customHeight="1">
      <c r="Q907" s="14"/>
      <c r="R907" s="15"/>
    </row>
    <row r="908" spans="17:18" ht="14.25" customHeight="1">
      <c r="Q908" s="14"/>
      <c r="R908" s="15"/>
    </row>
    <row r="909" spans="17:18" ht="14.25" customHeight="1">
      <c r="Q909" s="14"/>
      <c r="R909" s="15"/>
    </row>
    <row r="910" spans="17:18" ht="14.25" customHeight="1">
      <c r="Q910" s="14"/>
      <c r="R910" s="15"/>
    </row>
    <row r="911" spans="17:18" ht="14.25" customHeight="1">
      <c r="Q911" s="14"/>
      <c r="R911" s="15"/>
    </row>
    <row r="912" spans="17:18" ht="14.25" customHeight="1">
      <c r="Q912" s="14"/>
      <c r="R912" s="15"/>
    </row>
    <row r="913" spans="17:18" ht="14.25" customHeight="1">
      <c r="Q913" s="14"/>
      <c r="R913" s="15"/>
    </row>
    <row r="914" spans="17:18" ht="14.25" customHeight="1">
      <c r="Q914" s="14"/>
      <c r="R914" s="15"/>
    </row>
    <row r="915" spans="17:18" ht="14.25" customHeight="1">
      <c r="Q915" s="14"/>
      <c r="R915" s="15"/>
    </row>
    <row r="916" spans="17:18" ht="14.25" customHeight="1">
      <c r="Q916" s="14"/>
      <c r="R916" s="15"/>
    </row>
    <row r="917" spans="17:18" ht="14.25" customHeight="1">
      <c r="Q917" s="14"/>
      <c r="R917" s="15"/>
    </row>
    <row r="918" spans="17:18" ht="14.25" customHeight="1">
      <c r="Q918" s="14"/>
      <c r="R918" s="15"/>
    </row>
    <row r="919" spans="17:18" ht="14.25" customHeight="1">
      <c r="Q919" s="14"/>
      <c r="R919" s="15"/>
    </row>
    <row r="920" spans="17:18" ht="14.25" customHeight="1">
      <c r="Q920" s="14"/>
      <c r="R920" s="15"/>
    </row>
    <row r="921" spans="17:18" ht="14.25" customHeight="1">
      <c r="Q921" s="14"/>
      <c r="R921" s="15"/>
    </row>
    <row r="922" spans="17:18" ht="14.25" customHeight="1">
      <c r="Q922" s="14"/>
      <c r="R922" s="15"/>
    </row>
    <row r="923" spans="17:18" ht="14.25" customHeight="1">
      <c r="Q923" s="14"/>
      <c r="R923" s="15"/>
    </row>
    <row r="924" spans="17:18" ht="14.25" customHeight="1">
      <c r="Q924" s="14"/>
      <c r="R924" s="15"/>
    </row>
    <row r="925" spans="17:18" ht="14.25" customHeight="1">
      <c r="Q925" s="14"/>
      <c r="R925" s="15"/>
    </row>
    <row r="926" spans="17:18" ht="14.25" customHeight="1">
      <c r="Q926" s="14"/>
      <c r="R926" s="15"/>
    </row>
    <row r="927" spans="17:18" ht="14.25" customHeight="1">
      <c r="Q927" s="14"/>
      <c r="R927" s="15"/>
    </row>
    <row r="928" spans="17:18" ht="14.25" customHeight="1">
      <c r="Q928" s="14"/>
      <c r="R928" s="15"/>
    </row>
    <row r="929" spans="17:18" ht="14.25" customHeight="1">
      <c r="Q929" s="14"/>
      <c r="R929" s="15"/>
    </row>
    <row r="930" spans="17:18" ht="14.25" customHeight="1">
      <c r="Q930" s="14"/>
      <c r="R930" s="15"/>
    </row>
    <row r="931" spans="17:18" ht="14.25" customHeight="1">
      <c r="Q931" s="14"/>
      <c r="R931" s="15"/>
    </row>
    <row r="932" spans="17:18" ht="14.25" customHeight="1">
      <c r="Q932" s="14"/>
      <c r="R932" s="15"/>
    </row>
    <row r="933" spans="17:18" ht="14.25" customHeight="1">
      <c r="Q933" s="14"/>
      <c r="R933" s="15"/>
    </row>
    <row r="934" spans="17:18" ht="14.25" customHeight="1">
      <c r="Q934" s="14"/>
      <c r="R934" s="15"/>
    </row>
    <row r="935" spans="17:18" ht="14.25" customHeight="1">
      <c r="Q935" s="14"/>
      <c r="R935" s="15"/>
    </row>
    <row r="936" spans="17:18" ht="14.25" customHeight="1">
      <c r="Q936" s="14"/>
      <c r="R936" s="15"/>
    </row>
    <row r="937" spans="17:18" ht="14.25" customHeight="1">
      <c r="Q937" s="14"/>
      <c r="R937" s="15"/>
    </row>
    <row r="938" spans="17:18" ht="14.25" customHeight="1">
      <c r="Q938" s="14"/>
      <c r="R938" s="15"/>
    </row>
    <row r="939" spans="17:18" ht="14.25" customHeight="1">
      <c r="Q939" s="14"/>
      <c r="R939" s="15"/>
    </row>
    <row r="940" spans="17:18" ht="14.25" customHeight="1">
      <c r="Q940" s="14"/>
      <c r="R940" s="15"/>
    </row>
    <row r="941" spans="17:18" ht="14.25" customHeight="1">
      <c r="Q941" s="14"/>
      <c r="R941" s="15"/>
    </row>
    <row r="942" spans="17:18" ht="14.25" customHeight="1">
      <c r="Q942" s="14"/>
      <c r="R942" s="15"/>
    </row>
    <row r="943" spans="17:18" ht="14.25" customHeight="1">
      <c r="Q943" s="14"/>
      <c r="R943" s="15"/>
    </row>
    <row r="944" spans="17:18" ht="14.25" customHeight="1">
      <c r="Q944" s="14"/>
      <c r="R944" s="15"/>
    </row>
    <row r="945" spans="17:18" ht="14.25" customHeight="1">
      <c r="Q945" s="14"/>
      <c r="R945" s="15"/>
    </row>
    <row r="946" spans="17:18" ht="14.25" customHeight="1">
      <c r="Q946" s="14"/>
      <c r="R946" s="15"/>
    </row>
    <row r="947" spans="17:18" ht="14.25" customHeight="1">
      <c r="Q947" s="14"/>
      <c r="R947" s="15"/>
    </row>
    <row r="948" spans="17:18" ht="14.25" customHeight="1">
      <c r="Q948" s="14"/>
      <c r="R948" s="15"/>
    </row>
    <row r="949" spans="17:18" ht="14.25" customHeight="1">
      <c r="Q949" s="14"/>
      <c r="R949" s="15"/>
    </row>
    <row r="950" spans="17:18" ht="14.25" customHeight="1">
      <c r="Q950" s="14"/>
      <c r="R950" s="15"/>
    </row>
    <row r="951" spans="17:18" ht="14.25" customHeight="1">
      <c r="Q951" s="14"/>
      <c r="R951" s="15"/>
    </row>
    <row r="952" spans="17:18" ht="14.25" customHeight="1">
      <c r="Q952" s="14"/>
      <c r="R952" s="15"/>
    </row>
    <row r="953" spans="17:18" ht="14.25" customHeight="1">
      <c r="Q953" s="14"/>
      <c r="R953" s="15"/>
    </row>
    <row r="954" spans="17:18" ht="14.25" customHeight="1">
      <c r="Q954" s="14"/>
      <c r="R954" s="15"/>
    </row>
    <row r="955" spans="17:18" ht="14.25" customHeight="1">
      <c r="Q955" s="14"/>
      <c r="R955" s="15"/>
    </row>
    <row r="956" spans="17:18" ht="14.25" customHeight="1">
      <c r="Q956" s="14"/>
      <c r="R956" s="15"/>
    </row>
    <row r="957" spans="17:18" ht="14.25" customHeight="1">
      <c r="Q957" s="14"/>
      <c r="R957" s="15"/>
    </row>
    <row r="958" spans="17:18" ht="14.25" customHeight="1">
      <c r="Q958" s="14"/>
      <c r="R958" s="15"/>
    </row>
    <row r="959" spans="17:18" ht="14.25" customHeight="1">
      <c r="Q959" s="14"/>
      <c r="R959" s="15"/>
    </row>
    <row r="960" spans="17:18" ht="14.25" customHeight="1">
      <c r="Q960" s="14"/>
      <c r="R960" s="15"/>
    </row>
    <row r="961" spans="17:18" ht="14.25" customHeight="1">
      <c r="Q961" s="14"/>
      <c r="R961" s="15"/>
    </row>
    <row r="962" spans="17:18" ht="14.25" customHeight="1">
      <c r="Q962" s="14"/>
      <c r="R962" s="15"/>
    </row>
    <row r="963" spans="17:18" ht="14.25" customHeight="1">
      <c r="Q963" s="14"/>
      <c r="R963" s="15"/>
    </row>
    <row r="964" spans="17:18" ht="14.25" customHeight="1">
      <c r="Q964" s="14"/>
      <c r="R964" s="15"/>
    </row>
    <row r="965" spans="17:18" ht="14.25" customHeight="1">
      <c r="Q965" s="14"/>
      <c r="R965" s="15"/>
    </row>
    <row r="966" spans="17:18" ht="14.25" customHeight="1">
      <c r="Q966" s="14"/>
      <c r="R966" s="15"/>
    </row>
    <row r="967" spans="17:18" ht="14.25" customHeight="1">
      <c r="Q967" s="14"/>
      <c r="R967" s="15"/>
    </row>
    <row r="968" spans="17:18" ht="14.25" customHeight="1">
      <c r="Q968" s="14"/>
      <c r="R968" s="15"/>
    </row>
    <row r="969" spans="17:18" ht="14.25" customHeight="1">
      <c r="Q969" s="14"/>
      <c r="R969" s="15"/>
    </row>
    <row r="970" spans="17:18" ht="14.25" customHeight="1">
      <c r="Q970" s="14"/>
      <c r="R970" s="15"/>
    </row>
    <row r="971" spans="17:18" ht="14.25" customHeight="1">
      <c r="Q971" s="14"/>
      <c r="R971" s="15"/>
    </row>
    <row r="972" spans="17:18" ht="14.25" customHeight="1">
      <c r="Q972" s="14"/>
      <c r="R972" s="15"/>
    </row>
    <row r="973" spans="17:18" ht="14.25" customHeight="1">
      <c r="Q973" s="14"/>
      <c r="R973" s="15"/>
    </row>
    <row r="974" spans="17:18" ht="14.25" customHeight="1">
      <c r="Q974" s="14"/>
      <c r="R974" s="15"/>
    </row>
    <row r="975" spans="17:18" ht="14.25" customHeight="1">
      <c r="Q975" s="14"/>
      <c r="R975" s="15"/>
    </row>
    <row r="976" spans="17:18" ht="14.25" customHeight="1">
      <c r="Q976" s="14"/>
      <c r="R976" s="15"/>
    </row>
    <row r="977" spans="17:18" ht="14.25" customHeight="1">
      <c r="Q977" s="14"/>
      <c r="R977" s="15"/>
    </row>
    <row r="978" spans="17:18" ht="14.25" customHeight="1">
      <c r="Q978" s="14"/>
      <c r="R978" s="15"/>
    </row>
    <row r="979" spans="17:18" ht="14.25" customHeight="1">
      <c r="Q979" s="14"/>
      <c r="R979" s="15"/>
    </row>
    <row r="980" spans="17:18" ht="14.25" customHeight="1">
      <c r="Q980" s="14"/>
      <c r="R980" s="15"/>
    </row>
    <row r="981" spans="17:18" ht="14.25" customHeight="1">
      <c r="Q981" s="14"/>
      <c r="R981" s="15"/>
    </row>
    <row r="982" spans="17:18" ht="14.25" customHeight="1">
      <c r="Q982" s="14"/>
      <c r="R982" s="15"/>
    </row>
    <row r="983" spans="17:18" ht="14.25" customHeight="1">
      <c r="Q983" s="14"/>
      <c r="R983" s="15"/>
    </row>
    <row r="984" spans="17:18" ht="14.25" customHeight="1">
      <c r="Q984" s="14"/>
      <c r="R984" s="15"/>
    </row>
    <row r="985" spans="17:18" ht="14.25" customHeight="1">
      <c r="Q985" s="14"/>
      <c r="R985" s="15"/>
    </row>
    <row r="986" spans="17:18" ht="14.25" customHeight="1">
      <c r="Q986" s="14"/>
      <c r="R986" s="15"/>
    </row>
    <row r="987" spans="17:18" ht="14.25" customHeight="1">
      <c r="Q987" s="14"/>
      <c r="R987" s="15"/>
    </row>
    <row r="988" spans="17:18" ht="14.25" customHeight="1">
      <c r="Q988" s="14"/>
      <c r="R988" s="15"/>
    </row>
    <row r="989" spans="17:18" ht="14.25" customHeight="1">
      <c r="Q989" s="14"/>
      <c r="R989" s="15"/>
    </row>
    <row r="990" spans="17:18" ht="14.25" customHeight="1">
      <c r="Q990" s="14"/>
      <c r="R990" s="15"/>
    </row>
    <row r="991" spans="17:18" ht="14.25" customHeight="1">
      <c r="Q991" s="14"/>
      <c r="R991" s="15"/>
    </row>
    <row r="992" spans="17:18" ht="14.25" customHeight="1">
      <c r="Q992" s="14"/>
      <c r="R992" s="15"/>
    </row>
    <row r="993" spans="17:18" ht="14.25" customHeight="1">
      <c r="Q993" s="14"/>
      <c r="R993" s="15"/>
    </row>
    <row r="994" spans="17:18" ht="14.25" customHeight="1">
      <c r="Q994" s="14"/>
      <c r="R994" s="15"/>
    </row>
    <row r="995" spans="17:18" ht="14.25" customHeight="1">
      <c r="Q995" s="14"/>
      <c r="R995" s="15"/>
    </row>
    <row r="996" spans="17:18" ht="14.25" customHeight="1">
      <c r="Q996" s="14"/>
      <c r="R996" s="15"/>
    </row>
    <row r="997" spans="17:18" ht="14.25" customHeight="1">
      <c r="Q997" s="14"/>
      <c r="R997" s="15"/>
    </row>
    <row r="998" spans="17:18" ht="14.25" customHeight="1">
      <c r="Q998" s="14"/>
      <c r="R998" s="15"/>
    </row>
    <row r="999" spans="17:18" ht="14.25" customHeight="1">
      <c r="Q999" s="14"/>
      <c r="R999" s="15"/>
    </row>
    <row r="1000" spans="17:18" ht="14.25" customHeight="1">
      <c r="Q1000" s="14"/>
      <c r="R1000" s="15"/>
    </row>
    <row r="1001" spans="17:18" ht="14.25" customHeight="1">
      <c r="Q1001" s="14"/>
      <c r="R1001" s="15"/>
    </row>
  </sheetData>
  <mergeCells count="14">
    <mergeCell ref="G2:G4"/>
    <mergeCell ref="H2:H4"/>
    <mergeCell ref="I2:S2"/>
    <mergeCell ref="T2:T4"/>
    <mergeCell ref="U2:U4"/>
    <mergeCell ref="I3:L3"/>
    <mergeCell ref="M3:O3"/>
    <mergeCell ref="P3:R3"/>
    <mergeCell ref="A2:A4"/>
    <mergeCell ref="B2:B4"/>
    <mergeCell ref="C2:C4"/>
    <mergeCell ref="D2:D4"/>
    <mergeCell ref="E2:E4"/>
    <mergeCell ref="F2:F4"/>
  </mergeCells>
  <hyperlinks>
    <hyperlink ref="B5" location="Google_Sheet_Link_765516390" display="gid=800026368" xr:uid="{87591C4A-6887-4B81-AFE8-DF0ECF83E530}"/>
    <hyperlink ref="B6" location="Google_Sheet_Link_1875250778" display="gid=684874196" xr:uid="{0059A7C3-A719-430C-9DFB-E4A0D04FBA50}"/>
    <hyperlink ref="B7" location="Google_Sheet_Link_854752809" display="gid=1295587340" xr:uid="{277232DB-5A26-4DDF-9E0C-04048648384F}"/>
    <hyperlink ref="B8" location="Google_Sheet_Link_1048363870" display="gid=975999619" xr:uid="{8700C011-ADBE-49D9-9386-860D6688F27C}"/>
    <hyperlink ref="B9" location="Google_Sheet_Link_348030709" display="gid=78273914" xr:uid="{D513418E-A72A-4783-B6DD-6E868225A192}"/>
    <hyperlink ref="B10" location="Google_Sheet_Link_355209410" display="gid=691242759" xr:uid="{655EC55B-65BB-4FBD-85F0-7CF7A83E75AC}"/>
    <hyperlink ref="B11" location="Google_Sheet_Link_1108924913" display="gid=149880824" xr:uid="{BDA1A846-CE0F-4032-BE2E-1BF11ED7FFD9}"/>
    <hyperlink ref="B12" location="Google_Sheet_Link_1616505558" display="gid=209077879" xr:uid="{9042A4EC-EAC2-4623-8B91-48A661DE4504}"/>
    <hyperlink ref="B13" location="Google_Sheet_Link_1106366618" display="gid=1706091479" xr:uid="{9D10FA6D-0AEB-4B57-B5CA-F4E414503572}"/>
    <hyperlink ref="B14" location="Google_Sheet_Link_944660560" display="gid=2051595220" xr:uid="{D0166BC1-1DBB-46D8-9ADD-D9FC70C1E855}"/>
    <hyperlink ref="B15" location="Google_Sheet_Link_999164479" display="gid=1027498431" xr:uid="{49F7B439-8282-4DD6-8FAE-48D331C017A0}"/>
    <hyperlink ref="B16" location="Google_Sheet_Link_422197073" display="gid=742744125" xr:uid="{90CC3344-2F45-42AC-B7AC-5A3D3A875837}"/>
    <hyperlink ref="B17" location="Google_Sheet_Link_950687893" display="gid=2143480939" xr:uid="{8543245B-49D5-43AD-9CE6-FAFCFF5F3823}"/>
    <hyperlink ref="B18" location="Google_Sheet_Link_1201242299" display="gid=2011127621" xr:uid="{F190D280-3143-4E71-AF81-755BA251906A}"/>
    <hyperlink ref="B19" location="Google_Sheet_Link_2000635519" display="gid=52390556" xr:uid="{7C9EA014-96C6-436D-B3A4-788CEE5DFC53}"/>
    <hyperlink ref="B20" location="Google_Sheet_Link_1712747947" display="gid=959466057" xr:uid="{6944854D-AF83-4A7F-954A-0BEEF0FC85C2}"/>
    <hyperlink ref="B21" location="Google_Sheet_Link_894295914" display="gid=1588052260" xr:uid="{DE6C55B1-78A3-4BBF-B9D0-DF8DC6F028C2}"/>
    <hyperlink ref="B22" location="Google_Sheet_Link_1080299198" display="gid=572026007" xr:uid="{31EBB1D7-ABEA-4ED5-A55F-DE297D08F607}"/>
    <hyperlink ref="B23" location="Google_Sheet_Link_316110074" display="gid=777362237" xr:uid="{0BDFEFF6-06E9-4D0C-90A8-454F7B7B5F83}"/>
  </hyperlinks>
  <pageMargins left="0.7" right="0.7" top="1.1437499999999998" bottom="1.1437499999999998" header="0.75" footer="0.75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07E4-AA10-443D-B35E-A8AC836B36DC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A1" s="20"/>
      <c r="D1" s="21"/>
      <c r="G1" s="14"/>
    </row>
    <row r="2" spans="1:26" ht="14.25" customHeight="1">
      <c r="C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61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86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1</v>
      </c>
      <c r="J12" s="46">
        <v>0</v>
      </c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86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1</v>
      </c>
      <c r="J13" s="46">
        <v>0</v>
      </c>
      <c r="K13" s="49"/>
      <c r="L13" s="47"/>
      <c r="M13" s="48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1"/>
      <c r="H14" s="71"/>
      <c r="I14" s="71"/>
      <c r="J14" s="71"/>
      <c r="K14" s="71"/>
      <c r="L14" s="71"/>
      <c r="M14" s="48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86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1</v>
      </c>
      <c r="J15" s="46">
        <v>0</v>
      </c>
      <c r="K15" s="53"/>
      <c r="L15" s="53"/>
      <c r="M15" s="48"/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86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1</v>
      </c>
      <c r="J16" s="46">
        <v>0</v>
      </c>
      <c r="K16" s="53"/>
      <c r="L16" s="53"/>
      <c r="M16" s="48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1"/>
      <c r="H17" s="71"/>
      <c r="I17" s="71"/>
      <c r="J17" s="71"/>
      <c r="K17" s="71"/>
      <c r="L17" s="71"/>
      <c r="M17" s="48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86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1</v>
      </c>
      <c r="J18" s="46">
        <v>0</v>
      </c>
      <c r="K18" s="53"/>
      <c r="L18" s="53"/>
      <c r="M18" s="57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86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1</v>
      </c>
      <c r="J19" s="46">
        <v>0</v>
      </c>
      <c r="K19" s="53"/>
      <c r="L19" s="53"/>
      <c r="M19" s="48"/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86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1</v>
      </c>
      <c r="J20" s="46">
        <v>0</v>
      </c>
      <c r="K20" s="53"/>
      <c r="L20" s="53"/>
      <c r="M20" s="57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48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86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1</v>
      </c>
      <c r="J22" s="46">
        <v>0</v>
      </c>
      <c r="K22" s="53"/>
      <c r="L22" s="53"/>
      <c r="M22" s="48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86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1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86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48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86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45">
        <v>1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86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45">
        <v>1</v>
      </c>
      <c r="J27" s="46">
        <v>0</v>
      </c>
      <c r="K27" s="53"/>
      <c r="L27" s="53"/>
      <c r="M27" s="48"/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86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45">
        <v>1</v>
      </c>
      <c r="J28" s="46">
        <v>0</v>
      </c>
      <c r="K28" s="53"/>
      <c r="L28" s="53"/>
      <c r="M28" s="48"/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86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45">
        <v>1</v>
      </c>
      <c r="J29" s="46">
        <v>0</v>
      </c>
      <c r="K29" s="53"/>
      <c r="L29" s="53"/>
      <c r="M29" s="48"/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4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45">
        <v>1</v>
      </c>
      <c r="J31" s="46">
        <v>0</v>
      </c>
      <c r="K31" s="53"/>
      <c r="L31" s="53"/>
      <c r="M31" s="48"/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45">
        <v>1</v>
      </c>
      <c r="J32" s="46">
        <v>0</v>
      </c>
      <c r="K32" s="53"/>
      <c r="L32" s="53"/>
      <c r="M32" s="48"/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86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45">
        <v>1</v>
      </c>
      <c r="J33" s="46">
        <v>0</v>
      </c>
      <c r="K33" s="53"/>
      <c r="L33" s="53"/>
      <c r="M33" s="48"/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86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45">
        <v>1</v>
      </c>
      <c r="J34" s="46">
        <v>0</v>
      </c>
      <c r="K34" s="53"/>
      <c r="L34" s="53"/>
      <c r="M34" s="48"/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86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45">
        <v>1</v>
      </c>
      <c r="J35" s="46">
        <v>0</v>
      </c>
      <c r="K35" s="53"/>
      <c r="L35" s="53"/>
      <c r="M35" s="48"/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156</v>
      </c>
      <c r="I36" s="45">
        <v>1</v>
      </c>
      <c r="J36" s="46">
        <v>0</v>
      </c>
      <c r="K36" s="53"/>
      <c r="L36" s="53"/>
      <c r="M36" s="48"/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86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45">
        <v>0</v>
      </c>
      <c r="J37" s="46">
        <v>0</v>
      </c>
      <c r="K37" s="53"/>
      <c r="L37" s="53"/>
      <c r="M37" s="48" t="s">
        <v>50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48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86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0</v>
      </c>
      <c r="J39" s="46">
        <v>0</v>
      </c>
      <c r="K39" s="53"/>
      <c r="L39" s="53"/>
      <c r="M39" s="48" t="s">
        <v>50</v>
      </c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86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0</v>
      </c>
      <c r="J40" s="46">
        <v>0</v>
      </c>
      <c r="K40" s="53"/>
      <c r="L40" s="53"/>
      <c r="M40" s="48" t="s">
        <v>50</v>
      </c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86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</v>
      </c>
      <c r="J41" s="46">
        <v>0</v>
      </c>
      <c r="K41" s="53"/>
      <c r="L41" s="53"/>
      <c r="M41" s="48" t="s">
        <v>50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48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1</v>
      </c>
      <c r="J43" s="46">
        <v>0</v>
      </c>
      <c r="K43" s="53"/>
      <c r="L43" s="53"/>
      <c r="M43" s="48"/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1</v>
      </c>
      <c r="J44" s="46">
        <v>0</v>
      </c>
      <c r="K44" s="53"/>
      <c r="L44" s="53"/>
      <c r="M44" s="48"/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1</v>
      </c>
      <c r="J45" s="46">
        <v>0</v>
      </c>
      <c r="K45" s="53"/>
      <c r="L45" s="53"/>
      <c r="M45" s="48"/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48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86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1</v>
      </c>
      <c r="J47" s="46">
        <v>0</v>
      </c>
      <c r="K47" s="53"/>
      <c r="L47" s="53"/>
      <c r="M47" s="48"/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86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/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86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1</v>
      </c>
      <c r="J49" s="46">
        <v>0</v>
      </c>
      <c r="K49" s="53"/>
      <c r="L49" s="53"/>
      <c r="M49" s="48"/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48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86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0</v>
      </c>
      <c r="J51" s="46">
        <v>0</v>
      </c>
      <c r="K51" s="53"/>
      <c r="L51" s="53"/>
      <c r="M51" s="57" t="s">
        <v>199</v>
      </c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86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1</v>
      </c>
      <c r="J52" s="46">
        <v>0</v>
      </c>
      <c r="K52" s="53"/>
      <c r="L52" s="53"/>
      <c r="M52" s="48"/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48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86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0</v>
      </c>
      <c r="J54" s="46">
        <v>0</v>
      </c>
      <c r="K54" s="53"/>
      <c r="L54" s="53"/>
      <c r="M54" s="57" t="s">
        <v>199</v>
      </c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48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86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45">
      <c r="B57" s="40" t="b">
        <f>FALSE()</f>
        <v>0</v>
      </c>
      <c r="C57" s="41" t="s">
        <v>85</v>
      </c>
      <c r="D57" s="42" t="s">
        <v>86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0.5</v>
      </c>
      <c r="J57" s="46">
        <v>0</v>
      </c>
      <c r="K57" s="53"/>
      <c r="L57" s="53"/>
      <c r="M57" s="61" t="s">
        <v>216</v>
      </c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42" t="s">
        <v>86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0.82894736842105265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31</v>
      </c>
      <c r="E62" s="66">
        <f>+D62/D66</f>
        <v>0.81578947368421051</v>
      </c>
      <c r="G62" s="76"/>
      <c r="H62" s="76"/>
      <c r="I62" s="76"/>
      <c r="J62" s="76"/>
      <c r="K62" s="76"/>
      <c r="L62" s="76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1</v>
      </c>
      <c r="E63" s="66">
        <f>+D63/D66</f>
        <v>2.6315789473684209E-2</v>
      </c>
      <c r="F63" s="78" t="s">
        <v>21</v>
      </c>
      <c r="G63" s="78"/>
      <c r="H63" s="78"/>
      <c r="I63" s="78"/>
      <c r="J63" s="78"/>
      <c r="K63" s="78"/>
      <c r="L63" s="7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0"/>
      <c r="G64" s="80"/>
      <c r="H64" s="80"/>
      <c r="I64" s="80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6</v>
      </c>
      <c r="E65" s="66">
        <f>+D65/D66</f>
        <v>0.15789473684210525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5">
    <mergeCell ref="B63:C63"/>
    <mergeCell ref="F63:L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G62:L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22:I24 I26:I37 I39:I41 I43:I45 I47:I49 I51:I52 I54 I56:I58">
    <cfRule type="expression" dxfId="20" priority="19" stopIfTrue="1">
      <formula>I11&gt;=90%</formula>
    </cfRule>
  </conditionalFormatting>
  <dataValidations count="1">
    <dataValidation type="list" allowBlank="1" showErrorMessage="1" sqref="C11:C13 C15:C16 C18:C20 C22:C24 C26:C37 C39:C41 C43:C45 C47:C49 C51:C52 C54 C56:C58" xr:uid="{24084435-B7BF-49C4-8068-BF5B1D0C8B9A}">
      <formula1>$T$11:$T$13</formula1>
    </dataValidation>
  </dataValidations>
  <hyperlinks>
    <hyperlink ref="C2" location="Resumen!A1" display="Resumen!A1" xr:uid="{BA089F2C-E48E-4405-AE98-052D2F18EA2C}"/>
  </hyperlinks>
  <pageMargins left="0.7" right="0.7" top="1.1437499999999998" bottom="1.1437499999999998" header="0.75" footer="0.75"/>
  <pageSetup paperSize="0" scale="48" fitToWidth="0" fitToHeight="0" orientation="landscape" horizontalDpi="0" verticalDpi="0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C731-CF50-41C3-AA65-C34312D5D1A8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C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228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/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>
        <v>45690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83" t="s">
        <v>229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1</v>
      </c>
      <c r="J12" s="46">
        <v>0</v>
      </c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83" t="s">
        <v>230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1</v>
      </c>
      <c r="J13" s="46">
        <v>0</v>
      </c>
      <c r="K13" s="47"/>
      <c r="L13" s="47"/>
      <c r="M13" s="48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1"/>
      <c r="H14" s="71"/>
      <c r="I14" s="71"/>
      <c r="J14" s="71"/>
      <c r="K14" s="71"/>
      <c r="L14" s="71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83" t="s">
        <v>231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1</v>
      </c>
      <c r="J15" s="46">
        <v>0</v>
      </c>
      <c r="K15" s="53"/>
      <c r="L15" s="53"/>
      <c r="M15" s="48"/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83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1</v>
      </c>
      <c r="J16" s="46">
        <v>0</v>
      </c>
      <c r="K16" s="53"/>
      <c r="L16" s="53"/>
      <c r="M16" s="84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1"/>
      <c r="H17" s="71"/>
      <c r="I17" s="71"/>
      <c r="J17" s="71"/>
      <c r="K17" s="71"/>
      <c r="L17" s="71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45.75" customHeight="1">
      <c r="B18" s="40" t="b">
        <f>FALSE()</f>
        <v>0</v>
      </c>
      <c r="C18" s="41" t="s">
        <v>84</v>
      </c>
      <c r="D18" s="53" t="s">
        <v>231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1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5">
      <c r="B19" s="40" t="b">
        <f>FALSE()</f>
        <v>0</v>
      </c>
      <c r="C19" s="41" t="s">
        <v>78</v>
      </c>
      <c r="D19" s="53" t="s">
        <v>231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1</v>
      </c>
      <c r="J19" s="46">
        <v>0</v>
      </c>
      <c r="K19" s="53"/>
      <c r="L19" s="53"/>
      <c r="M19" s="61" t="s">
        <v>233</v>
      </c>
      <c r="N19" s="23"/>
      <c r="O19" s="23"/>
      <c r="P19" s="23"/>
      <c r="Q19" s="23"/>
      <c r="R19" s="23"/>
      <c r="S19" s="23"/>
      <c r="T19" s="23"/>
      <c r="U19" s="23"/>
    </row>
    <row r="20" spans="2:21" ht="36" customHeight="1">
      <c r="B20" s="40" t="b">
        <f>FALSE()</f>
        <v>0</v>
      </c>
      <c r="C20" s="41" t="s">
        <v>78</v>
      </c>
      <c r="D20" s="83" t="s">
        <v>234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1</v>
      </c>
      <c r="J20" s="46">
        <v>0</v>
      </c>
      <c r="K20" s="53"/>
      <c r="L20" s="53"/>
      <c r="M20" s="48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83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1</v>
      </c>
      <c r="J22" s="46">
        <v>0</v>
      </c>
      <c r="K22" s="53"/>
      <c r="L22" s="53"/>
      <c r="M22" s="48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83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1</v>
      </c>
      <c r="J23" s="46">
        <v>0</v>
      </c>
      <c r="K23" s="53"/>
      <c r="L23" s="53"/>
      <c r="M23" s="61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83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83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45">
        <v>1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83" t="s">
        <v>238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45">
        <v>0.22</v>
      </c>
      <c r="J27" s="46">
        <v>0</v>
      </c>
      <c r="K27" s="53"/>
      <c r="L27" s="53"/>
      <c r="M27" s="61" t="s">
        <v>239</v>
      </c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83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45">
        <v>0</v>
      </c>
      <c r="J28" s="46">
        <v>0</v>
      </c>
      <c r="K28" s="53"/>
      <c r="L28" s="53"/>
      <c r="M28" s="61" t="s">
        <v>241</v>
      </c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83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45">
        <v>1</v>
      </c>
      <c r="J29" s="46">
        <v>0</v>
      </c>
      <c r="K29" s="53"/>
      <c r="L29" s="53"/>
      <c r="M29" s="48"/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242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/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243</v>
      </c>
      <c r="F32" s="44" t="s">
        <v>127</v>
      </c>
      <c r="G32" s="44" t="s">
        <v>244</v>
      </c>
      <c r="H32" s="44" t="s">
        <v>245</v>
      </c>
      <c r="I32" s="85">
        <v>1</v>
      </c>
      <c r="J32" s="46">
        <v>0</v>
      </c>
      <c r="K32" s="53"/>
      <c r="L32" s="53"/>
      <c r="M32" s="48"/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83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5">
        <v>1</v>
      </c>
      <c r="J33" s="46">
        <v>0</v>
      </c>
      <c r="K33" s="53"/>
      <c r="L33" s="53"/>
      <c r="M33" s="48"/>
      <c r="N33" s="23"/>
      <c r="O33" s="23"/>
      <c r="P33" s="23"/>
      <c r="Q33" s="23"/>
      <c r="R33" s="23"/>
      <c r="S33" s="23"/>
      <c r="T33" s="23"/>
      <c r="U33" s="23"/>
    </row>
    <row r="34" spans="1:26" ht="78.75">
      <c r="B34" s="40" t="b">
        <f>FALSE()</f>
        <v>0</v>
      </c>
      <c r="C34" s="41" t="s">
        <v>78</v>
      </c>
      <c r="D34" s="83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5">
        <v>1</v>
      </c>
      <c r="J34" s="46">
        <v>0</v>
      </c>
      <c r="K34" s="53"/>
      <c r="L34" s="53"/>
      <c r="M34" s="48"/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83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6">
        <v>0.5</v>
      </c>
      <c r="J35" s="46">
        <v>0</v>
      </c>
      <c r="K35" s="53"/>
      <c r="L35" s="53"/>
      <c r="M35" s="61" t="s">
        <v>247</v>
      </c>
      <c r="N35" s="23"/>
      <c r="O35" s="23"/>
      <c r="P35" s="23"/>
      <c r="Q35" s="23"/>
      <c r="R35" s="23"/>
      <c r="S35" s="23"/>
      <c r="T35" s="23"/>
      <c r="U35" s="23"/>
    </row>
    <row r="36" spans="1:26" ht="90">
      <c r="B36" s="40" t="b">
        <f>FALSE()</f>
        <v>0</v>
      </c>
      <c r="C36" s="41" t="s">
        <v>78</v>
      </c>
      <c r="D36" s="83" t="s">
        <v>248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6">
        <v>0.5</v>
      </c>
      <c r="J36" s="46">
        <v>0</v>
      </c>
      <c r="K36" s="53"/>
      <c r="L36" s="53"/>
      <c r="M36" s="61" t="s">
        <v>250</v>
      </c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83" t="s">
        <v>251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6">
        <v>0</v>
      </c>
      <c r="J37" s="46">
        <v>0</v>
      </c>
      <c r="K37" s="53"/>
      <c r="L37" s="53"/>
      <c r="M37" s="61" t="s">
        <v>252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83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0.5</v>
      </c>
      <c r="J39" s="46">
        <v>0</v>
      </c>
      <c r="K39" s="53"/>
      <c r="L39" s="53"/>
      <c r="M39" s="61" t="s">
        <v>254</v>
      </c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83" t="s">
        <v>153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1</v>
      </c>
      <c r="J40" s="46">
        <v>0</v>
      </c>
      <c r="K40" s="53"/>
      <c r="L40" s="53"/>
      <c r="M40" s="48"/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83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</v>
      </c>
      <c r="J41" s="46">
        <v>0</v>
      </c>
      <c r="K41" s="53"/>
      <c r="L41" s="53"/>
      <c r="M41" s="61" t="s">
        <v>256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>
        <v>45693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1</v>
      </c>
      <c r="J43" s="46">
        <v>0</v>
      </c>
      <c r="K43" s="53"/>
      <c r="L43" s="53"/>
      <c r="M43" s="48"/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>
        <v>45722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1</v>
      </c>
      <c r="J44" s="46">
        <v>0</v>
      </c>
      <c r="K44" s="53"/>
      <c r="L44" s="53"/>
      <c r="M44" s="48"/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>
        <v>45780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1</v>
      </c>
      <c r="J45" s="46">
        <v>0</v>
      </c>
      <c r="K45" s="53"/>
      <c r="L45" s="53"/>
      <c r="M45" s="48"/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83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87">
        <v>0.5</v>
      </c>
      <c r="J47" s="46">
        <v>0</v>
      </c>
      <c r="K47" s="53"/>
      <c r="L47" s="53"/>
      <c r="M47" s="61" t="s">
        <v>257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83" t="s">
        <v>232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/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83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1</v>
      </c>
      <c r="J49" s="46">
        <v>0</v>
      </c>
      <c r="K49" s="53"/>
      <c r="L49" s="53"/>
      <c r="M49" s="48"/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83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48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83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1</v>
      </c>
      <c r="J52" s="46">
        <v>0</v>
      </c>
      <c r="K52" s="53"/>
      <c r="L52" s="53"/>
      <c r="M52" s="48"/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83" t="s">
        <v>259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83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83" t="s">
        <v>260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46">
        <v>0</v>
      </c>
      <c r="K57" s="53"/>
      <c r="L57" s="53"/>
      <c r="M57" s="61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53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0.84789473684210526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30</v>
      </c>
      <c r="E62" s="66">
        <f>+D62/D66</f>
        <v>0.78947368421052633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4</v>
      </c>
      <c r="E63" s="66">
        <f>+D63/D66</f>
        <v>0.10526315789473684</v>
      </c>
      <c r="F63" s="89" t="s">
        <v>262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263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4</v>
      </c>
      <c r="E65" s="66">
        <f>+D65/D66</f>
        <v>0.10526315789473684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22:I24 I39:I41 I43:I45 I48:I49 I51:I52 I54 I56:I58">
    <cfRule type="expression" dxfId="19" priority="20" stopIfTrue="1">
      <formula>I11&gt;=90%</formula>
    </cfRule>
  </conditionalFormatting>
  <conditionalFormatting sqref="I26:I29">
    <cfRule type="expression" dxfId="18" priority="21" stopIfTrue="1">
      <formula>I26&gt;=90%</formula>
    </cfRule>
  </conditionalFormatting>
  <dataValidations count="1">
    <dataValidation type="list" allowBlank="1" showErrorMessage="1" sqref="C11:C13 C15:C16 C18:C20 C22:C24 C26:C37 C39:C41 C43:C45 C47:C49 C51:C52 C54 C56:C58" xr:uid="{945D885B-19C8-490D-9A18-7142357A4929}">
      <formula1>$T$11:$T$13</formula1>
    </dataValidation>
  </dataValidations>
  <hyperlinks>
    <hyperlink ref="C2" location="Resumen!A1" display="Resumen!A1" xr:uid="{124E9947-1039-4A1A-8BCD-B8733D8809FB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59E5-77DE-49BC-9D65-B2284BB8A7B4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34.2851562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264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90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45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86">
        <v>0.5</v>
      </c>
      <c r="J12" s="46">
        <v>0</v>
      </c>
      <c r="K12" s="47"/>
      <c r="L12" s="47"/>
      <c r="M12" s="61" t="s">
        <v>266</v>
      </c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267</v>
      </c>
      <c r="E13" s="43" t="s">
        <v>90</v>
      </c>
      <c r="F13" s="44" t="s">
        <v>81</v>
      </c>
      <c r="G13" s="44" t="s">
        <v>91</v>
      </c>
      <c r="H13" s="44" t="s">
        <v>92</v>
      </c>
      <c r="I13" s="86">
        <v>0.5</v>
      </c>
      <c r="J13" s="46">
        <v>0</v>
      </c>
      <c r="K13" s="47"/>
      <c r="L13" s="47"/>
      <c r="M13" s="61" t="s">
        <v>268</v>
      </c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99"/>
      <c r="H14" s="99"/>
      <c r="I14" s="99"/>
      <c r="J14" s="99"/>
      <c r="K14" s="99"/>
      <c r="L14" s="99"/>
      <c r="M14" s="48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87">
        <v>0.5</v>
      </c>
      <c r="J15" s="46">
        <v>0</v>
      </c>
      <c r="K15" s="53"/>
      <c r="L15" s="53"/>
      <c r="M15" s="61" t="s">
        <v>269</v>
      </c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267</v>
      </c>
      <c r="E16" s="43" t="s">
        <v>98</v>
      </c>
      <c r="F16" s="44" t="s">
        <v>95</v>
      </c>
      <c r="G16" s="44" t="s">
        <v>99</v>
      </c>
      <c r="H16" s="44" t="s">
        <v>100</v>
      </c>
      <c r="I16" s="87">
        <v>0.5</v>
      </c>
      <c r="J16" s="46">
        <v>0</v>
      </c>
      <c r="K16" s="53"/>
      <c r="L16" s="53"/>
      <c r="M16" s="61" t="s">
        <v>270</v>
      </c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99"/>
      <c r="H17" s="99"/>
      <c r="I17" s="99"/>
      <c r="J17" s="99"/>
      <c r="K17" s="99"/>
      <c r="L17" s="99"/>
      <c r="M17" s="48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91">
        <v>0</v>
      </c>
      <c r="J18" s="46">
        <v>0</v>
      </c>
      <c r="K18" s="53"/>
      <c r="L18" s="53"/>
      <c r="M18" s="61" t="s">
        <v>271</v>
      </c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272</v>
      </c>
      <c r="E19" s="43" t="s">
        <v>106</v>
      </c>
      <c r="F19" s="44" t="s">
        <v>81</v>
      </c>
      <c r="G19" s="44" t="s">
        <v>107</v>
      </c>
      <c r="H19" s="44" t="s">
        <v>108</v>
      </c>
      <c r="I19" s="86">
        <v>0.5</v>
      </c>
      <c r="J19" s="46">
        <v>0</v>
      </c>
      <c r="K19" s="53"/>
      <c r="L19" s="53"/>
      <c r="M19" s="61" t="s">
        <v>273</v>
      </c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272</v>
      </c>
      <c r="E20" s="43" t="s">
        <v>109</v>
      </c>
      <c r="F20" s="44" t="s">
        <v>81</v>
      </c>
      <c r="G20" s="44" t="s">
        <v>110</v>
      </c>
      <c r="H20" s="58" t="s">
        <v>111</v>
      </c>
      <c r="I20" s="91">
        <v>0</v>
      </c>
      <c r="J20" s="46">
        <v>0</v>
      </c>
      <c r="K20" s="53"/>
      <c r="L20" s="53"/>
      <c r="M20" s="61" t="s">
        <v>274</v>
      </c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48"/>
      <c r="N21" s="23"/>
      <c r="O21" s="23"/>
      <c r="P21" s="23"/>
      <c r="Q21" s="23"/>
      <c r="R21" s="23"/>
      <c r="S21" s="23"/>
      <c r="T21" s="23"/>
      <c r="U21" s="23"/>
    </row>
    <row r="22" spans="2:21" ht="38.25" customHeight="1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87">
        <v>0.5</v>
      </c>
      <c r="J22" s="46">
        <v>0</v>
      </c>
      <c r="K22" s="53"/>
      <c r="L22" s="53"/>
      <c r="M22" s="61" t="s">
        <v>275</v>
      </c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87">
        <v>0.5</v>
      </c>
      <c r="J23" s="46">
        <v>0</v>
      </c>
      <c r="K23" s="53"/>
      <c r="L23" s="53"/>
      <c r="M23" s="61" t="s">
        <v>276</v>
      </c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86">
        <v>0.5</v>
      </c>
      <c r="J24" s="46">
        <v>0</v>
      </c>
      <c r="K24" s="53"/>
      <c r="L24" s="53"/>
      <c r="M24" s="61" t="s">
        <v>277</v>
      </c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48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86">
        <v>0.5</v>
      </c>
      <c r="J26" s="46">
        <v>0</v>
      </c>
      <c r="K26" s="53"/>
      <c r="L26" s="53"/>
      <c r="M26" s="61" t="s">
        <v>278</v>
      </c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86">
        <v>0.5</v>
      </c>
      <c r="J27" s="46">
        <v>0</v>
      </c>
      <c r="K27" s="53"/>
      <c r="L27" s="53"/>
      <c r="M27" s="61" t="s">
        <v>279</v>
      </c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86">
        <v>0.5</v>
      </c>
      <c r="J28" s="46">
        <v>0</v>
      </c>
      <c r="K28" s="53"/>
      <c r="L28" s="53"/>
      <c r="M28" s="61" t="s">
        <v>279</v>
      </c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86">
        <v>0.5</v>
      </c>
      <c r="J29" s="46">
        <v>0</v>
      </c>
      <c r="K29" s="53"/>
      <c r="L29" s="53"/>
      <c r="M29" s="61" t="s">
        <v>279</v>
      </c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/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85">
        <v>1</v>
      </c>
      <c r="J32" s="46">
        <v>0</v>
      </c>
      <c r="K32" s="53"/>
      <c r="L32" s="53"/>
      <c r="M32" s="48"/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6">
        <v>0.5</v>
      </c>
      <c r="J33" s="46">
        <v>0</v>
      </c>
      <c r="K33" s="53"/>
      <c r="L33" s="53"/>
      <c r="M33" s="61" t="s">
        <v>279</v>
      </c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6">
        <v>0.5</v>
      </c>
      <c r="J34" s="46">
        <v>0</v>
      </c>
      <c r="K34" s="53"/>
      <c r="L34" s="53"/>
      <c r="M34" s="61" t="s">
        <v>279</v>
      </c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6">
        <v>0.5</v>
      </c>
      <c r="J35" s="46">
        <v>0</v>
      </c>
      <c r="K35" s="53"/>
      <c r="L35" s="53"/>
      <c r="M35" s="61" t="s">
        <v>279</v>
      </c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6">
        <v>0.5</v>
      </c>
      <c r="J36" s="46">
        <v>0</v>
      </c>
      <c r="K36" s="53"/>
      <c r="L36" s="53"/>
      <c r="M36" s="61" t="s">
        <v>279</v>
      </c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280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6">
        <v>0.5</v>
      </c>
      <c r="J37" s="46">
        <v>0</v>
      </c>
      <c r="K37" s="53"/>
      <c r="L37" s="53"/>
      <c r="M37" s="61" t="s">
        <v>281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48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87">
        <v>0.5</v>
      </c>
      <c r="J39" s="46">
        <v>0</v>
      </c>
      <c r="K39" s="53"/>
      <c r="L39" s="53"/>
      <c r="M39" s="61" t="s">
        <v>282</v>
      </c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92">
        <v>0</v>
      </c>
      <c r="J40" s="46">
        <v>0</v>
      </c>
      <c r="K40" s="53"/>
      <c r="L40" s="53"/>
      <c r="M40" s="57" t="s">
        <v>283</v>
      </c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92">
        <v>0</v>
      </c>
      <c r="J41" s="46">
        <v>0</v>
      </c>
      <c r="K41" s="53"/>
      <c r="L41" s="53"/>
      <c r="M41" s="57" t="s">
        <v>283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48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92">
        <v>0</v>
      </c>
      <c r="J43" s="46">
        <v>0</v>
      </c>
      <c r="K43" s="53"/>
      <c r="L43" s="53"/>
      <c r="M43" s="57" t="s">
        <v>283</v>
      </c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92">
        <v>0</v>
      </c>
      <c r="J44" s="46">
        <v>0</v>
      </c>
      <c r="K44" s="53"/>
      <c r="L44" s="53"/>
      <c r="M44" s="57" t="s">
        <v>283</v>
      </c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92">
        <v>0</v>
      </c>
      <c r="J45" s="46">
        <v>0</v>
      </c>
      <c r="K45" s="53"/>
      <c r="L45" s="53"/>
      <c r="M45" s="57" t="s">
        <v>283</v>
      </c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48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85">
        <v>1</v>
      </c>
      <c r="J47" s="93">
        <v>0</v>
      </c>
      <c r="K47" s="94"/>
      <c r="L47" s="94"/>
      <c r="M47" s="95" t="s">
        <v>284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267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85">
        <v>1</v>
      </c>
      <c r="J48" s="93">
        <v>0</v>
      </c>
      <c r="K48" s="53"/>
      <c r="L48" s="94"/>
      <c r="M48" s="95"/>
      <c r="N48" s="23"/>
      <c r="O48" s="23"/>
      <c r="P48" s="23"/>
      <c r="Q48" s="23"/>
      <c r="R48" s="23"/>
      <c r="S48" s="23"/>
      <c r="T48" s="23"/>
      <c r="U48" s="23"/>
    </row>
    <row r="49" spans="1:26" ht="45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86">
        <v>0.5</v>
      </c>
      <c r="J49" s="93">
        <v>0</v>
      </c>
      <c r="K49" s="53"/>
      <c r="L49" s="53"/>
      <c r="M49" s="96" t="s">
        <v>285</v>
      </c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48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M51" s="95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0</v>
      </c>
      <c r="J52" s="46">
        <v>0</v>
      </c>
      <c r="K52" s="53"/>
      <c r="L52" s="53"/>
      <c r="M52" s="61" t="s">
        <v>286</v>
      </c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48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48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93">
        <v>0</v>
      </c>
      <c r="K56" s="53"/>
      <c r="L56" s="53"/>
      <c r="M56" s="97"/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93">
        <v>0</v>
      </c>
      <c r="K57" s="53"/>
      <c r="L57" s="53"/>
      <c r="M57" s="97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93">
        <v>0</v>
      </c>
      <c r="K58" s="53"/>
      <c r="L58" s="94"/>
      <c r="M58" s="95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H59" s="14"/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I60" s="62">
        <f>AVERAGE(I11:I58)</f>
        <v>0.53947368421052633</v>
      </c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H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11</v>
      </c>
      <c r="E62" s="66">
        <f>+D62/D66</f>
        <v>0.28947368421052633</v>
      </c>
      <c r="G62" s="98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19</v>
      </c>
      <c r="E63" s="66">
        <f>+D63/D66</f>
        <v>0.5</v>
      </c>
      <c r="F63" s="89" t="s">
        <v>288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289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8</v>
      </c>
      <c r="E65" s="66">
        <f>+D65/D66</f>
        <v>0.21052631578947367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51:I52 I54 I56:I58">
    <cfRule type="expression" dxfId="17" priority="1" stopIfTrue="1">
      <formula>I51&gt;=90%</formula>
    </cfRule>
  </conditionalFormatting>
  <dataValidations count="1">
    <dataValidation type="list" allowBlank="1" showErrorMessage="1" sqref="C11:C13 C15:C16 C18:C20 C22:C24 C26:C37 C39:C41 C43:C45 C47:C49 C51:C52 C54 C56:C58" xr:uid="{2C870125-B8F2-43FE-93EA-C5E043395B6C}">
      <formula1>$T$11:$T$13</formula1>
    </dataValidation>
  </dataValidations>
  <hyperlinks>
    <hyperlink ref="B2" location="Resumen!A1" display="Resumen!A1" xr:uid="{06837F73-B6C9-4869-890B-63C5824F3F3C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1822-6EE2-47A1-BCE9-F4A432496805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50.855468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290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100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100">
        <v>1</v>
      </c>
      <c r="J12" s="46">
        <v>0</v>
      </c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267</v>
      </c>
      <c r="E13" s="43" t="s">
        <v>90</v>
      </c>
      <c r="F13" s="44" t="s">
        <v>81</v>
      </c>
      <c r="G13" s="44" t="s">
        <v>91</v>
      </c>
      <c r="H13" s="44" t="s">
        <v>92</v>
      </c>
      <c r="I13" s="100">
        <v>1</v>
      </c>
      <c r="J13" s="46">
        <v>0</v>
      </c>
      <c r="K13" s="47"/>
      <c r="L13" s="47"/>
      <c r="M13" s="48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99"/>
      <c r="H14" s="99"/>
      <c r="I14" s="99"/>
      <c r="J14" s="99"/>
      <c r="K14" s="99"/>
      <c r="L14" s="99"/>
      <c r="M14" s="56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100">
        <v>1</v>
      </c>
      <c r="J15" s="46">
        <v>0</v>
      </c>
      <c r="K15" s="53"/>
      <c r="L15" s="53"/>
      <c r="M15" s="48"/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267</v>
      </c>
      <c r="E16" s="43" t="s">
        <v>98</v>
      </c>
      <c r="F16" s="44" t="s">
        <v>95</v>
      </c>
      <c r="G16" s="44" t="s">
        <v>99</v>
      </c>
      <c r="H16" s="44" t="s">
        <v>100</v>
      </c>
      <c r="I16" s="100">
        <v>1</v>
      </c>
      <c r="J16" s="46">
        <v>0</v>
      </c>
      <c r="K16" s="53"/>
      <c r="L16" s="53"/>
      <c r="M16" s="48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2"/>
      <c r="H17" s="72"/>
      <c r="I17" s="72"/>
      <c r="J17" s="72"/>
      <c r="K17" s="72"/>
      <c r="L17" s="72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100">
        <v>1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272</v>
      </c>
      <c r="E19" s="43" t="s">
        <v>106</v>
      </c>
      <c r="F19" s="44" t="s">
        <v>81</v>
      </c>
      <c r="G19" s="44" t="s">
        <v>107</v>
      </c>
      <c r="H19" s="44" t="s">
        <v>108</v>
      </c>
      <c r="I19" s="100">
        <v>1</v>
      </c>
      <c r="J19" s="46">
        <v>0</v>
      </c>
      <c r="K19" s="53"/>
      <c r="L19" s="53"/>
      <c r="M19" s="48"/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272</v>
      </c>
      <c r="E20" s="43" t="s">
        <v>109</v>
      </c>
      <c r="F20" s="44" t="s">
        <v>81</v>
      </c>
      <c r="G20" s="44" t="s">
        <v>110</v>
      </c>
      <c r="H20" s="58" t="s">
        <v>111</v>
      </c>
      <c r="I20" s="100">
        <v>1</v>
      </c>
      <c r="J20" s="46">
        <v>0</v>
      </c>
      <c r="K20" s="53"/>
      <c r="L20" s="53"/>
      <c r="M20" s="48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100">
        <v>1</v>
      </c>
      <c r="J22" s="46">
        <v>0</v>
      </c>
      <c r="K22" s="53"/>
      <c r="L22" s="53"/>
      <c r="M22" s="61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100">
        <v>1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100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100">
        <v>1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100">
        <v>1</v>
      </c>
      <c r="J27" s="46">
        <v>0</v>
      </c>
      <c r="K27" s="53"/>
      <c r="L27" s="53"/>
      <c r="M27" s="61"/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100">
        <v>1</v>
      </c>
      <c r="J28" s="46">
        <v>0</v>
      </c>
      <c r="K28" s="53"/>
      <c r="L28" s="53"/>
      <c r="M28" s="48"/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100">
        <v>1</v>
      </c>
      <c r="J29" s="46">
        <v>0</v>
      </c>
      <c r="K29" s="53"/>
      <c r="L29" s="53"/>
      <c r="M29" s="48"/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/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85">
        <v>1</v>
      </c>
      <c r="J32" s="46">
        <v>0</v>
      </c>
      <c r="K32" s="53"/>
      <c r="L32" s="53"/>
      <c r="M32" s="48"/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5">
        <v>1</v>
      </c>
      <c r="J33" s="46">
        <v>0</v>
      </c>
      <c r="K33" s="53"/>
      <c r="L33" s="53"/>
      <c r="M33" s="48"/>
      <c r="N33" s="23"/>
      <c r="O33" s="23"/>
      <c r="P33" s="23"/>
      <c r="Q33" s="23"/>
      <c r="R33" s="23"/>
      <c r="S33" s="23"/>
      <c r="T33" s="23"/>
      <c r="U33" s="23"/>
    </row>
    <row r="34" spans="1:26" ht="78.75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5">
        <v>1</v>
      </c>
      <c r="J34" s="46">
        <v>0</v>
      </c>
      <c r="K34" s="53"/>
      <c r="L34" s="53"/>
      <c r="M34" s="61"/>
      <c r="N34" s="23"/>
      <c r="O34" s="23"/>
      <c r="P34" s="23"/>
      <c r="Q34" s="23"/>
      <c r="R34" s="23"/>
      <c r="S34" s="23"/>
      <c r="T34" s="23"/>
      <c r="U34" s="23"/>
    </row>
    <row r="35" spans="1:26" ht="97.5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5">
        <v>1</v>
      </c>
      <c r="J35" s="46">
        <v>0</v>
      </c>
      <c r="K35" s="53"/>
      <c r="L35" s="53"/>
      <c r="M35" s="61" t="s">
        <v>291</v>
      </c>
      <c r="N35" s="23"/>
      <c r="O35" s="23"/>
      <c r="P35" s="23"/>
      <c r="Q35" s="23"/>
      <c r="R35" s="23"/>
      <c r="S35" s="23"/>
      <c r="T35" s="23"/>
      <c r="U35" s="23"/>
    </row>
    <row r="36" spans="1:26" ht="90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6">
        <v>0.67</v>
      </c>
      <c r="J36" s="46">
        <v>0</v>
      </c>
      <c r="K36" s="53"/>
      <c r="L36" s="53"/>
      <c r="M36" s="61" t="s">
        <v>292</v>
      </c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280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5">
        <v>1</v>
      </c>
      <c r="J37" s="46">
        <v>0</v>
      </c>
      <c r="K37" s="53"/>
      <c r="L37" s="53"/>
      <c r="M37" s="48"/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6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85">
        <v>1</v>
      </c>
      <c r="J39" s="46">
        <v>0</v>
      </c>
      <c r="K39" s="53"/>
      <c r="L39" s="53"/>
      <c r="M39" s="48"/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85">
        <v>1</v>
      </c>
      <c r="J40" s="46">
        <v>0</v>
      </c>
      <c r="K40" s="53"/>
      <c r="L40" s="53"/>
      <c r="M40" s="48"/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85">
        <v>1</v>
      </c>
      <c r="J41" s="46">
        <v>0</v>
      </c>
      <c r="K41" s="53"/>
      <c r="L41" s="53"/>
      <c r="M41" s="48"/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6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85">
        <v>1</v>
      </c>
      <c r="J43" s="46">
        <v>0</v>
      </c>
      <c r="K43" s="53"/>
      <c r="L43" s="53"/>
      <c r="M43" s="48"/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85">
        <v>1</v>
      </c>
      <c r="J44" s="46">
        <v>0</v>
      </c>
      <c r="K44" s="53"/>
      <c r="L44" s="53"/>
      <c r="M44" s="48"/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85">
        <v>1</v>
      </c>
      <c r="J45" s="46">
        <v>0</v>
      </c>
      <c r="K45" s="53"/>
      <c r="L45" s="53"/>
      <c r="M45" s="48"/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87">
        <v>0.5</v>
      </c>
      <c r="J47" s="46">
        <v>0</v>
      </c>
      <c r="K47" s="53"/>
      <c r="L47" s="53"/>
      <c r="M47" s="61" t="s">
        <v>293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267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57"/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85">
        <v>1</v>
      </c>
      <c r="J49" s="46">
        <v>0</v>
      </c>
      <c r="K49" s="53"/>
      <c r="L49" s="53"/>
      <c r="M49" s="48"/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6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61" t="s">
        <v>294</v>
      </c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1</v>
      </c>
      <c r="J52" s="46">
        <v>0</v>
      </c>
      <c r="K52" s="53"/>
      <c r="L52" s="53"/>
      <c r="M52" s="48"/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6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57" t="s">
        <v>295</v>
      </c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46">
        <v>0</v>
      </c>
      <c r="K57" s="53"/>
      <c r="L57" s="53"/>
      <c r="M57" s="48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0.97815789473684212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36</v>
      </c>
      <c r="E62" s="66">
        <f>+D62/D66</f>
        <v>0.94736842105263153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2</v>
      </c>
      <c r="E63" s="66">
        <f>+D63/D66</f>
        <v>5.2631578947368418E-2</v>
      </c>
      <c r="F63" s="89" t="s">
        <v>296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289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0</v>
      </c>
      <c r="E65" s="66">
        <f>+D65/D66</f>
        <v>0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48 I51:I52 I54 I56:I58">
    <cfRule type="expression" dxfId="16" priority="2" stopIfTrue="1">
      <formula>I48&gt;=90%</formula>
    </cfRule>
  </conditionalFormatting>
  <dataValidations count="1">
    <dataValidation type="list" allowBlank="1" showErrorMessage="1" sqref="C11:C13 C15:C16 C18:C20 C22:C24 C26:C37 C39:C41 C43:C45 C47:C49 C51:C52 C54 C56:C58" xr:uid="{5379A562-805A-4E0E-93B1-90135F0AB399}">
      <formula1>$T$11:$T$13</formula1>
    </dataValidation>
  </dataValidations>
  <hyperlinks>
    <hyperlink ref="B2" location="Resumen!A1" display="Resumen!A1" xr:uid="{1D1FEC2A-032A-4965-BD52-455314E8A634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DCF9-9E74-4F3C-8F2A-D3185DBDE90A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297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53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100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101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100">
        <v>1</v>
      </c>
      <c r="J12" s="46">
        <v>0</v>
      </c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101" t="s">
        <v>232</v>
      </c>
      <c r="E13" s="43" t="s">
        <v>90</v>
      </c>
      <c r="F13" s="44" t="s">
        <v>81</v>
      </c>
      <c r="G13" s="44" t="s">
        <v>91</v>
      </c>
      <c r="H13" s="44" t="s">
        <v>92</v>
      </c>
      <c r="I13" s="100">
        <v>1</v>
      </c>
      <c r="J13" s="46">
        <v>0</v>
      </c>
      <c r="K13" s="47"/>
      <c r="L13" s="47"/>
      <c r="M13" s="48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102"/>
      <c r="E14" s="37" t="s">
        <v>93</v>
      </c>
      <c r="F14" s="52"/>
      <c r="G14" s="71"/>
      <c r="H14" s="71"/>
      <c r="I14" s="71"/>
      <c r="J14" s="71"/>
      <c r="K14" s="71"/>
      <c r="L14" s="71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101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100">
        <v>1</v>
      </c>
      <c r="J15" s="46">
        <v>0</v>
      </c>
      <c r="K15" s="53"/>
      <c r="L15" s="53"/>
      <c r="M15" s="48"/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101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100">
        <v>1</v>
      </c>
      <c r="J16" s="46">
        <v>0</v>
      </c>
      <c r="K16" s="53"/>
      <c r="L16" s="53"/>
      <c r="M16" s="84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102"/>
      <c r="E17" s="37" t="s">
        <v>101</v>
      </c>
      <c r="F17" s="56"/>
      <c r="G17" s="71"/>
      <c r="H17" s="71"/>
      <c r="I17" s="71"/>
      <c r="J17" s="71"/>
      <c r="K17" s="71"/>
      <c r="L17" s="71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45">
      <c r="B18" s="40" t="b">
        <f>FALSE()</f>
        <v>0</v>
      </c>
      <c r="C18" s="41" t="s">
        <v>84</v>
      </c>
      <c r="D18" s="101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87">
        <v>0.5</v>
      </c>
      <c r="J18" s="46">
        <v>0</v>
      </c>
      <c r="K18" s="53"/>
      <c r="L18" s="53"/>
      <c r="M18" s="61" t="s">
        <v>298</v>
      </c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101" t="s">
        <v>299</v>
      </c>
      <c r="E19" s="43" t="s">
        <v>106</v>
      </c>
      <c r="F19" s="44" t="s">
        <v>81</v>
      </c>
      <c r="G19" s="44" t="s">
        <v>107</v>
      </c>
      <c r="H19" s="44" t="s">
        <v>108</v>
      </c>
      <c r="I19" s="86">
        <v>0.75</v>
      </c>
      <c r="J19" s="46">
        <v>0</v>
      </c>
      <c r="K19" s="53"/>
      <c r="L19" s="53"/>
      <c r="M19" s="61" t="s">
        <v>300</v>
      </c>
      <c r="N19" s="23"/>
      <c r="O19" s="23"/>
      <c r="P19" s="23"/>
      <c r="Q19" s="23"/>
      <c r="R19" s="23"/>
      <c r="S19" s="23"/>
      <c r="T19" s="23"/>
      <c r="U19" s="23"/>
    </row>
    <row r="20" spans="2:21" ht="45">
      <c r="B20" s="40" t="b">
        <f>FALSE()</f>
        <v>0</v>
      </c>
      <c r="C20" s="41" t="s">
        <v>78</v>
      </c>
      <c r="D20" s="101" t="s">
        <v>299</v>
      </c>
      <c r="E20" s="43" t="s">
        <v>109</v>
      </c>
      <c r="F20" s="44" t="s">
        <v>81</v>
      </c>
      <c r="G20" s="44" t="s">
        <v>110</v>
      </c>
      <c r="H20" s="58" t="s">
        <v>111</v>
      </c>
      <c r="I20" s="86">
        <v>0.5</v>
      </c>
      <c r="J20" s="46">
        <v>0</v>
      </c>
      <c r="K20" s="53"/>
      <c r="L20" s="53"/>
      <c r="M20" s="61" t="s">
        <v>301</v>
      </c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102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25.5">
      <c r="B22" s="40" t="b">
        <f>FALSE()</f>
        <v>0</v>
      </c>
      <c r="C22" s="41" t="s">
        <v>85</v>
      </c>
      <c r="D22" s="101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1</v>
      </c>
      <c r="J22" s="46">
        <v>0</v>
      </c>
      <c r="K22" s="53"/>
      <c r="L22" s="53"/>
      <c r="M22" s="61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101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1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101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53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85">
        <v>1</v>
      </c>
      <c r="J26" s="46">
        <v>0</v>
      </c>
      <c r="K26" s="53"/>
      <c r="L26" s="53"/>
      <c r="M26" s="61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101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86">
        <v>0.5</v>
      </c>
      <c r="J27" s="46">
        <v>0</v>
      </c>
      <c r="K27" s="53"/>
      <c r="L27" s="53"/>
      <c r="M27" s="61" t="s">
        <v>302</v>
      </c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101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86">
        <v>0.5</v>
      </c>
      <c r="J28" s="46">
        <v>0</v>
      </c>
      <c r="K28" s="53"/>
      <c r="L28" s="53"/>
      <c r="M28" s="61" t="s">
        <v>303</v>
      </c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101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86">
        <v>0.5</v>
      </c>
      <c r="J29" s="46">
        <v>0</v>
      </c>
      <c r="K29" s="53"/>
      <c r="L29" s="53"/>
      <c r="M29" s="61" t="s">
        <v>279</v>
      </c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103">
        <v>45838</v>
      </c>
      <c r="E30" s="43" t="s">
        <v>304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103">
        <v>45991</v>
      </c>
      <c r="E31" s="43" t="s">
        <v>305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/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103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85">
        <v>1</v>
      </c>
      <c r="J32" s="46">
        <v>0</v>
      </c>
      <c r="K32" s="53"/>
      <c r="L32" s="53"/>
      <c r="M32" s="48"/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101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5">
        <v>1</v>
      </c>
      <c r="J33" s="46">
        <v>0</v>
      </c>
      <c r="K33" s="53"/>
      <c r="L33" s="53"/>
      <c r="M33" s="48"/>
      <c r="N33" s="23"/>
      <c r="O33" s="23"/>
      <c r="P33" s="23"/>
      <c r="Q33" s="23"/>
      <c r="R33" s="23"/>
      <c r="S33" s="23"/>
      <c r="T33" s="23"/>
      <c r="U33" s="23"/>
    </row>
    <row r="34" spans="1:26" ht="75" customHeight="1">
      <c r="B34" s="40" t="b">
        <f>FALSE()</f>
        <v>0</v>
      </c>
      <c r="C34" s="41" t="s">
        <v>78</v>
      </c>
      <c r="D34" s="101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6">
        <v>0.5</v>
      </c>
      <c r="J34" s="46">
        <v>0</v>
      </c>
      <c r="K34" s="53"/>
      <c r="L34" s="53"/>
      <c r="M34" s="61" t="s">
        <v>279</v>
      </c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101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6">
        <v>0.5</v>
      </c>
      <c r="J35" s="46">
        <v>0</v>
      </c>
      <c r="K35" s="53"/>
      <c r="L35" s="53"/>
      <c r="M35" s="61" t="s">
        <v>279</v>
      </c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101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6">
        <v>0.5</v>
      </c>
      <c r="J36" s="46">
        <v>0</v>
      </c>
      <c r="K36" s="53"/>
      <c r="L36" s="53"/>
      <c r="M36" s="61" t="s">
        <v>279</v>
      </c>
      <c r="N36" s="23"/>
      <c r="O36" s="23"/>
      <c r="P36" s="23"/>
      <c r="Q36" s="23"/>
      <c r="R36" s="23"/>
      <c r="S36" s="23"/>
      <c r="T36" s="23"/>
      <c r="U36" s="23"/>
    </row>
    <row r="37" spans="1:26" ht="33.75">
      <c r="B37" s="40" t="b">
        <f>FALSE()</f>
        <v>0</v>
      </c>
      <c r="C37" s="41" t="s">
        <v>85</v>
      </c>
      <c r="D37" s="101" t="s">
        <v>306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5">
        <v>1</v>
      </c>
      <c r="J37" s="46">
        <v>0</v>
      </c>
      <c r="K37" s="53"/>
      <c r="L37" s="53"/>
      <c r="M37" s="61"/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102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101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1</v>
      </c>
      <c r="J39" s="46">
        <v>0</v>
      </c>
      <c r="K39" s="53"/>
      <c r="L39" s="53"/>
      <c r="M39" s="48"/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101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1</v>
      </c>
      <c r="J40" s="46">
        <v>0</v>
      </c>
      <c r="K40" s="53"/>
      <c r="L40" s="53"/>
      <c r="M40" s="48"/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101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1</v>
      </c>
      <c r="J41" s="46">
        <v>0</v>
      </c>
      <c r="K41" s="53"/>
      <c r="L41" s="53"/>
      <c r="M41" s="48"/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102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101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1</v>
      </c>
      <c r="J43" s="46">
        <v>0</v>
      </c>
      <c r="K43" s="53"/>
      <c r="L43" s="53"/>
      <c r="M43" s="48"/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101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1</v>
      </c>
      <c r="J44" s="46">
        <v>0</v>
      </c>
      <c r="K44" s="53"/>
      <c r="L44" s="53"/>
      <c r="M44" s="48"/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101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1</v>
      </c>
      <c r="J45" s="46">
        <v>0</v>
      </c>
      <c r="K45" s="53"/>
      <c r="L45" s="53"/>
      <c r="M45" s="48"/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53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0.5</v>
      </c>
      <c r="J47" s="46">
        <v>0</v>
      </c>
      <c r="K47" s="53"/>
      <c r="L47" s="53"/>
      <c r="M47" s="61" t="s">
        <v>307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101" t="s">
        <v>232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/>
      <c r="N48" s="23"/>
      <c r="O48" s="23"/>
      <c r="P48" s="23"/>
      <c r="Q48" s="23"/>
      <c r="R48" s="23"/>
      <c r="S48" s="23"/>
      <c r="T48" s="23"/>
      <c r="U48" s="23"/>
    </row>
    <row r="49" spans="1:26" ht="60">
      <c r="B49" s="40" t="b">
        <f>FALSE()</f>
        <v>0</v>
      </c>
      <c r="C49" s="41" t="s">
        <v>85</v>
      </c>
      <c r="D49" s="101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1</v>
      </c>
      <c r="J49" s="46">
        <v>0</v>
      </c>
      <c r="K49" s="53"/>
      <c r="L49" s="53"/>
      <c r="M49" s="61" t="s">
        <v>308</v>
      </c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102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101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48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101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1</v>
      </c>
      <c r="J52" s="46">
        <v>0</v>
      </c>
      <c r="K52" s="53"/>
      <c r="L52" s="53"/>
      <c r="M52" s="48"/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102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101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53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101" t="s">
        <v>261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46">
        <v>0</v>
      </c>
      <c r="K57" s="53"/>
      <c r="L57" s="53"/>
      <c r="M57" s="48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101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0.875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28</v>
      </c>
      <c r="E62" s="66">
        <f>+D62/D66</f>
        <v>0.73684210526315785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10</v>
      </c>
      <c r="E63" s="66">
        <f>+D63/D66</f>
        <v>0.26315789473684209</v>
      </c>
      <c r="F63" s="89" t="s">
        <v>288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289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0</v>
      </c>
      <c r="E65" s="66">
        <f>+D65/D66</f>
        <v>0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22:I24 I39:I41 I43:I45 I47:I49 I51:I52 I54 I56:I58">
    <cfRule type="expression" dxfId="15" priority="3" stopIfTrue="1">
      <formula>I22&gt;=90%</formula>
    </cfRule>
  </conditionalFormatting>
  <dataValidations count="1">
    <dataValidation type="list" allowBlank="1" showErrorMessage="1" sqref="C11:C13 C15:C16 C18:C20 C22:C24 C26:C37 C39:C41 C43:C45 C47:C49 C51:C52 C54 C56:C58" xr:uid="{B24A11D1-C369-47A1-9F50-40B85C4DD3A1}">
      <formula1>$T$11:$T$13</formula1>
    </dataValidation>
  </dataValidations>
  <hyperlinks>
    <hyperlink ref="B2" location="Resumen!A1" display="Resumen!A1" xr:uid="{7C5C00BC-B532-4174-9D6D-25A1852305F2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2A53-F70F-442A-8524-F4D04017D964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309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100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100">
        <v>1</v>
      </c>
      <c r="J12" s="46">
        <v>0</v>
      </c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232</v>
      </c>
      <c r="E13" s="43" t="s">
        <v>90</v>
      </c>
      <c r="F13" s="44" t="s">
        <v>81</v>
      </c>
      <c r="G13" s="44" t="s">
        <v>91</v>
      </c>
      <c r="H13" s="44" t="s">
        <v>92</v>
      </c>
      <c r="I13" s="100">
        <v>1</v>
      </c>
      <c r="J13" s="46">
        <v>0</v>
      </c>
      <c r="K13" s="47"/>
      <c r="L13" s="47"/>
      <c r="M13" s="57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1"/>
      <c r="H14" s="71"/>
      <c r="I14" s="71"/>
      <c r="J14" s="71"/>
      <c r="K14" s="71"/>
      <c r="L14" s="71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100">
        <v>1</v>
      </c>
      <c r="J15" s="46">
        <v>0</v>
      </c>
      <c r="K15" s="53"/>
      <c r="L15" s="53"/>
      <c r="M15" s="48"/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100">
        <v>1</v>
      </c>
      <c r="J16" s="46">
        <v>0</v>
      </c>
      <c r="K16" s="53"/>
      <c r="L16" s="53"/>
      <c r="M16" s="84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1"/>
      <c r="H17" s="71"/>
      <c r="I17" s="71"/>
      <c r="J17" s="71"/>
      <c r="K17" s="71"/>
      <c r="L17" s="71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100">
        <v>1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299</v>
      </c>
      <c r="E19" s="43" t="s">
        <v>106</v>
      </c>
      <c r="F19" s="44" t="s">
        <v>81</v>
      </c>
      <c r="G19" s="44" t="s">
        <v>107</v>
      </c>
      <c r="H19" s="44" t="s">
        <v>108</v>
      </c>
      <c r="I19" s="100">
        <v>1</v>
      </c>
      <c r="J19" s="46">
        <v>0</v>
      </c>
      <c r="K19" s="53"/>
      <c r="L19" s="53"/>
      <c r="M19" s="48"/>
      <c r="N19" s="23"/>
      <c r="O19" s="23"/>
      <c r="P19" s="23"/>
      <c r="Q19" s="23"/>
      <c r="R19" s="23"/>
      <c r="S19" s="23"/>
      <c r="T19" s="23"/>
      <c r="U19" s="23"/>
    </row>
    <row r="20" spans="2:21" ht="22.5">
      <c r="B20" s="40" t="b">
        <f>FALSE()</f>
        <v>0</v>
      </c>
      <c r="C20" s="41" t="s">
        <v>78</v>
      </c>
      <c r="D20" s="42" t="s">
        <v>299</v>
      </c>
      <c r="E20" s="43" t="s">
        <v>109</v>
      </c>
      <c r="F20" s="44" t="s">
        <v>81</v>
      </c>
      <c r="G20" s="44" t="s">
        <v>110</v>
      </c>
      <c r="H20" s="58" t="s">
        <v>111</v>
      </c>
      <c r="I20" s="100">
        <v>1</v>
      </c>
      <c r="J20" s="46">
        <v>0</v>
      </c>
      <c r="K20" s="53"/>
      <c r="L20" s="53"/>
      <c r="M20" s="61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25.5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100">
        <v>1</v>
      </c>
      <c r="J22" s="46">
        <v>0</v>
      </c>
      <c r="K22" s="53"/>
      <c r="L22" s="53"/>
      <c r="M22" s="61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100">
        <v>1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100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100">
        <v>1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100">
        <v>1</v>
      </c>
      <c r="J27" s="46">
        <v>0</v>
      </c>
      <c r="K27" s="53"/>
      <c r="L27" s="53"/>
      <c r="M27" s="61"/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100">
        <v>1</v>
      </c>
      <c r="J28" s="46">
        <v>0</v>
      </c>
      <c r="K28" s="53"/>
      <c r="L28" s="53"/>
      <c r="M28" s="48"/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100">
        <v>1</v>
      </c>
      <c r="J29" s="46">
        <v>0</v>
      </c>
      <c r="K29" s="53"/>
      <c r="L29" s="53"/>
      <c r="M29" s="61"/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/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85">
        <v>1</v>
      </c>
      <c r="J32" s="46">
        <v>0</v>
      </c>
      <c r="K32" s="53"/>
      <c r="L32" s="53"/>
      <c r="M32" s="48"/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5">
        <v>1</v>
      </c>
      <c r="J33" s="46">
        <v>0</v>
      </c>
      <c r="K33" s="53"/>
      <c r="L33" s="53"/>
      <c r="M33" s="48"/>
      <c r="N33" s="23"/>
      <c r="O33" s="23"/>
      <c r="P33" s="23"/>
      <c r="Q33" s="23"/>
      <c r="R33" s="23"/>
      <c r="S33" s="23"/>
      <c r="T33" s="23"/>
      <c r="U33" s="23"/>
    </row>
    <row r="34" spans="1:26" ht="78.75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6">
        <v>0.75</v>
      </c>
      <c r="J34" s="46">
        <v>0</v>
      </c>
      <c r="K34" s="53"/>
      <c r="L34" s="53"/>
      <c r="M34" s="61" t="s">
        <v>310</v>
      </c>
      <c r="N34" s="23"/>
      <c r="O34" s="23"/>
      <c r="P34" s="23"/>
      <c r="Q34" s="23"/>
      <c r="R34" s="23"/>
      <c r="S34" s="23"/>
      <c r="T34" s="23"/>
      <c r="U34" s="23"/>
    </row>
    <row r="35" spans="1:26" ht="112.5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6">
        <v>0.75</v>
      </c>
      <c r="J35" s="46">
        <v>0</v>
      </c>
      <c r="K35" s="53"/>
      <c r="L35" s="53"/>
      <c r="M35" s="61" t="s">
        <v>311</v>
      </c>
      <c r="N35" s="23"/>
      <c r="O35" s="23"/>
      <c r="P35" s="23"/>
      <c r="Q35" s="23"/>
      <c r="R35" s="23"/>
      <c r="S35" s="23"/>
      <c r="T35" s="23"/>
      <c r="U35" s="23"/>
    </row>
    <row r="36" spans="1:26" ht="90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6">
        <v>0.5</v>
      </c>
      <c r="J36" s="46">
        <v>0</v>
      </c>
      <c r="K36" s="53"/>
      <c r="L36" s="53"/>
      <c r="M36" s="61" t="s">
        <v>312</v>
      </c>
      <c r="N36" s="23"/>
      <c r="O36" s="23"/>
      <c r="P36" s="23"/>
      <c r="Q36" s="23"/>
      <c r="R36" s="23"/>
      <c r="S36" s="23"/>
      <c r="T36" s="23"/>
      <c r="U36" s="23"/>
    </row>
    <row r="37" spans="1:26" ht="33.75">
      <c r="B37" s="40" t="b">
        <f>FALSE()</f>
        <v>0</v>
      </c>
      <c r="C37" s="41" t="s">
        <v>85</v>
      </c>
      <c r="D37" s="42" t="s">
        <v>306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5">
        <v>1</v>
      </c>
      <c r="J37" s="46">
        <v>0</v>
      </c>
      <c r="K37" s="53"/>
      <c r="L37" s="53"/>
      <c r="M37" s="61"/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1</v>
      </c>
      <c r="J39" s="46">
        <v>0</v>
      </c>
      <c r="K39" s="53"/>
      <c r="L39" s="53"/>
      <c r="M39" s="48"/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1</v>
      </c>
      <c r="J40" s="46">
        <v>0</v>
      </c>
      <c r="K40" s="53"/>
      <c r="L40" s="53"/>
      <c r="M40" s="48"/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1</v>
      </c>
      <c r="J41" s="46">
        <v>0</v>
      </c>
      <c r="K41" s="53"/>
      <c r="L41" s="53"/>
      <c r="M41" s="48"/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1</v>
      </c>
      <c r="J43" s="46">
        <v>0</v>
      </c>
      <c r="K43" s="53"/>
      <c r="L43" s="53"/>
      <c r="M43" s="48"/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1</v>
      </c>
      <c r="J44" s="46">
        <v>0</v>
      </c>
      <c r="K44" s="53"/>
      <c r="L44" s="53"/>
      <c r="M44" s="48"/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1</v>
      </c>
      <c r="J45" s="46">
        <v>0</v>
      </c>
      <c r="K45" s="53"/>
      <c r="L45" s="53"/>
      <c r="M45" s="48"/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1</v>
      </c>
      <c r="J47" s="46">
        <v>0</v>
      </c>
      <c r="K47" s="53"/>
      <c r="L47" s="53"/>
      <c r="M47" s="48"/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/>
      <c r="N48" s="23"/>
      <c r="O48" s="23"/>
      <c r="P48" s="23"/>
      <c r="Q48" s="23"/>
      <c r="R48" s="23"/>
      <c r="S48" s="23"/>
      <c r="T48" s="23"/>
      <c r="U48" s="23"/>
    </row>
    <row r="49" spans="1:26" ht="25.5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1</v>
      </c>
      <c r="J49" s="46">
        <v>0</v>
      </c>
      <c r="K49" s="53"/>
      <c r="L49" s="53"/>
      <c r="M49" s="61"/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33.75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61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1</v>
      </c>
      <c r="J52" s="46">
        <v>0</v>
      </c>
      <c r="K52" s="53"/>
      <c r="L52" s="53"/>
      <c r="M52" s="48"/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22.5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46">
        <v>0</v>
      </c>
      <c r="K57" s="53"/>
      <c r="L57" s="53"/>
      <c r="M57" s="61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85">
        <v>1</v>
      </c>
      <c r="J58" s="46">
        <v>0</v>
      </c>
      <c r="K58" s="53"/>
      <c r="L58" s="53"/>
      <c r="M58" s="61" t="s">
        <v>313</v>
      </c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104">
        <f>AVERAGE(I11:I58)</f>
        <v>0.97368421052631582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35</v>
      </c>
      <c r="E62" s="66">
        <f>+D62/D66</f>
        <v>0.92105263157894735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3</v>
      </c>
      <c r="E63" s="66">
        <f>+D63/D66</f>
        <v>7.8947368421052627E-2</v>
      </c>
      <c r="F63" s="89" t="s">
        <v>288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314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0</v>
      </c>
      <c r="E65" s="66">
        <f>+D65/D66</f>
        <v>0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39:I41 I43:I45 I47:I49 I51:I52 I54 I56:I57">
    <cfRule type="expression" dxfId="14" priority="4" stopIfTrue="1">
      <formula>I39&gt;=90%</formula>
    </cfRule>
  </conditionalFormatting>
  <dataValidations count="1">
    <dataValidation type="list" allowBlank="1" showErrorMessage="1" sqref="C11:C13 C15:C16 C18:C20 C22:C24 C26:C37 C39:C41 C43:C45 C47:C49 C51:C52 C54 C56:C58" xr:uid="{C0B6F29A-6C45-4949-B393-768E61BBF2B0}">
      <formula1>$T$11:$T$13</formula1>
    </dataValidation>
  </dataValidations>
  <hyperlinks>
    <hyperlink ref="B2" location="Resumen!A1" display="Resumen!A1" xr:uid="{D2751623-1EDD-485B-B094-B1FC1535B39D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6472-6C10-4D11-8549-A2214633919C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315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100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85">
        <v>1</v>
      </c>
      <c r="J12" s="46">
        <v>0</v>
      </c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267</v>
      </c>
      <c r="E13" s="43" t="s">
        <v>90</v>
      </c>
      <c r="F13" s="44" t="s">
        <v>81</v>
      </c>
      <c r="G13" s="44" t="s">
        <v>91</v>
      </c>
      <c r="H13" s="44" t="s">
        <v>92</v>
      </c>
      <c r="I13" s="85">
        <v>1</v>
      </c>
      <c r="J13" s="46">
        <v>0</v>
      </c>
      <c r="K13" s="47"/>
      <c r="L13" s="47"/>
      <c r="M13" s="48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2"/>
      <c r="H14" s="72"/>
      <c r="I14" s="72"/>
      <c r="J14" s="72"/>
      <c r="K14" s="72"/>
      <c r="L14" s="72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100">
        <v>1</v>
      </c>
      <c r="J15" s="46">
        <v>0</v>
      </c>
      <c r="K15" s="53"/>
      <c r="L15" s="53"/>
      <c r="M15" s="48"/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267</v>
      </c>
      <c r="E16" s="43" t="s">
        <v>98</v>
      </c>
      <c r="F16" s="44" t="s">
        <v>95</v>
      </c>
      <c r="G16" s="44" t="s">
        <v>99</v>
      </c>
      <c r="H16" s="44" t="s">
        <v>100</v>
      </c>
      <c r="I16" s="85">
        <v>1</v>
      </c>
      <c r="J16" s="46">
        <v>0</v>
      </c>
      <c r="K16" s="53"/>
      <c r="L16" s="53"/>
      <c r="M16" s="84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2"/>
      <c r="H17" s="72"/>
      <c r="I17" s="72"/>
      <c r="J17" s="72"/>
      <c r="K17" s="72"/>
      <c r="L17" s="72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100">
        <v>1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272</v>
      </c>
      <c r="E19" s="43" t="s">
        <v>106</v>
      </c>
      <c r="F19" s="44" t="s">
        <v>81</v>
      </c>
      <c r="G19" s="44" t="s">
        <v>107</v>
      </c>
      <c r="H19" s="44" t="s">
        <v>108</v>
      </c>
      <c r="I19" s="100">
        <v>1</v>
      </c>
      <c r="J19" s="46">
        <v>0</v>
      </c>
      <c r="K19" s="53"/>
      <c r="L19" s="53"/>
      <c r="M19" s="48"/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272</v>
      </c>
      <c r="E20" s="43" t="s">
        <v>109</v>
      </c>
      <c r="F20" s="44" t="s">
        <v>81</v>
      </c>
      <c r="G20" s="44" t="s">
        <v>110</v>
      </c>
      <c r="H20" s="58" t="s">
        <v>111</v>
      </c>
      <c r="I20" s="100">
        <v>1</v>
      </c>
      <c r="J20" s="46">
        <v>0</v>
      </c>
      <c r="K20" s="53"/>
      <c r="L20" s="53"/>
      <c r="M20" s="48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100">
        <v>1</v>
      </c>
      <c r="J22" s="46">
        <v>0</v>
      </c>
      <c r="K22" s="53"/>
      <c r="L22" s="53"/>
      <c r="M22" s="48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100">
        <v>1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85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100">
        <v>1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85">
        <v>1</v>
      </c>
      <c r="J27" s="46">
        <v>0</v>
      </c>
      <c r="K27" s="53"/>
      <c r="L27" s="53"/>
      <c r="M27" s="48"/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85">
        <v>1</v>
      </c>
      <c r="J28" s="46">
        <v>0</v>
      </c>
      <c r="K28" s="53"/>
      <c r="L28" s="53"/>
      <c r="M28" s="48"/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85">
        <v>1</v>
      </c>
      <c r="J29" s="46">
        <v>0</v>
      </c>
      <c r="K29" s="53"/>
      <c r="L29" s="53"/>
      <c r="M29" s="48"/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 t="s">
        <v>316</v>
      </c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85">
        <v>1</v>
      </c>
      <c r="J32" s="46">
        <v>0</v>
      </c>
      <c r="K32" s="53"/>
      <c r="L32" s="53"/>
      <c r="M32" s="48" t="s">
        <v>316</v>
      </c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5">
        <v>1</v>
      </c>
      <c r="J33" s="46">
        <v>0</v>
      </c>
      <c r="K33" s="53"/>
      <c r="L33" s="53"/>
      <c r="M33" s="48"/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5">
        <v>0.5</v>
      </c>
      <c r="J34" s="46">
        <v>0</v>
      </c>
      <c r="K34" s="53"/>
      <c r="L34" s="53"/>
      <c r="M34" s="48"/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5">
        <v>0.5</v>
      </c>
      <c r="J35" s="46">
        <v>0</v>
      </c>
      <c r="K35" s="53"/>
      <c r="L35" s="53"/>
      <c r="M35" s="48"/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5">
        <v>0.5</v>
      </c>
      <c r="J36" s="46">
        <v>0</v>
      </c>
      <c r="K36" s="53"/>
      <c r="L36" s="53"/>
      <c r="M36" s="48"/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280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5">
        <v>0.5</v>
      </c>
      <c r="J37" s="46">
        <v>0</v>
      </c>
      <c r="K37" s="53"/>
      <c r="L37" s="53"/>
      <c r="M37" s="48"/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86">
        <v>0.5</v>
      </c>
      <c r="J39" s="46">
        <v>0</v>
      </c>
      <c r="K39" s="53"/>
      <c r="L39" s="53"/>
      <c r="M39" s="48"/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0.5</v>
      </c>
      <c r="J40" s="46">
        <v>0</v>
      </c>
      <c r="K40" s="53"/>
      <c r="L40" s="53"/>
      <c r="M40" s="48"/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</v>
      </c>
      <c r="J41" s="46">
        <v>0</v>
      </c>
      <c r="K41" s="53"/>
      <c r="L41" s="53"/>
      <c r="M41" s="48" t="s">
        <v>316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100">
        <v>1</v>
      </c>
      <c r="J43" s="46">
        <v>0</v>
      </c>
      <c r="K43" s="53"/>
      <c r="L43" s="53"/>
      <c r="M43" s="48"/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85">
        <v>1</v>
      </c>
      <c r="J44" s="46">
        <v>0</v>
      </c>
      <c r="K44" s="53"/>
      <c r="L44" s="53"/>
      <c r="M44" s="48"/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85">
        <v>1</v>
      </c>
      <c r="J45" s="46">
        <v>0</v>
      </c>
      <c r="K45" s="53"/>
      <c r="L45" s="53"/>
      <c r="M45" s="48"/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0</v>
      </c>
      <c r="J47" s="46">
        <v>0</v>
      </c>
      <c r="K47" s="53"/>
      <c r="L47" s="53"/>
      <c r="M47" s="48" t="s">
        <v>316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267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/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0</v>
      </c>
      <c r="J49" s="46">
        <v>0</v>
      </c>
      <c r="K49" s="53"/>
      <c r="L49" s="53"/>
      <c r="M49" s="48" t="s">
        <v>316</v>
      </c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48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1</v>
      </c>
      <c r="J52" s="46">
        <v>0</v>
      </c>
      <c r="K52" s="53"/>
      <c r="L52" s="53"/>
      <c r="M52" s="48" t="s">
        <v>316</v>
      </c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46">
        <v>0</v>
      </c>
      <c r="K57" s="53"/>
      <c r="L57" s="53"/>
      <c r="M57" s="48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104">
        <f>AVERAGE(I11:I58)</f>
        <v>0.84210526315789469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29</v>
      </c>
      <c r="E62" s="66">
        <f>+D62/D66</f>
        <v>0.76315789473684215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6</v>
      </c>
      <c r="E63" s="66">
        <f>+D63/D66</f>
        <v>0.15789473684210525</v>
      </c>
      <c r="F63" s="89" t="s">
        <v>317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318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3</v>
      </c>
      <c r="E65" s="66">
        <f>+D65/D66</f>
        <v>7.8947368421052627E-2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40:I41 I47:I49 I51:I52 I54 I56:I58">
    <cfRule type="expression" dxfId="13" priority="5" stopIfTrue="1">
      <formula>I40&gt;=90%</formula>
    </cfRule>
  </conditionalFormatting>
  <dataValidations count="1">
    <dataValidation type="list" allowBlank="1" showErrorMessage="1" sqref="C11:C13 C15:C16 C18:C20 C22:C24 C26:C37 C39:C41 C43:C45 C47:C49 C51:C52 C54 C56:C58" xr:uid="{FA70DAEF-49F3-4849-802E-2B330EEFBDE6}">
      <formula1>$T$11:$T$13</formula1>
    </dataValidation>
  </dataValidations>
  <hyperlinks>
    <hyperlink ref="B2" location="Resumen!A1" display="Resumen!A1" xr:uid="{45C60BA7-09D4-48D8-8846-FD48B88609D3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EDA4-F94A-4F1E-8289-0FE1BD5B2FF3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31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319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83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83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0.5</v>
      </c>
      <c r="J12" s="46">
        <v>0</v>
      </c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83" t="s">
        <v>232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0.5</v>
      </c>
      <c r="J13" s="46">
        <v>0</v>
      </c>
      <c r="K13" s="47"/>
      <c r="L13" s="47"/>
      <c r="M13" s="48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72"/>
      <c r="G14" s="72"/>
      <c r="H14" s="72"/>
      <c r="I14" s="72"/>
      <c r="J14" s="72"/>
      <c r="K14" s="72"/>
      <c r="L14" s="72"/>
      <c r="M14" s="7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83" t="s">
        <v>320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0.5</v>
      </c>
      <c r="J15" s="46">
        <v>0</v>
      </c>
      <c r="K15" s="53"/>
      <c r="L15" s="53"/>
      <c r="M15" s="48" t="s">
        <v>321</v>
      </c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83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0.5</v>
      </c>
      <c r="J16" s="46">
        <v>0</v>
      </c>
      <c r="K16" s="53"/>
      <c r="L16" s="53"/>
      <c r="M16" s="48" t="s">
        <v>322</v>
      </c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105"/>
      <c r="G17" s="105"/>
      <c r="H17" s="105"/>
      <c r="I17" s="105"/>
      <c r="J17" s="105"/>
      <c r="K17" s="105"/>
      <c r="L17" s="105"/>
      <c r="M17" s="105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83" t="s">
        <v>323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0.5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83" t="s">
        <v>299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0.5</v>
      </c>
      <c r="J19" s="46">
        <v>0</v>
      </c>
      <c r="K19" s="53"/>
      <c r="L19" s="53"/>
      <c r="M19" s="48" t="s">
        <v>324</v>
      </c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83" t="s">
        <v>299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0.5</v>
      </c>
      <c r="J20" s="46">
        <v>0</v>
      </c>
      <c r="K20" s="53"/>
      <c r="L20" s="53"/>
      <c r="M20" s="48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72"/>
      <c r="G21" s="72"/>
      <c r="H21" s="72"/>
      <c r="I21" s="72"/>
      <c r="J21" s="72"/>
      <c r="K21" s="72"/>
      <c r="L21" s="72"/>
      <c r="M21" s="72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83" t="s">
        <v>323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0.5</v>
      </c>
      <c r="J22" s="46">
        <v>0</v>
      </c>
      <c r="K22" s="53"/>
      <c r="L22" s="53"/>
      <c r="M22" s="48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83" t="s">
        <v>325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0.5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83" t="s">
        <v>325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0.5</v>
      </c>
      <c r="J24" s="46">
        <v>0</v>
      </c>
      <c r="K24" s="53"/>
      <c r="L24" s="53"/>
      <c r="M24" s="48" t="s">
        <v>324</v>
      </c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72"/>
      <c r="G25" s="72"/>
      <c r="H25" s="72"/>
      <c r="I25" s="72"/>
      <c r="J25" s="72"/>
      <c r="K25" s="72"/>
      <c r="L25" s="72"/>
      <c r="M25" s="72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83" t="s">
        <v>326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45">
        <v>0.5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83" t="s">
        <v>327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45">
        <v>0.5</v>
      </c>
      <c r="J27" s="46">
        <v>0</v>
      </c>
      <c r="K27" s="53"/>
      <c r="L27" s="53"/>
      <c r="M27" s="48"/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83" t="s">
        <v>327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45">
        <v>0.5</v>
      </c>
      <c r="J28" s="46">
        <v>0</v>
      </c>
      <c r="K28" s="53"/>
      <c r="L28" s="53"/>
      <c r="M28" s="48" t="s">
        <v>328</v>
      </c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83" t="s">
        <v>327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45">
        <v>0.25</v>
      </c>
      <c r="J29" s="46">
        <v>0</v>
      </c>
      <c r="K29" s="53"/>
      <c r="L29" s="53"/>
      <c r="M29" s="48" t="s">
        <v>329</v>
      </c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4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45">
        <v>0</v>
      </c>
      <c r="J31" s="46">
        <v>0</v>
      </c>
      <c r="K31" s="53"/>
      <c r="L31" s="53"/>
      <c r="M31" s="48" t="s">
        <v>316</v>
      </c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243</v>
      </c>
      <c r="F32" s="44" t="s">
        <v>127</v>
      </c>
      <c r="G32" s="44" t="s">
        <v>142</v>
      </c>
      <c r="H32" s="44" t="s">
        <v>143</v>
      </c>
      <c r="I32" s="45">
        <v>0</v>
      </c>
      <c r="J32" s="46">
        <v>0</v>
      </c>
      <c r="K32" s="53"/>
      <c r="L32" s="53"/>
      <c r="M32" s="48" t="s">
        <v>316</v>
      </c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83" t="s">
        <v>330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45">
        <v>0.5</v>
      </c>
      <c r="J33" s="46">
        <v>0</v>
      </c>
      <c r="K33" s="53"/>
      <c r="L33" s="53"/>
      <c r="M33" s="48"/>
      <c r="N33" s="23"/>
      <c r="O33" s="23"/>
      <c r="P33" s="23"/>
      <c r="Q33" s="23"/>
      <c r="R33" s="23"/>
      <c r="S33" s="23"/>
      <c r="T33" s="23"/>
      <c r="U33" s="23"/>
    </row>
    <row r="34" spans="1:26" ht="73.5" customHeight="1">
      <c r="B34" s="40" t="b">
        <f>FALSE()</f>
        <v>0</v>
      </c>
      <c r="C34" s="41" t="s">
        <v>78</v>
      </c>
      <c r="D34" s="83" t="s">
        <v>248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45">
        <v>0.5</v>
      </c>
      <c r="J34" s="46">
        <v>0</v>
      </c>
      <c r="K34" s="53"/>
      <c r="L34" s="53"/>
      <c r="M34" s="48" t="s">
        <v>331</v>
      </c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83" t="s">
        <v>248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45">
        <v>0.5</v>
      </c>
      <c r="J35" s="46">
        <v>0</v>
      </c>
      <c r="K35" s="53"/>
      <c r="L35" s="53"/>
      <c r="M35" s="48" t="s">
        <v>331</v>
      </c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83" t="s">
        <v>248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45">
        <v>0.25</v>
      </c>
      <c r="J36" s="46">
        <v>0</v>
      </c>
      <c r="K36" s="53"/>
      <c r="L36" s="53"/>
      <c r="M36" s="48" t="s">
        <v>331</v>
      </c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83" t="s">
        <v>306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45">
        <v>0</v>
      </c>
      <c r="J37" s="46">
        <v>0</v>
      </c>
      <c r="K37" s="53"/>
      <c r="L37" s="53"/>
      <c r="M37" s="48" t="s">
        <v>331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72"/>
      <c r="G38" s="72"/>
      <c r="H38" s="72"/>
      <c r="I38" s="72"/>
      <c r="J38" s="72"/>
      <c r="K38" s="72"/>
      <c r="L38" s="72"/>
      <c r="M38" s="7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83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0.5</v>
      </c>
      <c r="J39" s="46">
        <v>0</v>
      </c>
      <c r="K39" s="53"/>
      <c r="L39" s="53"/>
      <c r="M39" s="48"/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83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0.5</v>
      </c>
      <c r="J40" s="46">
        <v>0</v>
      </c>
      <c r="K40" s="53"/>
      <c r="L40" s="53"/>
      <c r="M40" s="48" t="s">
        <v>316</v>
      </c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83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</v>
      </c>
      <c r="J41" s="46">
        <v>0</v>
      </c>
      <c r="K41" s="53"/>
      <c r="L41" s="53"/>
      <c r="M41" s="48" t="s">
        <v>316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72"/>
      <c r="G42" s="72"/>
      <c r="H42" s="72"/>
      <c r="I42" s="72"/>
      <c r="J42" s="72"/>
      <c r="K42" s="72"/>
      <c r="L42" s="72"/>
      <c r="M42" s="7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83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0</v>
      </c>
      <c r="J43" s="46">
        <v>0</v>
      </c>
      <c r="K43" s="53"/>
      <c r="L43" s="53"/>
      <c r="M43" s="48" t="s">
        <v>316</v>
      </c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83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0</v>
      </c>
      <c r="J44" s="46">
        <v>0</v>
      </c>
      <c r="K44" s="53"/>
      <c r="L44" s="53"/>
      <c r="M44" s="48" t="s">
        <v>316</v>
      </c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83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0</v>
      </c>
      <c r="J45" s="46">
        <v>0</v>
      </c>
      <c r="K45" s="53"/>
      <c r="L45" s="53"/>
      <c r="M45" s="48" t="s">
        <v>316</v>
      </c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106"/>
      <c r="G46" s="106"/>
      <c r="H46" s="106"/>
      <c r="I46" s="106"/>
      <c r="J46" s="106"/>
      <c r="K46" s="106"/>
      <c r="L46" s="106"/>
      <c r="M46" s="10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83" t="s">
        <v>327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1</v>
      </c>
      <c r="J47" s="46">
        <v>0</v>
      </c>
      <c r="K47" s="53"/>
      <c r="L47" s="53"/>
      <c r="M47" s="48" t="s">
        <v>316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83" t="s">
        <v>332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 t="s">
        <v>316</v>
      </c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83" t="s">
        <v>320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0.5</v>
      </c>
      <c r="J49" s="46">
        <v>0</v>
      </c>
      <c r="K49" s="53"/>
      <c r="L49" s="53"/>
      <c r="M49" s="48" t="s">
        <v>333</v>
      </c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72"/>
      <c r="G50" s="72"/>
      <c r="H50" s="72"/>
      <c r="I50" s="72"/>
      <c r="J50" s="72"/>
      <c r="K50" s="72"/>
      <c r="L50" s="72"/>
      <c r="M50" s="7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83" t="s">
        <v>320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0</v>
      </c>
      <c r="J51" s="46">
        <v>0</v>
      </c>
      <c r="K51" s="53"/>
      <c r="L51" s="53"/>
      <c r="M51" s="48" t="s">
        <v>334</v>
      </c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83" t="s">
        <v>327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0</v>
      </c>
      <c r="J52" s="46">
        <v>0</v>
      </c>
      <c r="K52" s="53"/>
      <c r="L52" s="53"/>
      <c r="M52" s="48" t="s">
        <v>316</v>
      </c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72"/>
      <c r="G53" s="72"/>
      <c r="H53" s="72"/>
      <c r="I53" s="72"/>
      <c r="J53" s="72"/>
      <c r="K53" s="72"/>
      <c r="L53" s="72"/>
      <c r="M53" s="7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83" t="s">
        <v>327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0.5</v>
      </c>
      <c r="J54" s="46">
        <v>0</v>
      </c>
      <c r="K54" s="53"/>
      <c r="L54" s="53"/>
      <c r="M54" s="48" t="s">
        <v>333</v>
      </c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72"/>
      <c r="G55" s="72"/>
      <c r="H55" s="72"/>
      <c r="I55" s="72"/>
      <c r="J55" s="72"/>
      <c r="K55" s="72"/>
      <c r="L55" s="72"/>
      <c r="M55" s="72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83" t="s">
        <v>335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 t="s">
        <v>336</v>
      </c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83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0.5</v>
      </c>
      <c r="J57" s="46">
        <v>0</v>
      </c>
      <c r="K57" s="53"/>
      <c r="L57" s="53"/>
      <c r="M57" s="48" t="s">
        <v>331</v>
      </c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53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 t="s">
        <v>331</v>
      </c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0.44736842105263158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6</v>
      </c>
      <c r="E62" s="66">
        <f>+D62/D66</f>
        <v>0.15789473684210525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21</v>
      </c>
      <c r="E63" s="66">
        <f>+D63/D66</f>
        <v>0.55263157894736847</v>
      </c>
      <c r="F63" s="89" t="s">
        <v>337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2</v>
      </c>
      <c r="E64" s="66">
        <f>+D64/D66</f>
        <v>5.2631578947368418E-2</v>
      </c>
      <c r="F64" s="89" t="s">
        <v>338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9</v>
      </c>
      <c r="E65" s="66">
        <f>+D65/D66</f>
        <v>0.23684210526315788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F50:M50"/>
    <mergeCell ref="F53:M53"/>
    <mergeCell ref="B55:D55"/>
    <mergeCell ref="F55:M55"/>
    <mergeCell ref="B61:C61"/>
    <mergeCell ref="B62:C62"/>
    <mergeCell ref="B25:D25"/>
    <mergeCell ref="F25:M25"/>
    <mergeCell ref="F38:M38"/>
    <mergeCell ref="F42:M42"/>
    <mergeCell ref="B46:D46"/>
    <mergeCell ref="F46:M46"/>
    <mergeCell ref="B4:M6"/>
    <mergeCell ref="B10:D10"/>
    <mergeCell ref="G10:L10"/>
    <mergeCell ref="F14:M14"/>
    <mergeCell ref="F17:M17"/>
    <mergeCell ref="F21:M21"/>
  </mergeCells>
  <conditionalFormatting sqref="I11:I13 I15:I16 I18:I20 I22:I24 I26:I37 I39:I41 I43:I45 I47:I49 I51:I52 I54 I56:I58">
    <cfRule type="expression" dxfId="12" priority="6" stopIfTrue="1">
      <formula>I11&gt;=90%</formula>
    </cfRule>
  </conditionalFormatting>
  <dataValidations count="1">
    <dataValidation type="list" allowBlank="1" showErrorMessage="1" sqref="C11:C13 C15:C16 C18:C20 C22:C24 C26:C37 C39:C41 C43:C45 C47:C49 C51:C52 C54 C56:C58" xr:uid="{ABEE247E-C031-437F-B0DB-97B18E31EB6A}">
      <formula1>$T$11:$T$13</formula1>
    </dataValidation>
  </dataValidations>
  <hyperlinks>
    <hyperlink ref="B2" location="Resumen!A1" display="Resumen!A1" xr:uid="{EB3C72EC-5140-4662-80E9-ACDC44C09CB6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8FEC-ECB2-4B5D-9A72-2D9C6214C808}">
  <dimension ref="A1:M1000"/>
  <sheetViews>
    <sheetView workbookViewId="0"/>
  </sheetViews>
  <sheetFormatPr baseColWidth="10" defaultRowHeight="15" customHeight="1"/>
  <cols>
    <col min="1" max="1" width="5.140625" customWidth="1"/>
    <col min="2" max="4" width="11.28515625" customWidth="1"/>
    <col min="5" max="5" width="17.28515625" customWidth="1"/>
    <col min="6" max="8" width="11.28515625" customWidth="1"/>
    <col min="9" max="9" width="12.5703125" customWidth="1"/>
    <col min="10" max="12" width="11.28515625" customWidth="1"/>
    <col min="13" max="13" width="35" customWidth="1"/>
    <col min="14" max="26" width="11.28515625" customWidth="1"/>
    <col min="27" max="1024" width="15.28515625" customWidth="1"/>
  </cols>
  <sheetData>
    <row r="1" spans="1:13" ht="14.2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4.25" customHeight="1">
      <c r="A2" s="14"/>
      <c r="B2" s="107" t="s">
        <v>339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14.2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8.5" customHeight="1">
      <c r="A4" s="14"/>
      <c r="B4" s="124" t="s">
        <v>340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</row>
    <row r="5" spans="1:13" ht="14.25" customHeight="1">
      <c r="A5" s="1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</row>
    <row r="6" spans="1:13" ht="14.25" customHeight="1">
      <c r="A6" s="1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</row>
    <row r="7" spans="1:13" ht="14.25" customHeight="1">
      <c r="A7" s="1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ht="14.25" customHeight="1">
      <c r="A8" s="14"/>
      <c r="B8" s="25"/>
      <c r="C8" s="108" t="s">
        <v>62</v>
      </c>
      <c r="D8" s="109"/>
      <c r="E8" s="109"/>
      <c r="F8" s="109"/>
      <c r="G8" s="109"/>
      <c r="H8" s="110" t="s">
        <v>63</v>
      </c>
      <c r="I8" s="109"/>
      <c r="J8" s="108" t="s">
        <v>64</v>
      </c>
      <c r="K8" s="109"/>
      <c r="L8" s="109"/>
      <c r="M8" s="25"/>
    </row>
    <row r="9" spans="1:13" ht="14.25" customHeight="1">
      <c r="A9" s="14"/>
      <c r="B9" s="111" t="s">
        <v>65</v>
      </c>
      <c r="C9" s="111" t="s">
        <v>66</v>
      </c>
      <c r="D9" s="111" t="s">
        <v>67</v>
      </c>
      <c r="E9" s="111" t="s">
        <v>68</v>
      </c>
      <c r="F9" s="111" t="s">
        <v>69</v>
      </c>
      <c r="G9" s="111" t="s">
        <v>70</v>
      </c>
      <c r="H9" s="111" t="s">
        <v>71</v>
      </c>
      <c r="I9" s="111" t="s">
        <v>72</v>
      </c>
      <c r="J9" s="111" t="s">
        <v>73</v>
      </c>
      <c r="K9" s="111" t="s">
        <v>74</v>
      </c>
      <c r="L9" s="111" t="s">
        <v>75</v>
      </c>
      <c r="M9" s="111" t="s">
        <v>10</v>
      </c>
    </row>
    <row r="10" spans="1:13" ht="39" customHeight="1">
      <c r="A10" s="112"/>
      <c r="B10" s="125" t="s">
        <v>76</v>
      </c>
      <c r="C10" s="125"/>
      <c r="D10" s="125"/>
      <c r="E10" s="126" t="s">
        <v>77</v>
      </c>
      <c r="F10" s="126"/>
      <c r="G10" s="126"/>
      <c r="H10" s="126"/>
      <c r="I10" s="126"/>
      <c r="J10" s="126"/>
      <c r="K10" s="126"/>
      <c r="L10" s="126"/>
      <c r="M10" s="126"/>
    </row>
    <row r="11" spans="1:13" ht="14.25" customHeight="1">
      <c r="A11" s="14"/>
      <c r="B11" s="113" t="s">
        <v>341</v>
      </c>
      <c r="C11" s="114" t="s">
        <v>78</v>
      </c>
      <c r="D11" s="83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115">
        <v>1</v>
      </c>
      <c r="J11" s="116" t="s">
        <v>342</v>
      </c>
      <c r="K11" s="117"/>
      <c r="L11" s="117"/>
      <c r="M11" s="61"/>
    </row>
    <row r="12" spans="1:13" ht="14.25" customHeight="1">
      <c r="A12" s="14"/>
      <c r="B12" s="113" t="s">
        <v>341</v>
      </c>
      <c r="C12" s="114" t="s">
        <v>85</v>
      </c>
      <c r="D12" s="83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87">
        <v>0.5</v>
      </c>
      <c r="J12" s="116" t="s">
        <v>342</v>
      </c>
      <c r="K12" s="117"/>
      <c r="L12" s="117"/>
      <c r="M12" s="61" t="s">
        <v>343</v>
      </c>
    </row>
    <row r="13" spans="1:13" ht="14.25" customHeight="1">
      <c r="A13" s="14"/>
      <c r="B13" s="113" t="s">
        <v>341</v>
      </c>
      <c r="C13" s="114" t="s">
        <v>78</v>
      </c>
      <c r="D13" s="83" t="s">
        <v>267</v>
      </c>
      <c r="E13" s="43" t="s">
        <v>90</v>
      </c>
      <c r="F13" s="44" t="s">
        <v>81</v>
      </c>
      <c r="G13" s="44" t="s">
        <v>91</v>
      </c>
      <c r="H13" s="44" t="s">
        <v>92</v>
      </c>
      <c r="I13" s="115">
        <v>1</v>
      </c>
      <c r="J13" s="116" t="s">
        <v>342</v>
      </c>
      <c r="K13" s="117"/>
      <c r="L13" s="117"/>
      <c r="M13" s="61"/>
    </row>
    <row r="14" spans="1:13" ht="39" customHeight="1">
      <c r="A14" s="112"/>
      <c r="B14" s="118"/>
      <c r="C14" s="118"/>
      <c r="D14" s="118"/>
      <c r="E14" s="126" t="s">
        <v>93</v>
      </c>
      <c r="F14" s="126"/>
      <c r="G14" s="126"/>
      <c r="H14" s="126"/>
      <c r="I14" s="126"/>
      <c r="J14" s="126"/>
      <c r="K14" s="126"/>
      <c r="L14" s="126"/>
      <c r="M14" s="126"/>
    </row>
    <row r="15" spans="1:13" ht="14.25" customHeight="1">
      <c r="A15" s="14"/>
      <c r="B15" s="113" t="s">
        <v>341</v>
      </c>
      <c r="C15" s="114" t="s">
        <v>85</v>
      </c>
      <c r="D15" s="83" t="s">
        <v>344</v>
      </c>
      <c r="E15" s="43" t="s">
        <v>94</v>
      </c>
      <c r="F15" s="44" t="s">
        <v>95</v>
      </c>
      <c r="G15" s="44" t="s">
        <v>96</v>
      </c>
      <c r="H15" s="44" t="s">
        <v>97</v>
      </c>
      <c r="I15" s="115">
        <v>1</v>
      </c>
      <c r="J15" s="116" t="s">
        <v>342</v>
      </c>
      <c r="K15" s="117"/>
      <c r="L15" s="117"/>
      <c r="M15" s="61"/>
    </row>
    <row r="16" spans="1:13" ht="14.25" customHeight="1">
      <c r="A16" s="14"/>
      <c r="B16" s="113" t="s">
        <v>341</v>
      </c>
      <c r="C16" s="114" t="s">
        <v>78</v>
      </c>
      <c r="D16" s="83" t="s">
        <v>267</v>
      </c>
      <c r="E16" s="43" t="s">
        <v>98</v>
      </c>
      <c r="F16" s="44" t="s">
        <v>95</v>
      </c>
      <c r="G16" s="44" t="s">
        <v>99</v>
      </c>
      <c r="H16" s="44" t="s">
        <v>100</v>
      </c>
      <c r="I16" s="115">
        <v>1</v>
      </c>
      <c r="J16" s="116" t="s">
        <v>342</v>
      </c>
      <c r="K16" s="117"/>
      <c r="L16" s="117"/>
      <c r="M16" s="61"/>
    </row>
    <row r="17" spans="1:13" ht="39" customHeight="1">
      <c r="A17" s="14"/>
      <c r="B17" s="119"/>
      <c r="C17" s="119"/>
      <c r="D17" s="119"/>
      <c r="E17" s="126" t="s">
        <v>101</v>
      </c>
      <c r="F17" s="126"/>
      <c r="G17" s="126"/>
      <c r="H17" s="126"/>
      <c r="I17" s="126"/>
      <c r="J17" s="126"/>
      <c r="K17" s="126"/>
      <c r="L17" s="126"/>
      <c r="M17" s="126"/>
    </row>
    <row r="18" spans="1:13" ht="14.25" customHeight="1">
      <c r="A18" s="14"/>
      <c r="B18" s="113" t="s">
        <v>341</v>
      </c>
      <c r="C18" s="114" t="s">
        <v>84</v>
      </c>
      <c r="D18" s="83" t="s">
        <v>345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115">
        <v>1</v>
      </c>
      <c r="J18" s="116" t="s">
        <v>342</v>
      </c>
      <c r="K18" s="117"/>
      <c r="L18" s="117"/>
      <c r="M18" s="61"/>
    </row>
    <row r="19" spans="1:13" ht="14.25" customHeight="1">
      <c r="A19" s="14"/>
      <c r="B19" s="113" t="s">
        <v>341</v>
      </c>
      <c r="C19" s="114" t="s">
        <v>78</v>
      </c>
      <c r="D19" s="83" t="s">
        <v>272</v>
      </c>
      <c r="E19" s="43" t="s">
        <v>106</v>
      </c>
      <c r="F19" s="44" t="s">
        <v>81</v>
      </c>
      <c r="G19" s="44" t="s">
        <v>346</v>
      </c>
      <c r="H19" s="44" t="s">
        <v>108</v>
      </c>
      <c r="I19" s="87">
        <v>0.75</v>
      </c>
      <c r="J19" s="116" t="s">
        <v>342</v>
      </c>
      <c r="K19" s="117"/>
      <c r="L19" s="117"/>
      <c r="M19" s="61" t="s">
        <v>347</v>
      </c>
    </row>
    <row r="20" spans="1:13" ht="14.25" customHeight="1">
      <c r="A20" s="14"/>
      <c r="B20" s="113" t="s">
        <v>341</v>
      </c>
      <c r="C20" s="114" t="s">
        <v>78</v>
      </c>
      <c r="D20" s="83" t="s">
        <v>272</v>
      </c>
      <c r="E20" s="43" t="s">
        <v>109</v>
      </c>
      <c r="F20" s="44" t="s">
        <v>81</v>
      </c>
      <c r="G20" s="44" t="s">
        <v>110</v>
      </c>
      <c r="H20" s="44" t="s">
        <v>111</v>
      </c>
      <c r="I20" s="115">
        <v>1</v>
      </c>
      <c r="J20" s="116" t="s">
        <v>342</v>
      </c>
      <c r="K20" s="117"/>
      <c r="L20" s="117"/>
      <c r="M20" s="61"/>
    </row>
    <row r="21" spans="1:13" ht="39" customHeight="1">
      <c r="A21" s="14"/>
      <c r="B21" s="119"/>
      <c r="C21" s="119"/>
      <c r="D21" s="119"/>
      <c r="E21" s="126" t="s">
        <v>112</v>
      </c>
      <c r="F21" s="126"/>
      <c r="G21" s="126"/>
      <c r="H21" s="126"/>
      <c r="I21" s="126"/>
      <c r="J21" s="126"/>
      <c r="K21" s="126"/>
      <c r="L21" s="126"/>
      <c r="M21" s="126"/>
    </row>
    <row r="22" spans="1:13" ht="14.25" customHeight="1">
      <c r="A22" s="14"/>
      <c r="B22" s="113" t="s">
        <v>341</v>
      </c>
      <c r="C22" s="114" t="s">
        <v>85</v>
      </c>
      <c r="D22" s="83" t="s">
        <v>345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115">
        <v>1</v>
      </c>
      <c r="J22" s="116" t="s">
        <v>342</v>
      </c>
      <c r="K22" s="117"/>
      <c r="L22" s="117"/>
      <c r="M22" s="61"/>
    </row>
    <row r="23" spans="1:13" ht="14.25" customHeight="1">
      <c r="A23" s="14"/>
      <c r="B23" s="1"/>
      <c r="C23" s="114" t="s">
        <v>84</v>
      </c>
      <c r="D23" s="83" t="s">
        <v>348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115">
        <v>1</v>
      </c>
      <c r="J23" s="116" t="s">
        <v>342</v>
      </c>
      <c r="K23" s="117"/>
      <c r="L23" s="117"/>
      <c r="M23" s="61"/>
    </row>
    <row r="24" spans="1:13" ht="14.25" customHeight="1">
      <c r="A24" s="14"/>
      <c r="B24" s="113" t="s">
        <v>341</v>
      </c>
      <c r="C24" s="114" t="s">
        <v>78</v>
      </c>
      <c r="D24" s="83" t="s">
        <v>348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115">
        <v>1</v>
      </c>
      <c r="J24" s="116" t="s">
        <v>342</v>
      </c>
      <c r="K24" s="117"/>
      <c r="L24" s="117"/>
      <c r="M24" s="61"/>
    </row>
    <row r="25" spans="1:13" ht="39" customHeight="1">
      <c r="A25" s="14"/>
      <c r="B25" s="125" t="s">
        <v>122</v>
      </c>
      <c r="C25" s="125"/>
      <c r="D25" s="125"/>
      <c r="E25" s="126" t="s">
        <v>77</v>
      </c>
      <c r="F25" s="126"/>
      <c r="G25" s="126"/>
      <c r="H25" s="126"/>
      <c r="I25" s="126"/>
      <c r="J25" s="126"/>
      <c r="K25" s="126"/>
      <c r="L25" s="126"/>
      <c r="M25" s="126"/>
    </row>
    <row r="26" spans="1:13" ht="14.25" customHeight="1">
      <c r="A26" s="14"/>
      <c r="B26" s="113" t="s">
        <v>341</v>
      </c>
      <c r="C26" s="114" t="s">
        <v>84</v>
      </c>
      <c r="D26" s="83" t="s">
        <v>349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115">
        <v>1</v>
      </c>
      <c r="J26" s="116" t="s">
        <v>342</v>
      </c>
      <c r="K26" s="117"/>
      <c r="L26" s="117"/>
      <c r="M26" s="61"/>
    </row>
    <row r="27" spans="1:13" ht="14.25" customHeight="1">
      <c r="A27" s="14"/>
      <c r="B27" s="113" t="s">
        <v>341</v>
      </c>
      <c r="C27" s="114" t="s">
        <v>78</v>
      </c>
      <c r="D27" s="83" t="s">
        <v>350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115">
        <v>1</v>
      </c>
      <c r="J27" s="116" t="s">
        <v>342</v>
      </c>
      <c r="K27" s="117"/>
      <c r="L27" s="117"/>
      <c r="M27" s="61"/>
    </row>
    <row r="28" spans="1:13" ht="14.25" customHeight="1">
      <c r="A28" s="14"/>
      <c r="B28" s="113" t="s">
        <v>341</v>
      </c>
      <c r="C28" s="114" t="s">
        <v>78</v>
      </c>
      <c r="D28" s="83" t="s">
        <v>350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115">
        <v>1</v>
      </c>
      <c r="J28" s="116" t="s">
        <v>342</v>
      </c>
      <c r="K28" s="117"/>
      <c r="L28" s="117"/>
      <c r="M28" s="61"/>
    </row>
    <row r="29" spans="1:13" ht="14.25" customHeight="1">
      <c r="A29" s="14"/>
      <c r="B29" s="113" t="s">
        <v>341</v>
      </c>
      <c r="C29" s="114" t="s">
        <v>85</v>
      </c>
      <c r="D29" s="83" t="s">
        <v>350</v>
      </c>
      <c r="E29" s="43" t="s">
        <v>351</v>
      </c>
      <c r="F29" s="44" t="s">
        <v>127</v>
      </c>
      <c r="G29" s="44" t="s">
        <v>134</v>
      </c>
      <c r="H29" s="44" t="s">
        <v>135</v>
      </c>
      <c r="I29" s="115">
        <v>1</v>
      </c>
      <c r="J29" s="116" t="s">
        <v>342</v>
      </c>
      <c r="K29" s="117"/>
      <c r="L29" s="117"/>
      <c r="M29" s="61"/>
    </row>
    <row r="30" spans="1:13" ht="14.25" customHeight="1">
      <c r="A30" s="14"/>
      <c r="B30" s="113" t="s">
        <v>341</v>
      </c>
      <c r="C30" s="114" t="s">
        <v>85</v>
      </c>
      <c r="D30" s="42">
        <v>45838</v>
      </c>
      <c r="E30" s="43" t="s">
        <v>136</v>
      </c>
      <c r="F30" s="44" t="s">
        <v>127</v>
      </c>
      <c r="G30" s="44" t="s">
        <v>352</v>
      </c>
      <c r="H30" s="44" t="s">
        <v>138</v>
      </c>
      <c r="I30" s="115">
        <v>1</v>
      </c>
      <c r="J30" s="116" t="s">
        <v>342</v>
      </c>
      <c r="K30" s="117"/>
      <c r="L30" s="117"/>
      <c r="M30" s="61"/>
    </row>
    <row r="31" spans="1:13" ht="14.25" customHeight="1">
      <c r="A31" s="14"/>
      <c r="B31" s="113" t="s">
        <v>341</v>
      </c>
      <c r="C31" s="114" t="s">
        <v>85</v>
      </c>
      <c r="D31" s="42">
        <v>45991</v>
      </c>
      <c r="E31" s="43" t="s">
        <v>139</v>
      </c>
      <c r="F31" s="44" t="s">
        <v>127</v>
      </c>
      <c r="G31" s="44" t="s">
        <v>353</v>
      </c>
      <c r="H31" s="44" t="s">
        <v>139</v>
      </c>
      <c r="I31" s="115">
        <v>1</v>
      </c>
      <c r="J31" s="116" t="s">
        <v>342</v>
      </c>
      <c r="K31" s="117"/>
      <c r="L31" s="117"/>
      <c r="M31" s="61"/>
    </row>
    <row r="32" spans="1:13" ht="14.25" customHeight="1">
      <c r="A32" s="14"/>
      <c r="B32" s="113" t="s">
        <v>341</v>
      </c>
      <c r="C32" s="114" t="s">
        <v>85</v>
      </c>
      <c r="D32" s="42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115">
        <v>1</v>
      </c>
      <c r="J32" s="116" t="s">
        <v>342</v>
      </c>
      <c r="K32" s="117"/>
      <c r="L32" s="117"/>
      <c r="M32" s="61"/>
    </row>
    <row r="33" spans="1:13" ht="14.25" customHeight="1">
      <c r="A33" s="14"/>
      <c r="B33" s="113" t="s">
        <v>341</v>
      </c>
      <c r="C33" s="114" t="s">
        <v>78</v>
      </c>
      <c r="D33" s="83" t="s">
        <v>354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115">
        <v>1</v>
      </c>
      <c r="J33" s="116" t="s">
        <v>342</v>
      </c>
      <c r="K33" s="117"/>
      <c r="L33" s="117"/>
      <c r="M33" s="61"/>
    </row>
    <row r="34" spans="1:13" ht="14.25" customHeight="1">
      <c r="A34" s="14"/>
      <c r="B34" s="113" t="s">
        <v>341</v>
      </c>
      <c r="C34" s="114" t="s">
        <v>78</v>
      </c>
      <c r="D34" s="83" t="s">
        <v>355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115">
        <v>1</v>
      </c>
      <c r="J34" s="116" t="s">
        <v>342</v>
      </c>
      <c r="K34" s="117"/>
      <c r="L34" s="117"/>
      <c r="M34" s="61"/>
    </row>
    <row r="35" spans="1:13" ht="14.25" customHeight="1">
      <c r="A35" s="14"/>
      <c r="B35" s="113" t="s">
        <v>341</v>
      </c>
      <c r="C35" s="114" t="s">
        <v>78</v>
      </c>
      <c r="D35" s="83" t="s">
        <v>355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115">
        <v>1</v>
      </c>
      <c r="J35" s="116" t="s">
        <v>342</v>
      </c>
      <c r="K35" s="117"/>
      <c r="L35" s="117"/>
      <c r="M35" s="61"/>
    </row>
    <row r="36" spans="1:13" ht="14.25" customHeight="1">
      <c r="A36" s="14"/>
      <c r="B36" s="113" t="s">
        <v>341</v>
      </c>
      <c r="C36" s="114" t="s">
        <v>78</v>
      </c>
      <c r="D36" s="83" t="s">
        <v>355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115">
        <v>1</v>
      </c>
      <c r="J36" s="116" t="s">
        <v>342</v>
      </c>
      <c r="K36" s="117"/>
      <c r="L36" s="117"/>
      <c r="M36" s="61"/>
    </row>
    <row r="37" spans="1:13" ht="14.25" customHeight="1">
      <c r="A37" s="14"/>
      <c r="B37" s="113" t="s">
        <v>341</v>
      </c>
      <c r="C37" s="114" t="s">
        <v>85</v>
      </c>
      <c r="D37" s="83" t="s">
        <v>280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115">
        <v>1</v>
      </c>
      <c r="J37" s="116" t="s">
        <v>342</v>
      </c>
      <c r="K37" s="117"/>
      <c r="L37" s="117"/>
      <c r="M37" s="61"/>
    </row>
    <row r="38" spans="1:13" ht="39" customHeight="1">
      <c r="A38" s="112"/>
      <c r="B38" s="118"/>
      <c r="C38" s="118"/>
      <c r="D38" s="118"/>
      <c r="E38" s="126" t="s">
        <v>93</v>
      </c>
      <c r="F38" s="126"/>
      <c r="G38" s="126"/>
      <c r="H38" s="126"/>
      <c r="I38" s="126"/>
      <c r="J38" s="126"/>
      <c r="K38" s="126"/>
      <c r="L38" s="126"/>
      <c r="M38" s="126"/>
    </row>
    <row r="39" spans="1:13" ht="14.25" customHeight="1">
      <c r="A39" s="14"/>
      <c r="B39" s="113" t="s">
        <v>356</v>
      </c>
      <c r="C39" s="114" t="s">
        <v>78</v>
      </c>
      <c r="D39" s="83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87">
        <v>0.5</v>
      </c>
      <c r="J39" s="116" t="s">
        <v>342</v>
      </c>
      <c r="K39" s="117"/>
      <c r="L39" s="117"/>
      <c r="M39" s="61" t="s">
        <v>357</v>
      </c>
    </row>
    <row r="40" spans="1:13" ht="14.25" customHeight="1">
      <c r="A40" s="14"/>
      <c r="B40" s="113" t="s">
        <v>356</v>
      </c>
      <c r="C40" s="114" t="s">
        <v>78</v>
      </c>
      <c r="D40" s="83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115">
        <v>1</v>
      </c>
      <c r="J40" s="116" t="s">
        <v>342</v>
      </c>
      <c r="K40" s="117"/>
      <c r="L40" s="117"/>
      <c r="M40" s="61"/>
    </row>
    <row r="41" spans="1:13" ht="14.25" customHeight="1">
      <c r="A41" s="14"/>
      <c r="B41" s="113" t="s">
        <v>356</v>
      </c>
      <c r="C41" s="114" t="s">
        <v>85</v>
      </c>
      <c r="D41" s="83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92">
        <v>0</v>
      </c>
      <c r="J41" s="116" t="s">
        <v>342</v>
      </c>
      <c r="K41" s="117"/>
      <c r="L41" s="117"/>
      <c r="M41" s="61" t="s">
        <v>358</v>
      </c>
    </row>
    <row r="42" spans="1:13" ht="39" customHeight="1">
      <c r="A42" s="112"/>
      <c r="B42" s="118"/>
      <c r="C42" s="118"/>
      <c r="D42" s="118"/>
      <c r="E42" s="126" t="s">
        <v>101</v>
      </c>
      <c r="F42" s="126"/>
      <c r="G42" s="126"/>
      <c r="H42" s="126"/>
      <c r="I42" s="126"/>
      <c r="J42" s="126"/>
      <c r="K42" s="126"/>
      <c r="L42" s="126"/>
      <c r="M42" s="126"/>
    </row>
    <row r="43" spans="1:13" ht="14.25" customHeight="1">
      <c r="A43" s="14"/>
      <c r="B43" s="113" t="s">
        <v>356</v>
      </c>
      <c r="C43" s="114" t="s">
        <v>84</v>
      </c>
      <c r="D43" s="83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115">
        <v>1</v>
      </c>
      <c r="J43" s="116" t="s">
        <v>342</v>
      </c>
      <c r="K43" s="117"/>
      <c r="L43" s="117"/>
      <c r="M43" s="61" t="s">
        <v>359</v>
      </c>
    </row>
    <row r="44" spans="1:13" ht="14.25" customHeight="1">
      <c r="A44" s="14"/>
      <c r="B44" s="113" t="s">
        <v>356</v>
      </c>
      <c r="C44" s="114" t="s">
        <v>84</v>
      </c>
      <c r="D44" s="83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115">
        <v>1</v>
      </c>
      <c r="J44" s="116" t="s">
        <v>342</v>
      </c>
      <c r="K44" s="117"/>
      <c r="L44" s="117"/>
      <c r="M44" s="61" t="s">
        <v>359</v>
      </c>
    </row>
    <row r="45" spans="1:13" ht="14.25" customHeight="1">
      <c r="A45" s="14"/>
      <c r="B45" s="113" t="s">
        <v>356</v>
      </c>
      <c r="C45" s="114" t="s">
        <v>84</v>
      </c>
      <c r="D45" s="83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115">
        <v>1</v>
      </c>
      <c r="J45" s="116" t="s">
        <v>342</v>
      </c>
      <c r="K45" s="117"/>
      <c r="L45" s="117"/>
      <c r="M45" s="61" t="s">
        <v>359</v>
      </c>
    </row>
    <row r="46" spans="1:13" ht="39" customHeight="1">
      <c r="A46" s="14"/>
      <c r="B46" s="125" t="s">
        <v>184</v>
      </c>
      <c r="C46" s="125"/>
      <c r="D46" s="125"/>
      <c r="E46" s="126" t="s">
        <v>77</v>
      </c>
      <c r="F46" s="126"/>
      <c r="G46" s="126"/>
      <c r="H46" s="126"/>
      <c r="I46" s="126"/>
      <c r="J46" s="126"/>
      <c r="K46" s="126"/>
      <c r="L46" s="126"/>
      <c r="M46" s="126"/>
    </row>
    <row r="47" spans="1:13" ht="14.25" customHeight="1">
      <c r="A47" s="14"/>
      <c r="B47" s="113" t="s">
        <v>341</v>
      </c>
      <c r="C47" s="114" t="s">
        <v>78</v>
      </c>
      <c r="D47" s="83" t="s">
        <v>350</v>
      </c>
      <c r="E47" s="43" t="s">
        <v>185</v>
      </c>
      <c r="F47" s="44" t="s">
        <v>186</v>
      </c>
      <c r="G47" s="44" t="s">
        <v>187</v>
      </c>
      <c r="H47" s="44" t="s">
        <v>360</v>
      </c>
      <c r="I47" s="115">
        <v>1</v>
      </c>
      <c r="J47" s="116" t="s">
        <v>342</v>
      </c>
      <c r="K47" s="117"/>
      <c r="L47" s="117"/>
      <c r="M47" s="61"/>
    </row>
    <row r="48" spans="1:13" ht="14.25" customHeight="1">
      <c r="A48" s="14"/>
      <c r="B48" s="113" t="s">
        <v>341</v>
      </c>
      <c r="C48" s="114" t="s">
        <v>85</v>
      </c>
      <c r="D48" s="83" t="s">
        <v>361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115">
        <v>1</v>
      </c>
      <c r="J48" s="116" t="s">
        <v>342</v>
      </c>
      <c r="K48" s="117"/>
      <c r="L48" s="117"/>
      <c r="M48" s="61"/>
    </row>
    <row r="49" spans="1:13" ht="14.25" customHeight="1">
      <c r="A49" s="14"/>
      <c r="B49" s="113" t="s">
        <v>341</v>
      </c>
      <c r="C49" s="114" t="s">
        <v>85</v>
      </c>
      <c r="D49" s="83" t="s">
        <v>344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115">
        <v>1</v>
      </c>
      <c r="J49" s="116" t="s">
        <v>342</v>
      </c>
      <c r="K49" s="117"/>
      <c r="L49" s="117"/>
      <c r="M49" s="61"/>
    </row>
    <row r="50" spans="1:13" ht="39" customHeight="1">
      <c r="A50" s="112"/>
      <c r="B50" s="118"/>
      <c r="C50" s="118"/>
      <c r="D50" s="118"/>
      <c r="E50" s="126" t="s">
        <v>93</v>
      </c>
      <c r="F50" s="126"/>
      <c r="G50" s="126"/>
      <c r="H50" s="126"/>
      <c r="I50" s="126"/>
      <c r="J50" s="126"/>
      <c r="K50" s="126"/>
      <c r="L50" s="126"/>
      <c r="M50" s="126"/>
    </row>
    <row r="51" spans="1:13" ht="14.25" customHeight="1">
      <c r="A51" s="14"/>
      <c r="B51" s="113" t="s">
        <v>356</v>
      </c>
      <c r="C51" s="114" t="s">
        <v>84</v>
      </c>
      <c r="D51" s="83" t="s">
        <v>344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115">
        <v>1</v>
      </c>
      <c r="J51" s="116" t="s">
        <v>342</v>
      </c>
      <c r="K51" s="117"/>
      <c r="L51" s="117"/>
      <c r="M51" s="61"/>
    </row>
    <row r="52" spans="1:13" ht="14.25" customHeight="1">
      <c r="A52" s="14"/>
      <c r="B52" s="113" t="s">
        <v>356</v>
      </c>
      <c r="C52" s="114" t="s">
        <v>84</v>
      </c>
      <c r="D52" s="83" t="s">
        <v>350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115">
        <v>1</v>
      </c>
      <c r="J52" s="116" t="s">
        <v>342</v>
      </c>
      <c r="K52" s="117"/>
      <c r="L52" s="117"/>
      <c r="M52" s="61"/>
    </row>
    <row r="53" spans="1:13" ht="39" customHeight="1">
      <c r="A53" s="112"/>
      <c r="B53" s="118"/>
      <c r="C53" s="118"/>
      <c r="D53" s="118"/>
      <c r="E53" s="126" t="s">
        <v>101</v>
      </c>
      <c r="F53" s="126"/>
      <c r="G53" s="126"/>
      <c r="H53" s="126"/>
      <c r="I53" s="126"/>
      <c r="J53" s="126"/>
      <c r="K53" s="126"/>
      <c r="L53" s="126"/>
      <c r="M53" s="126"/>
    </row>
    <row r="54" spans="1:13" ht="14.25" customHeight="1">
      <c r="A54" s="14"/>
      <c r="B54" s="113" t="s">
        <v>356</v>
      </c>
      <c r="C54" s="114" t="s">
        <v>85</v>
      </c>
      <c r="D54" s="83" t="s">
        <v>350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115">
        <v>1</v>
      </c>
      <c r="J54" s="116" t="s">
        <v>342</v>
      </c>
      <c r="K54" s="117"/>
      <c r="L54" s="117"/>
      <c r="M54" s="61"/>
    </row>
    <row r="55" spans="1:13" ht="39" customHeight="1">
      <c r="A55" s="14"/>
      <c r="B55" s="125" t="s">
        <v>208</v>
      </c>
      <c r="C55" s="125"/>
      <c r="D55" s="125"/>
      <c r="E55" s="126" t="s">
        <v>77</v>
      </c>
      <c r="F55" s="126"/>
      <c r="G55" s="126"/>
      <c r="H55" s="126"/>
      <c r="I55" s="126"/>
      <c r="J55" s="126"/>
      <c r="K55" s="126"/>
      <c r="L55" s="126"/>
      <c r="M55" s="126"/>
    </row>
    <row r="56" spans="1:13" ht="14.25" customHeight="1">
      <c r="A56" s="14"/>
      <c r="B56" s="113" t="s">
        <v>341</v>
      </c>
      <c r="C56" s="114" t="s">
        <v>85</v>
      </c>
      <c r="D56" s="83" t="s">
        <v>362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115">
        <v>1</v>
      </c>
      <c r="J56" s="116" t="s">
        <v>342</v>
      </c>
      <c r="K56" s="117"/>
      <c r="L56" s="117"/>
      <c r="M56" s="61"/>
    </row>
    <row r="57" spans="1:13" ht="14.25" customHeight="1">
      <c r="A57" s="14"/>
      <c r="B57" s="113" t="s">
        <v>341</v>
      </c>
      <c r="C57" s="114" t="s">
        <v>85</v>
      </c>
      <c r="D57" s="83" t="s">
        <v>287</v>
      </c>
      <c r="E57" s="43" t="s">
        <v>213</v>
      </c>
      <c r="F57" s="44" t="s">
        <v>210</v>
      </c>
      <c r="G57" s="44" t="s">
        <v>214</v>
      </c>
      <c r="H57" s="44" t="s">
        <v>363</v>
      </c>
      <c r="I57" s="115">
        <v>1</v>
      </c>
      <c r="J57" s="116" t="s">
        <v>342</v>
      </c>
      <c r="K57" s="117"/>
      <c r="L57" s="117"/>
      <c r="M57" s="61"/>
    </row>
    <row r="58" spans="1:13" ht="14.25" customHeight="1">
      <c r="A58" s="14"/>
      <c r="B58" s="113" t="s">
        <v>341</v>
      </c>
      <c r="C58" s="114" t="s">
        <v>78</v>
      </c>
      <c r="D58" s="83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115">
        <v>1</v>
      </c>
      <c r="J58" s="116" t="s">
        <v>342</v>
      </c>
      <c r="K58" s="117"/>
      <c r="L58" s="117"/>
      <c r="M58" s="61"/>
    </row>
    <row r="59" spans="1:13" ht="14.25" customHeight="1">
      <c r="A59" s="14"/>
      <c r="B59" s="14"/>
      <c r="C59" s="14"/>
      <c r="D59" s="14"/>
      <c r="E59" s="14"/>
      <c r="F59" s="14"/>
      <c r="G59" s="14"/>
      <c r="H59" s="14"/>
      <c r="I59" s="120">
        <f>AVERAGE(I11:I13,I15:I16,I18:I20,I22:I24,I26:I37,I39:I41,I47:I49,I51:I52,I54,I56:I58)</f>
        <v>0.93571428571428572</v>
      </c>
      <c r="J59" s="14"/>
      <c r="K59" s="14"/>
      <c r="L59" s="14"/>
      <c r="M59" s="25"/>
    </row>
    <row r="60" spans="1:13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25"/>
    </row>
    <row r="61" spans="1:13" ht="14.25" customHeight="1">
      <c r="A61" s="14"/>
      <c r="B61" s="127" t="s">
        <v>220</v>
      </c>
      <c r="C61" s="127"/>
      <c r="D61" s="63" t="s">
        <v>221</v>
      </c>
      <c r="E61" s="121" t="s">
        <v>222</v>
      </c>
      <c r="F61" s="14"/>
      <c r="G61" s="14"/>
      <c r="H61" s="14"/>
      <c r="I61" s="14"/>
      <c r="J61" s="14"/>
      <c r="K61" s="14"/>
      <c r="L61" s="14"/>
      <c r="M61" s="25"/>
    </row>
    <row r="62" spans="1:13" ht="14.25" customHeight="1">
      <c r="A62" s="14"/>
      <c r="B62" s="128" t="s">
        <v>223</v>
      </c>
      <c r="C62" s="128"/>
      <c r="D62" s="65">
        <v>9</v>
      </c>
      <c r="E62" s="122">
        <f>+D62/D65</f>
        <v>1</v>
      </c>
      <c r="F62" s="14"/>
      <c r="G62" s="14"/>
      <c r="H62" s="14"/>
      <c r="I62" s="14"/>
      <c r="J62" s="14"/>
      <c r="K62" s="14"/>
      <c r="L62" s="14"/>
      <c r="M62" s="25"/>
    </row>
    <row r="63" spans="1:13" ht="42" customHeight="1">
      <c r="A63" s="14"/>
      <c r="B63" s="129" t="s">
        <v>224</v>
      </c>
      <c r="C63" s="129"/>
      <c r="D63" s="65">
        <v>20</v>
      </c>
      <c r="E63" s="122">
        <f>+D63/D66</f>
        <v>0.52631578947368418</v>
      </c>
      <c r="I63" s="14"/>
      <c r="J63" s="130" t="s">
        <v>364</v>
      </c>
      <c r="K63" s="130"/>
      <c r="L63" s="130"/>
      <c r="M63" s="25"/>
    </row>
    <row r="64" spans="1:13" ht="42" customHeight="1">
      <c r="A64" s="14"/>
      <c r="B64" s="131" t="s">
        <v>225</v>
      </c>
      <c r="C64" s="131"/>
      <c r="D64" s="65">
        <v>0</v>
      </c>
      <c r="E64" s="122">
        <f>+D64/D66</f>
        <v>0</v>
      </c>
      <c r="J64" s="130" t="s">
        <v>338</v>
      </c>
      <c r="K64" s="130"/>
      <c r="L64" s="130"/>
      <c r="M64" s="130"/>
    </row>
    <row r="65" spans="1:13" ht="14.25" customHeight="1">
      <c r="A65" s="14"/>
      <c r="B65" s="132" t="s">
        <v>226</v>
      </c>
      <c r="C65" s="132"/>
      <c r="D65" s="65">
        <v>9</v>
      </c>
      <c r="E65" s="122">
        <f>+D65/D66</f>
        <v>0.23684210526315788</v>
      </c>
      <c r="F65" s="14"/>
      <c r="G65" s="14"/>
      <c r="H65" s="14"/>
      <c r="I65" s="14"/>
      <c r="J65" s="14"/>
      <c r="K65" s="14"/>
      <c r="L65" s="14"/>
      <c r="M65" s="25"/>
    </row>
    <row r="66" spans="1:13" ht="14.25" customHeight="1">
      <c r="A66" s="14"/>
      <c r="B66" s="133" t="s">
        <v>227</v>
      </c>
      <c r="C66" s="133"/>
      <c r="D66" s="63">
        <f>SUM(D62:D65)</f>
        <v>38</v>
      </c>
      <c r="E66" s="123">
        <f>+D66/D66</f>
        <v>1</v>
      </c>
      <c r="F66" s="14"/>
      <c r="G66" s="14"/>
      <c r="H66" s="14"/>
      <c r="I66" s="14"/>
      <c r="J66" s="14"/>
      <c r="K66" s="14"/>
      <c r="L66" s="14"/>
      <c r="M66" s="25"/>
    </row>
    <row r="67" spans="1:13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25"/>
    </row>
    <row r="68" spans="1:13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25"/>
    </row>
    <row r="69" spans="1:13" ht="14.25" customHeight="1"/>
    <row r="70" spans="1:13" ht="14.25" customHeight="1"/>
    <row r="71" spans="1:13" ht="14.25" customHeight="1"/>
    <row r="72" spans="1:13" ht="14.25" customHeight="1"/>
    <row r="73" spans="1:13" ht="14.25" customHeight="1"/>
    <row r="74" spans="1:13" ht="14.25" customHeight="1"/>
    <row r="75" spans="1:13" ht="14.25" customHeight="1"/>
    <row r="76" spans="1:13" ht="14.25" customHeight="1"/>
    <row r="77" spans="1:13" ht="14.25" customHeight="1"/>
    <row r="78" spans="1:13" ht="14.25" customHeight="1"/>
    <row r="79" spans="1:13" ht="14.25" customHeight="1"/>
    <row r="80" spans="1:1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B63:C63"/>
    <mergeCell ref="J63:L63"/>
    <mergeCell ref="B64:C64"/>
    <mergeCell ref="J64:M64"/>
    <mergeCell ref="B65:C65"/>
    <mergeCell ref="B66:C66"/>
    <mergeCell ref="E50:M50"/>
    <mergeCell ref="E53:M53"/>
    <mergeCell ref="B55:D55"/>
    <mergeCell ref="E55:M55"/>
    <mergeCell ref="B61:C61"/>
    <mergeCell ref="B62:C62"/>
    <mergeCell ref="B25:D25"/>
    <mergeCell ref="E25:M25"/>
    <mergeCell ref="E38:M38"/>
    <mergeCell ref="E42:M42"/>
    <mergeCell ref="B46:D46"/>
    <mergeCell ref="E46:M46"/>
    <mergeCell ref="B4:M6"/>
    <mergeCell ref="B10:D10"/>
    <mergeCell ref="E10:M10"/>
    <mergeCell ref="E14:M14"/>
    <mergeCell ref="E17:M17"/>
    <mergeCell ref="E21:M21"/>
  </mergeCells>
  <hyperlinks>
    <hyperlink ref="B2" location="Google_Sheet_Link_1701273078" display="gid=1746760684" xr:uid="{6209BD17-BC3D-4857-AA21-6D7F3F829279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47B2-37C2-441A-A54C-BE231C813729}">
  <dimension ref="A1:U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4.140625" customWidth="1"/>
    <col min="14" max="14" width="13" customWidth="1"/>
    <col min="15" max="15" width="13" hidden="1" customWidth="1"/>
    <col min="16" max="21" width="13" customWidth="1"/>
    <col min="22" max="1024" width="15.28515625" customWidth="1"/>
  </cols>
  <sheetData>
    <row r="1" spans="1:21" ht="14.25" customHeight="1">
      <c r="D1" s="21"/>
      <c r="G1" s="14"/>
    </row>
    <row r="2" spans="1:21" ht="14.25" customHeight="1">
      <c r="B2" s="22" t="s">
        <v>60</v>
      </c>
      <c r="D2" s="21"/>
      <c r="G2" s="14"/>
    </row>
    <row r="3" spans="1:21" ht="14.25" customHeight="1">
      <c r="D3" s="21"/>
      <c r="G3" s="14"/>
    </row>
    <row r="4" spans="1:21" ht="14.25" customHeight="1">
      <c r="B4" s="68" t="s">
        <v>365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1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</row>
    <row r="6" spans="1:21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1:21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</row>
    <row r="8" spans="1:21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R8" s="26"/>
      <c r="S8" s="26"/>
      <c r="T8" s="26"/>
      <c r="U8" s="26"/>
    </row>
    <row r="9" spans="1:21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R9" s="26"/>
      <c r="S9" s="26"/>
      <c r="T9" s="26"/>
      <c r="U9" s="26"/>
    </row>
    <row r="10" spans="1:21" ht="30.75" customHeight="1">
      <c r="A10" s="36"/>
      <c r="B10" s="69" t="s">
        <v>76</v>
      </c>
      <c r="C10" s="69"/>
      <c r="D10" s="69"/>
      <c r="E10" s="37" t="s">
        <v>77</v>
      </c>
      <c r="F10" s="38"/>
      <c r="G10" s="142"/>
      <c r="H10" s="142"/>
      <c r="I10" s="142"/>
      <c r="J10" s="142"/>
      <c r="K10" s="142"/>
      <c r="L10" s="142"/>
      <c r="M10" s="52"/>
      <c r="R10" s="36"/>
      <c r="S10" s="36"/>
      <c r="T10" s="36"/>
      <c r="U10" s="36"/>
    </row>
    <row r="11" spans="1:21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0</v>
      </c>
      <c r="J11" s="46">
        <v>0</v>
      </c>
      <c r="K11" s="47"/>
      <c r="L11" s="134"/>
      <c r="M11" s="48" t="s">
        <v>366</v>
      </c>
      <c r="O11" s="20" t="s">
        <v>84</v>
      </c>
    </row>
    <row r="12" spans="1:21" ht="45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0.5</v>
      </c>
      <c r="J12" s="46">
        <v>0</v>
      </c>
      <c r="K12" s="47"/>
      <c r="L12" s="134"/>
      <c r="M12" s="61" t="s">
        <v>367</v>
      </c>
      <c r="O12" s="20" t="s">
        <v>78</v>
      </c>
    </row>
    <row r="13" spans="1:21" ht="75">
      <c r="B13" s="40" t="b">
        <f>FALSE()</f>
        <v>0</v>
      </c>
      <c r="C13" s="41" t="s">
        <v>78</v>
      </c>
      <c r="D13" s="42" t="s">
        <v>232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0.5</v>
      </c>
      <c r="J13" s="46">
        <v>0</v>
      </c>
      <c r="K13" s="47"/>
      <c r="L13" s="134"/>
      <c r="M13" s="61" t="s">
        <v>368</v>
      </c>
      <c r="O13" s="20" t="s">
        <v>85</v>
      </c>
    </row>
    <row r="14" spans="1:21" ht="27.75" customHeight="1">
      <c r="A14" s="36"/>
      <c r="B14" s="50"/>
      <c r="C14" s="51"/>
      <c r="D14" s="50"/>
      <c r="E14" s="37" t="s">
        <v>93</v>
      </c>
      <c r="F14" s="52"/>
      <c r="G14" s="143"/>
      <c r="H14" s="143"/>
      <c r="I14" s="143"/>
      <c r="J14" s="143"/>
      <c r="K14" s="143"/>
      <c r="L14" s="143"/>
      <c r="M14" s="48"/>
      <c r="R14" s="36"/>
      <c r="S14" s="36"/>
      <c r="T14" s="36"/>
      <c r="U14" s="36"/>
    </row>
    <row r="15" spans="1:21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0.5</v>
      </c>
      <c r="J15" s="46">
        <v>0</v>
      </c>
      <c r="K15" s="53"/>
      <c r="L15" s="135"/>
      <c r="M15" s="61" t="s">
        <v>369</v>
      </c>
    </row>
    <row r="16" spans="1:21" ht="35.25" customHeight="1">
      <c r="B16" s="40" t="b">
        <f>FALSE()</f>
        <v>0</v>
      </c>
      <c r="C16" s="41" t="s">
        <v>78</v>
      </c>
      <c r="D16" s="42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0.5</v>
      </c>
      <c r="J16" s="46">
        <v>0</v>
      </c>
      <c r="K16" s="53"/>
      <c r="L16" s="135"/>
      <c r="M16" s="61" t="s">
        <v>369</v>
      </c>
    </row>
    <row r="17" spans="2:13" ht="14.25" customHeight="1">
      <c r="B17" s="54"/>
      <c r="C17" s="55"/>
      <c r="D17" s="54"/>
      <c r="E17" s="37" t="s">
        <v>101</v>
      </c>
      <c r="F17" s="56"/>
      <c r="G17" s="144"/>
      <c r="H17" s="144"/>
      <c r="I17" s="144"/>
      <c r="J17" s="144"/>
      <c r="K17" s="144"/>
      <c r="L17" s="144"/>
      <c r="M17" s="136"/>
    </row>
    <row r="18" spans="2:13" ht="45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0.5</v>
      </c>
      <c r="J18" s="46">
        <v>0</v>
      </c>
      <c r="K18" s="53"/>
      <c r="L18" s="135"/>
      <c r="M18" s="61" t="s">
        <v>370</v>
      </c>
    </row>
    <row r="19" spans="2:13" ht="60">
      <c r="B19" s="40" t="b">
        <f>FALSE()</f>
        <v>0</v>
      </c>
      <c r="C19" s="41" t="s">
        <v>78</v>
      </c>
      <c r="D19" s="42" t="s">
        <v>299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0.5</v>
      </c>
      <c r="J19" s="46">
        <v>0</v>
      </c>
      <c r="K19" s="53"/>
      <c r="L19" s="135"/>
      <c r="M19" s="61" t="s">
        <v>371</v>
      </c>
    </row>
    <row r="20" spans="2:13" ht="45">
      <c r="B20" s="40" t="b">
        <f>FALSE()</f>
        <v>0</v>
      </c>
      <c r="C20" s="41" t="s">
        <v>78</v>
      </c>
      <c r="D20" s="42" t="s">
        <v>299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0.5</v>
      </c>
      <c r="J20" s="46">
        <v>0</v>
      </c>
      <c r="K20" s="53"/>
      <c r="L20" s="135"/>
      <c r="M20" s="61" t="s">
        <v>372</v>
      </c>
    </row>
    <row r="21" spans="2:13" ht="14.25" customHeight="1">
      <c r="B21" s="54"/>
      <c r="C21" s="55"/>
      <c r="D21" s="54"/>
      <c r="E21" s="37" t="s">
        <v>112</v>
      </c>
      <c r="F21" s="56"/>
      <c r="G21" s="144"/>
      <c r="H21" s="144"/>
      <c r="I21" s="144"/>
      <c r="J21" s="144"/>
      <c r="K21" s="144"/>
      <c r="L21" s="144"/>
      <c r="M21" s="136"/>
    </row>
    <row r="22" spans="2:13" ht="45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0.5</v>
      </c>
      <c r="J22" s="46">
        <v>0</v>
      </c>
      <c r="K22" s="53"/>
      <c r="L22" s="135"/>
      <c r="M22" s="61" t="s">
        <v>373</v>
      </c>
    </row>
    <row r="23" spans="2:13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0.5</v>
      </c>
      <c r="J23" s="46">
        <v>0</v>
      </c>
      <c r="K23" s="53"/>
      <c r="L23" s="135"/>
      <c r="M23" s="61" t="s">
        <v>374</v>
      </c>
    </row>
    <row r="24" spans="2:13" ht="60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0.5</v>
      </c>
      <c r="J24" s="46">
        <v>0</v>
      </c>
      <c r="K24" s="53"/>
      <c r="L24" s="135"/>
      <c r="M24" s="61" t="s">
        <v>375</v>
      </c>
    </row>
    <row r="25" spans="2:13" ht="30" customHeight="1">
      <c r="B25" s="73" t="s">
        <v>122</v>
      </c>
      <c r="C25" s="73"/>
      <c r="D25" s="73"/>
      <c r="E25" s="37" t="s">
        <v>77</v>
      </c>
      <c r="F25" s="56"/>
      <c r="G25" s="144"/>
      <c r="H25" s="144"/>
      <c r="I25" s="144"/>
      <c r="J25" s="144"/>
      <c r="K25" s="144"/>
      <c r="L25" s="144"/>
      <c r="M25" s="136"/>
    </row>
    <row r="26" spans="2:13" ht="60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45">
        <v>0.5</v>
      </c>
      <c r="J26" s="46">
        <v>0</v>
      </c>
      <c r="K26" s="53"/>
      <c r="L26" s="135"/>
      <c r="M26" s="61" t="s">
        <v>376</v>
      </c>
    </row>
    <row r="27" spans="2:13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45">
        <v>0.1</v>
      </c>
      <c r="J27" s="46">
        <v>0</v>
      </c>
      <c r="K27" s="53"/>
      <c r="L27" s="135"/>
      <c r="M27" s="48" t="s">
        <v>377</v>
      </c>
    </row>
    <row r="28" spans="2:13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45">
        <v>0.5</v>
      </c>
      <c r="J28" s="46">
        <v>0</v>
      </c>
      <c r="K28" s="53"/>
      <c r="L28" s="135"/>
      <c r="M28" s="61" t="s">
        <v>378</v>
      </c>
    </row>
    <row r="29" spans="2:13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45">
        <v>0.5</v>
      </c>
      <c r="J29" s="46">
        <v>0</v>
      </c>
      <c r="K29" s="53"/>
      <c r="L29" s="135"/>
      <c r="M29" s="61" t="s">
        <v>376</v>
      </c>
    </row>
    <row r="30" spans="2:13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45">
        <v>1</v>
      </c>
      <c r="J30" s="46">
        <v>0</v>
      </c>
      <c r="K30" s="53"/>
      <c r="L30" s="135"/>
      <c r="M30" s="48"/>
    </row>
    <row r="31" spans="2:13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45">
        <v>1</v>
      </c>
      <c r="J31" s="46">
        <v>0</v>
      </c>
      <c r="K31" s="53"/>
      <c r="L31" s="135"/>
      <c r="M31" s="48"/>
    </row>
    <row r="32" spans="2:13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45">
        <v>1</v>
      </c>
      <c r="J32" s="46">
        <v>0</v>
      </c>
      <c r="K32" s="53"/>
      <c r="L32" s="135"/>
      <c r="M32" s="48"/>
    </row>
    <row r="33" spans="1:21" ht="60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45">
        <v>0.5</v>
      </c>
      <c r="J33" s="46">
        <v>0</v>
      </c>
      <c r="K33" s="53"/>
      <c r="L33" s="135"/>
      <c r="M33" s="61" t="s">
        <v>376</v>
      </c>
    </row>
    <row r="34" spans="1:21" ht="71.25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45">
        <v>0</v>
      </c>
      <c r="J34" s="46">
        <v>0</v>
      </c>
      <c r="K34" s="53"/>
      <c r="L34" s="135"/>
      <c r="M34" s="48" t="s">
        <v>379</v>
      </c>
    </row>
    <row r="35" spans="1:21" ht="78.75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45">
        <v>0</v>
      </c>
      <c r="J35" s="46">
        <v>0</v>
      </c>
      <c r="K35" s="53"/>
      <c r="L35" s="135"/>
      <c r="M35" s="48" t="s">
        <v>379</v>
      </c>
    </row>
    <row r="36" spans="1:21" ht="73.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45">
        <v>0</v>
      </c>
      <c r="J36" s="46">
        <v>0</v>
      </c>
      <c r="K36" s="53"/>
      <c r="L36" s="135"/>
      <c r="M36" s="48" t="s">
        <v>379</v>
      </c>
    </row>
    <row r="37" spans="1:21" ht="60">
      <c r="B37" s="40" t="b">
        <f>FALSE()</f>
        <v>0</v>
      </c>
      <c r="C37" s="41" t="s">
        <v>85</v>
      </c>
      <c r="D37" s="42" t="s">
        <v>306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45">
        <v>0.5</v>
      </c>
      <c r="J37" s="46">
        <v>0</v>
      </c>
      <c r="K37" s="53"/>
      <c r="L37" s="135"/>
      <c r="M37" s="61" t="s">
        <v>380</v>
      </c>
    </row>
    <row r="38" spans="1:21" ht="27.75" customHeight="1">
      <c r="A38" s="36"/>
      <c r="B38" s="50"/>
      <c r="C38" s="51"/>
      <c r="D38" s="50"/>
      <c r="E38" s="37" t="s">
        <v>93</v>
      </c>
      <c r="F38" s="52"/>
      <c r="G38" s="144"/>
      <c r="H38" s="144"/>
      <c r="I38" s="144"/>
      <c r="J38" s="144"/>
      <c r="K38" s="144"/>
      <c r="L38" s="144"/>
      <c r="M38" s="136"/>
      <c r="Q38" s="36"/>
      <c r="R38" s="36"/>
      <c r="S38" s="36"/>
      <c r="T38" s="36"/>
      <c r="U38" s="36"/>
    </row>
    <row r="39" spans="1:21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0.5</v>
      </c>
      <c r="J39" s="46">
        <v>0</v>
      </c>
      <c r="K39" s="53"/>
      <c r="L39" s="135"/>
      <c r="M39" s="61" t="s">
        <v>369</v>
      </c>
    </row>
    <row r="40" spans="1:21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0</v>
      </c>
      <c r="J40" s="46">
        <v>0</v>
      </c>
      <c r="K40" s="53"/>
      <c r="L40" s="135"/>
      <c r="M40" s="61" t="s">
        <v>381</v>
      </c>
    </row>
    <row r="41" spans="1:21" ht="45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</v>
      </c>
      <c r="J41" s="46">
        <v>0</v>
      </c>
      <c r="K41" s="53"/>
      <c r="L41" s="135"/>
      <c r="M41" s="61" t="s">
        <v>382</v>
      </c>
    </row>
    <row r="42" spans="1:21" ht="27.75" customHeight="1">
      <c r="A42" s="36"/>
      <c r="B42" s="50"/>
      <c r="C42" s="51"/>
      <c r="D42" s="50"/>
      <c r="E42" s="37" t="s">
        <v>101</v>
      </c>
      <c r="F42" s="52"/>
      <c r="G42" s="144"/>
      <c r="H42" s="144"/>
      <c r="I42" s="144"/>
      <c r="J42" s="144"/>
      <c r="K42" s="144"/>
      <c r="L42" s="144"/>
      <c r="M42" s="136"/>
      <c r="Q42" s="36"/>
      <c r="R42" s="36"/>
      <c r="S42" s="36"/>
      <c r="T42" s="36"/>
      <c r="U42" s="36"/>
    </row>
    <row r="43" spans="1:21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0.5</v>
      </c>
      <c r="J43" s="46">
        <v>0</v>
      </c>
      <c r="K43" s="53"/>
      <c r="L43" s="135"/>
      <c r="M43" s="61" t="s">
        <v>383</v>
      </c>
    </row>
    <row r="44" spans="1:21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0.5</v>
      </c>
      <c r="J44" s="46">
        <v>0</v>
      </c>
      <c r="K44" s="53"/>
      <c r="L44" s="135"/>
      <c r="M44" s="61" t="s">
        <v>383</v>
      </c>
    </row>
    <row r="45" spans="1:21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0.5</v>
      </c>
      <c r="J45" s="46">
        <v>0</v>
      </c>
      <c r="K45" s="53"/>
      <c r="L45" s="135"/>
      <c r="M45" s="61" t="s">
        <v>383</v>
      </c>
    </row>
    <row r="46" spans="1:21" ht="30" customHeight="1">
      <c r="B46" s="73" t="s">
        <v>184</v>
      </c>
      <c r="C46" s="73"/>
      <c r="D46" s="73"/>
      <c r="E46" s="37" t="s">
        <v>77</v>
      </c>
      <c r="F46" s="56"/>
      <c r="G46" s="144"/>
      <c r="H46" s="144"/>
      <c r="I46" s="144"/>
      <c r="J46" s="144"/>
      <c r="K46" s="144"/>
      <c r="L46" s="144"/>
      <c r="M46" s="136"/>
    </row>
    <row r="47" spans="1:21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0</v>
      </c>
      <c r="J47" s="46">
        <v>0</v>
      </c>
      <c r="K47" s="53"/>
      <c r="L47" s="137"/>
      <c r="M47" s="138" t="s">
        <v>384</v>
      </c>
    </row>
    <row r="48" spans="1:21" ht="50.25" customHeight="1">
      <c r="B48" s="40" t="b">
        <f>FALSE()</f>
        <v>0</v>
      </c>
      <c r="C48" s="41" t="s">
        <v>85</v>
      </c>
      <c r="D48" s="42" t="s">
        <v>232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0</v>
      </c>
      <c r="J48" s="46">
        <v>0</v>
      </c>
      <c r="K48" s="135"/>
      <c r="L48" s="53"/>
      <c r="M48" s="138" t="s">
        <v>385</v>
      </c>
    </row>
    <row r="49" spans="1:21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0</v>
      </c>
      <c r="J49" s="46">
        <v>0</v>
      </c>
      <c r="K49" s="53"/>
      <c r="L49" s="139"/>
      <c r="M49" s="138" t="s">
        <v>386</v>
      </c>
    </row>
    <row r="50" spans="1:21" ht="27.75" customHeight="1">
      <c r="A50" s="36"/>
      <c r="B50" s="50"/>
      <c r="C50" s="51"/>
      <c r="D50" s="50"/>
      <c r="E50" s="37" t="s">
        <v>93</v>
      </c>
      <c r="F50" s="52"/>
      <c r="G50" s="144"/>
      <c r="H50" s="144"/>
      <c r="I50" s="144"/>
      <c r="J50" s="144"/>
      <c r="K50" s="144"/>
      <c r="L50" s="144"/>
      <c r="M50" s="136"/>
      <c r="Q50" s="36"/>
      <c r="R50" s="36"/>
      <c r="S50" s="36"/>
      <c r="T50" s="36"/>
      <c r="U50" s="36"/>
    </row>
    <row r="51" spans="1:21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0.5</v>
      </c>
      <c r="J51" s="46">
        <v>0</v>
      </c>
      <c r="K51" s="53"/>
      <c r="L51" s="135"/>
      <c r="M51" s="61" t="s">
        <v>387</v>
      </c>
    </row>
    <row r="52" spans="1:21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0</v>
      </c>
      <c r="J52" s="46">
        <v>0</v>
      </c>
      <c r="K52" s="53"/>
      <c r="L52" s="135"/>
      <c r="M52" s="48" t="s">
        <v>331</v>
      </c>
    </row>
    <row r="53" spans="1:21" ht="27.75" customHeight="1">
      <c r="A53" s="36"/>
      <c r="B53" s="50"/>
      <c r="C53" s="51"/>
      <c r="D53" s="50"/>
      <c r="E53" s="37" t="s">
        <v>101</v>
      </c>
      <c r="F53" s="52"/>
      <c r="G53" s="144"/>
      <c r="H53" s="144"/>
      <c r="I53" s="144"/>
      <c r="J53" s="144"/>
      <c r="K53" s="144"/>
      <c r="L53" s="144"/>
      <c r="M53" s="136"/>
      <c r="Q53" s="36"/>
      <c r="R53" s="36"/>
      <c r="S53" s="36"/>
      <c r="T53" s="36"/>
      <c r="U53" s="36"/>
    </row>
    <row r="54" spans="1:21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135"/>
      <c r="M54" s="48"/>
    </row>
    <row r="55" spans="1:21" ht="30" customHeight="1">
      <c r="B55" s="73" t="s">
        <v>208</v>
      </c>
      <c r="C55" s="73"/>
      <c r="D55" s="73"/>
      <c r="E55" s="37" t="s">
        <v>77</v>
      </c>
      <c r="F55" s="72"/>
      <c r="G55" s="72"/>
      <c r="H55" s="72"/>
      <c r="I55" s="72"/>
      <c r="J55" s="72"/>
      <c r="K55" s="72"/>
      <c r="L55" s="140"/>
      <c r="M55" s="136"/>
    </row>
    <row r="56" spans="1:21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135"/>
      <c r="M56" s="48"/>
    </row>
    <row r="57" spans="1:21" ht="45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0.5</v>
      </c>
      <c r="J57" s="46">
        <v>0</v>
      </c>
      <c r="K57" s="53"/>
      <c r="L57" s="135"/>
      <c r="M57" s="61" t="s">
        <v>388</v>
      </c>
    </row>
    <row r="58" spans="1:21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135"/>
      <c r="M58" s="48" t="s">
        <v>389</v>
      </c>
    </row>
    <row r="59" spans="1:21" ht="14.25" customHeight="1">
      <c r="D59" s="21"/>
      <c r="G59" s="14"/>
      <c r="I59" s="141">
        <f>AVERAGE(I11:I58)</f>
        <v>0.43684210526315792</v>
      </c>
    </row>
    <row r="60" spans="1:21" ht="14.25" customHeight="1">
      <c r="D60" s="21"/>
      <c r="G60" s="14"/>
    </row>
    <row r="61" spans="1:21" ht="14.25" customHeight="1">
      <c r="B61" s="74" t="s">
        <v>220</v>
      </c>
      <c r="C61" s="74"/>
      <c r="D61" s="63" t="s">
        <v>221</v>
      </c>
      <c r="E61" s="64" t="s">
        <v>222</v>
      </c>
      <c r="G61" s="14"/>
    </row>
    <row r="62" spans="1:21" ht="14.25" customHeight="1">
      <c r="B62" s="75" t="s">
        <v>223</v>
      </c>
      <c r="C62" s="75"/>
      <c r="D62" s="65">
        <f>COUNTIF(I11:I58,"&gt;=90%")</f>
        <v>6</v>
      </c>
      <c r="E62" s="66">
        <f>+D62/D66</f>
        <v>0.15789473684210525</v>
      </c>
      <c r="G62" s="14"/>
    </row>
    <row r="63" spans="1:21" ht="25.5" customHeight="1">
      <c r="B63" s="77" t="s">
        <v>224</v>
      </c>
      <c r="C63" s="77"/>
      <c r="D63" s="65">
        <f>COUNTIFS(I11:I58,"&gt;=50%",I11:I58,"&lt;90%")</f>
        <v>21</v>
      </c>
      <c r="E63" s="66">
        <f>+D63/D66</f>
        <v>0.55263157894736847</v>
      </c>
      <c r="F63" s="89" t="s">
        <v>390</v>
      </c>
      <c r="G63" s="89"/>
      <c r="H63" s="89"/>
      <c r="I63" s="88"/>
    </row>
    <row r="64" spans="1:21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391</v>
      </c>
      <c r="G64" s="89"/>
      <c r="H64" s="89"/>
      <c r="I64" s="89"/>
    </row>
    <row r="65" spans="2:7" ht="14.25" customHeight="1">
      <c r="B65" s="81" t="s">
        <v>226</v>
      </c>
      <c r="C65" s="81"/>
      <c r="D65" s="65">
        <f>COUNTIFS(I11:I58,"&gt;=0%",I11:I58,"&lt;25%")</f>
        <v>11</v>
      </c>
      <c r="E65" s="66">
        <f>+D65/D66</f>
        <v>0.28947368421052633</v>
      </c>
      <c r="G65" s="14"/>
    </row>
    <row r="66" spans="2:7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</row>
    <row r="67" spans="2:7" ht="14.25" customHeight="1">
      <c r="D67" s="21"/>
      <c r="G67" s="14"/>
    </row>
    <row r="68" spans="2:7" ht="14.25" customHeight="1">
      <c r="D68" s="21"/>
      <c r="G68" s="14"/>
    </row>
    <row r="69" spans="2:7" ht="14.25" customHeight="1">
      <c r="D69" s="21"/>
      <c r="G69" s="14"/>
    </row>
    <row r="70" spans="2:7" ht="14.25" customHeight="1">
      <c r="D70" s="21"/>
      <c r="G70" s="14"/>
    </row>
    <row r="71" spans="2:7" ht="14.25" customHeight="1">
      <c r="D71" s="21"/>
      <c r="G71" s="14"/>
    </row>
    <row r="72" spans="2:7" ht="14.25" customHeight="1">
      <c r="D72" s="21"/>
      <c r="G72" s="14"/>
    </row>
    <row r="73" spans="2:7" ht="14.25" customHeight="1">
      <c r="D73" s="21"/>
      <c r="G73" s="14"/>
    </row>
    <row r="74" spans="2:7" ht="14.25" customHeight="1">
      <c r="D74" s="21"/>
      <c r="G74" s="14"/>
    </row>
    <row r="75" spans="2:7" ht="14.25" customHeight="1">
      <c r="D75" s="21"/>
      <c r="G75" s="14"/>
    </row>
    <row r="76" spans="2:7" ht="14.25" customHeight="1">
      <c r="D76" s="21"/>
      <c r="G76" s="14"/>
    </row>
    <row r="77" spans="2:7" ht="14.25" customHeight="1">
      <c r="D77" s="21"/>
      <c r="G77" s="14"/>
    </row>
    <row r="78" spans="2:7" ht="14.25" customHeight="1">
      <c r="D78" s="21"/>
      <c r="G78" s="14"/>
    </row>
    <row r="79" spans="2:7" ht="14.25" customHeight="1">
      <c r="D79" s="21"/>
      <c r="G79" s="14"/>
    </row>
    <row r="80" spans="2:7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F55:K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22:I24 I26:I37 I39:I41 I43:I45 I47:I49 I51:I52 I54 I56:I58">
    <cfRule type="expression" dxfId="11" priority="7" stopIfTrue="1">
      <formula>I11&gt;=90%</formula>
    </cfRule>
  </conditionalFormatting>
  <dataValidations count="1">
    <dataValidation type="list" allowBlank="1" showErrorMessage="1" sqref="C11:C13 C15:C16 C18:C20 C22:C24 C26:C37 C39:C41 C43:C45 C47:C49 C51:C52 C54 C56:C58" xr:uid="{C282032A-6F72-4715-9ACF-058060EDFAC0}">
      <formula1>$O$11:$O$13</formula1>
    </dataValidation>
  </dataValidations>
  <hyperlinks>
    <hyperlink ref="B2" location="Resumen!A1" display="Resumen!A1" xr:uid="{DE51B58B-5576-4861-8CBF-2AC3E81DA24A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AA04-AA88-47FA-B1DD-85B7A2D16D15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34.570312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392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1</v>
      </c>
      <c r="J12" s="46">
        <v>0</v>
      </c>
      <c r="K12" s="47"/>
      <c r="L12" s="47"/>
      <c r="M12" s="145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232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1</v>
      </c>
      <c r="J13" s="46">
        <v>0</v>
      </c>
      <c r="K13" s="47"/>
      <c r="L13" s="47"/>
      <c r="M13" s="145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1"/>
      <c r="H14" s="71"/>
      <c r="I14" s="71"/>
      <c r="J14" s="71"/>
      <c r="K14" s="71"/>
      <c r="L14" s="71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1</v>
      </c>
      <c r="J15" s="46">
        <v>0</v>
      </c>
      <c r="K15" s="53"/>
      <c r="L15" s="53"/>
      <c r="M15" s="61"/>
      <c r="N15" s="23"/>
      <c r="O15" s="23"/>
      <c r="P15" s="23"/>
      <c r="Q15" s="23"/>
      <c r="R15" s="23"/>
      <c r="S15" s="23"/>
      <c r="T15" s="23"/>
      <c r="U15" s="23"/>
    </row>
    <row r="16" spans="1:26" ht="43.5" customHeight="1">
      <c r="B16" s="40" t="b">
        <f>FALSE()</f>
        <v>0</v>
      </c>
      <c r="C16" s="41" t="s">
        <v>78</v>
      </c>
      <c r="D16" s="42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1</v>
      </c>
      <c r="J16" s="46">
        <v>0</v>
      </c>
      <c r="K16" s="53"/>
      <c r="L16" s="53"/>
      <c r="M16" s="61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1"/>
      <c r="H17" s="71"/>
      <c r="I17" s="71"/>
      <c r="J17" s="71"/>
      <c r="K17" s="71"/>
      <c r="L17" s="71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1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299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1</v>
      </c>
      <c r="J19" s="46">
        <v>0</v>
      </c>
      <c r="K19" s="53"/>
      <c r="L19" s="53"/>
      <c r="M19" s="61"/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299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1</v>
      </c>
      <c r="J20" s="46">
        <v>0</v>
      </c>
      <c r="K20" s="53"/>
      <c r="L20" s="53"/>
      <c r="M20" s="48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0.5</v>
      </c>
      <c r="J22" s="46">
        <v>0</v>
      </c>
      <c r="K22" s="53"/>
      <c r="L22" s="53"/>
      <c r="M22" s="61" t="s">
        <v>393</v>
      </c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1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85">
        <v>1</v>
      </c>
      <c r="J26" s="46">
        <v>0</v>
      </c>
      <c r="K26" s="53"/>
      <c r="L26" s="53"/>
      <c r="M26" s="61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87">
        <v>0.5</v>
      </c>
      <c r="J27" s="46">
        <v>0</v>
      </c>
      <c r="K27" s="53"/>
      <c r="L27" s="53"/>
      <c r="M27" s="61" t="s">
        <v>394</v>
      </c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85">
        <v>1</v>
      </c>
      <c r="J28" s="46">
        <v>0</v>
      </c>
      <c r="K28" s="53"/>
      <c r="L28" s="53"/>
      <c r="M28" s="61"/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85">
        <v>1</v>
      </c>
      <c r="J29" s="46">
        <v>0</v>
      </c>
      <c r="K29" s="53"/>
      <c r="L29" s="53"/>
      <c r="M29" s="48"/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/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243</v>
      </c>
      <c r="F32" s="44" t="s">
        <v>127</v>
      </c>
      <c r="G32" s="44" t="s">
        <v>244</v>
      </c>
      <c r="H32" s="44" t="s">
        <v>245</v>
      </c>
      <c r="I32" s="85">
        <v>1</v>
      </c>
      <c r="J32" s="46">
        <v>0</v>
      </c>
      <c r="K32" s="53"/>
      <c r="L32" s="53"/>
      <c r="M32" s="48"/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5">
        <v>1</v>
      </c>
      <c r="J33" s="46">
        <v>0</v>
      </c>
      <c r="K33" s="53"/>
      <c r="L33" s="53"/>
      <c r="M33" s="61"/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5">
        <v>1</v>
      </c>
      <c r="J34" s="46">
        <v>0</v>
      </c>
      <c r="K34" s="53"/>
      <c r="L34" s="53"/>
      <c r="M34" s="57"/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5">
        <v>1</v>
      </c>
      <c r="J35" s="46">
        <v>0</v>
      </c>
      <c r="K35" s="53"/>
      <c r="L35" s="53"/>
      <c r="M35" s="57"/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5">
        <v>1</v>
      </c>
      <c r="J36" s="46">
        <v>0</v>
      </c>
      <c r="K36" s="53"/>
      <c r="L36" s="53"/>
      <c r="M36" s="57"/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306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7">
        <v>0.5</v>
      </c>
      <c r="J37" s="46">
        <v>0</v>
      </c>
      <c r="K37" s="53"/>
      <c r="L37" s="53"/>
      <c r="M37" s="57" t="s">
        <v>395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1</v>
      </c>
      <c r="J39" s="46">
        <v>0</v>
      </c>
      <c r="K39" s="53"/>
      <c r="L39" s="53"/>
      <c r="M39" s="48"/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1</v>
      </c>
      <c r="J40" s="46">
        <v>0</v>
      </c>
      <c r="K40" s="53"/>
      <c r="L40" s="53"/>
      <c r="M40" s="61"/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0.5</v>
      </c>
      <c r="J41" s="46">
        <v>0</v>
      </c>
      <c r="K41" s="53"/>
      <c r="L41" s="53"/>
      <c r="M41" s="61" t="s">
        <v>396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0.5</v>
      </c>
      <c r="J43" s="46">
        <v>0</v>
      </c>
      <c r="K43" s="53"/>
      <c r="L43" s="53"/>
      <c r="M43" s="57" t="s">
        <v>397</v>
      </c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0</v>
      </c>
      <c r="J44" s="46">
        <v>0</v>
      </c>
      <c r="K44" s="53"/>
      <c r="L44" s="53"/>
      <c r="M44" s="61" t="s">
        <v>398</v>
      </c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0</v>
      </c>
      <c r="J45" s="46">
        <v>0</v>
      </c>
      <c r="K45" s="53"/>
      <c r="L45" s="53"/>
      <c r="M45" s="61" t="s">
        <v>399</v>
      </c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0.8</v>
      </c>
      <c r="J47" s="46">
        <v>0</v>
      </c>
      <c r="K47" s="53"/>
      <c r="L47" s="53"/>
      <c r="M47" s="61" t="s">
        <v>400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61"/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1</v>
      </c>
      <c r="J49" s="46">
        <v>0</v>
      </c>
      <c r="K49" s="53"/>
      <c r="L49" s="53"/>
      <c r="M49" s="48"/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57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1</v>
      </c>
      <c r="J52" s="46">
        <v>0</v>
      </c>
      <c r="K52" s="53"/>
      <c r="L52" s="53"/>
      <c r="M52" s="57"/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0.5</v>
      </c>
      <c r="J54" s="46">
        <v>0</v>
      </c>
      <c r="K54" s="53"/>
      <c r="L54" s="53"/>
      <c r="M54" s="61" t="s">
        <v>401</v>
      </c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8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85">
        <v>1</v>
      </c>
      <c r="J57" s="46">
        <v>0</v>
      </c>
      <c r="K57" s="53"/>
      <c r="L57" s="53"/>
      <c r="M57" s="61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8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0.86315789473684201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29</v>
      </c>
      <c r="E62" s="66">
        <f>+D62/D66</f>
        <v>0.76315789473684215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7</v>
      </c>
      <c r="E63" s="66">
        <f>+D63/D66</f>
        <v>0.18421052631578946</v>
      </c>
      <c r="F63" s="89" t="s">
        <v>402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403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2</v>
      </c>
      <c r="E65" s="66">
        <f>+D65/D66</f>
        <v>5.2631578947368418E-2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123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22:I24 I39:I41 I43:I45 I47:I49 I51:I52 I54">
    <cfRule type="expression" dxfId="10" priority="8" stopIfTrue="1">
      <formula>I11&gt;=90%</formula>
    </cfRule>
  </conditionalFormatting>
  <dataValidations count="1">
    <dataValidation type="list" allowBlank="1" showErrorMessage="1" sqref="C11:C13 C15:C16 C18:C20 C22:C24 C26:C37 C39:C41 C43:C45 C47:C49 C51:C52 C54 C56:C58" xr:uid="{130F0BB6-3FBF-4092-93E4-7E76BD1F9C1F}">
      <formula1>$T$11:$T$13</formula1>
    </dataValidation>
  </dataValidations>
  <hyperlinks>
    <hyperlink ref="B2" location="Resumen!A1" display="Resumen!A1" xr:uid="{BCC80EEA-31D0-4C54-89E2-F2D957AF4A73}"/>
  </hyperlinks>
  <pageMargins left="0.7" right="0.7" top="1.1437499999999998" bottom="1.1437499999999998" header="0.75" footer="0.75"/>
  <pageSetup paperSize="0" scale="50" fitToWidth="0" fitToHeight="0" orientation="landscape" horizontalDpi="0" verticalDpi="0" copies="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AEE0-8C34-42E5-8A64-EA95606EFD0D}">
  <dimension ref="A1:Z1000"/>
  <sheetViews>
    <sheetView workbookViewId="0"/>
  </sheetViews>
  <sheetFormatPr baseColWidth="10" defaultRowHeight="15" customHeight="1"/>
  <cols>
    <col min="1" max="1" width="1.140625" customWidth="1"/>
    <col min="2" max="2" width="10.5703125" customWidth="1"/>
    <col min="3" max="3" width="12.42578125" customWidth="1"/>
    <col min="4" max="4" width="15.5703125" customWidth="1"/>
    <col min="5" max="5" width="48" customWidth="1"/>
    <col min="6" max="6" width="7.5703125" customWidth="1"/>
    <col min="7" max="7" width="14.140625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404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83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83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1</v>
      </c>
      <c r="J12" s="46">
        <v>0</v>
      </c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83" t="s">
        <v>267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1</v>
      </c>
      <c r="J13" s="46">
        <v>0</v>
      </c>
      <c r="K13" s="47"/>
      <c r="L13" s="47"/>
      <c r="M13" s="48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1"/>
      <c r="H14" s="71"/>
      <c r="I14" s="71"/>
      <c r="J14" s="71"/>
      <c r="K14" s="71"/>
      <c r="L14" s="71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1</v>
      </c>
      <c r="J15" s="46"/>
      <c r="K15" s="53"/>
      <c r="L15" s="53"/>
      <c r="M15" s="57" t="s">
        <v>405</v>
      </c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1</v>
      </c>
      <c r="J16" s="46">
        <v>0</v>
      </c>
      <c r="K16" s="53"/>
      <c r="L16" s="53"/>
      <c r="M16" s="146" t="s">
        <v>406</v>
      </c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1"/>
      <c r="H17" s="71"/>
      <c r="I17" s="71"/>
      <c r="J17" s="71"/>
      <c r="K17" s="71"/>
      <c r="L17" s="71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56.25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1</v>
      </c>
      <c r="J18" s="46">
        <v>0</v>
      </c>
      <c r="K18" s="53"/>
      <c r="L18" s="53"/>
      <c r="M18" s="61"/>
      <c r="N18" s="23"/>
      <c r="O18" s="23"/>
      <c r="P18" s="23"/>
      <c r="Q18" s="23"/>
      <c r="R18" s="23"/>
      <c r="S18" s="23"/>
      <c r="T18" s="23"/>
      <c r="U18" s="23"/>
    </row>
    <row r="19" spans="2:21" ht="54" customHeight="1">
      <c r="B19" s="40" t="b">
        <f>FALSE()</f>
        <v>0</v>
      </c>
      <c r="C19" s="41" t="s">
        <v>78</v>
      </c>
      <c r="D19" s="42" t="s">
        <v>299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1</v>
      </c>
      <c r="J19" s="46">
        <v>0</v>
      </c>
      <c r="K19" s="53"/>
      <c r="L19" s="53"/>
      <c r="M19" s="61"/>
      <c r="N19" s="23"/>
      <c r="O19" s="23"/>
      <c r="P19" s="23"/>
      <c r="Q19" s="23"/>
      <c r="R19" s="23"/>
      <c r="S19" s="23"/>
      <c r="T19" s="23"/>
      <c r="U19" s="23"/>
    </row>
    <row r="20" spans="2:21" ht="66" customHeight="1">
      <c r="B20" s="40" t="b">
        <f>FALSE()</f>
        <v>0</v>
      </c>
      <c r="C20" s="41" t="s">
        <v>78</v>
      </c>
      <c r="D20" s="42" t="s">
        <v>299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1</v>
      </c>
      <c r="J20" s="46">
        <v>0</v>
      </c>
      <c r="K20" s="53"/>
      <c r="L20" s="53"/>
      <c r="M20" s="61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1</v>
      </c>
      <c r="J22" s="46">
        <v>0</v>
      </c>
      <c r="K22" s="53"/>
      <c r="L22" s="53"/>
      <c r="M22" s="48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1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45">
        <v>1</v>
      </c>
      <c r="J26" s="46">
        <v>0</v>
      </c>
      <c r="K26" s="53"/>
      <c r="L26" s="53"/>
      <c r="M26" s="57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45">
        <v>1</v>
      </c>
      <c r="J27" s="46">
        <v>0</v>
      </c>
      <c r="K27" s="53"/>
      <c r="L27" s="53"/>
      <c r="M27" s="57"/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45">
        <v>0.5</v>
      </c>
      <c r="J28" s="46">
        <v>0</v>
      </c>
      <c r="K28" s="53"/>
      <c r="L28" s="53"/>
      <c r="M28" s="48"/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45">
        <v>1</v>
      </c>
      <c r="J29" s="46">
        <v>0</v>
      </c>
      <c r="K29" s="53"/>
      <c r="L29" s="53"/>
      <c r="M29" s="48"/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147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147">
        <v>1</v>
      </c>
      <c r="J31" s="46">
        <v>0</v>
      </c>
      <c r="K31" s="53"/>
      <c r="L31" s="53"/>
      <c r="M31" s="48"/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147">
        <v>1</v>
      </c>
      <c r="J32" s="46">
        <v>0</v>
      </c>
      <c r="K32" s="53"/>
      <c r="L32" s="53"/>
      <c r="M32" s="48"/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45">
        <v>0.5</v>
      </c>
      <c r="J33" s="46">
        <v>0</v>
      </c>
      <c r="K33" s="53"/>
      <c r="L33" s="53"/>
      <c r="M33" s="57" t="s">
        <v>407</v>
      </c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45">
        <v>1</v>
      </c>
      <c r="J34" s="46">
        <v>0</v>
      </c>
      <c r="K34" s="53"/>
      <c r="L34" s="53"/>
      <c r="M34" s="48"/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45">
        <v>1</v>
      </c>
      <c r="J35" s="46">
        <v>0</v>
      </c>
      <c r="K35" s="53"/>
      <c r="L35" s="53"/>
      <c r="M35" s="48"/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45">
        <v>1</v>
      </c>
      <c r="J36" s="46">
        <v>0</v>
      </c>
      <c r="K36" s="53"/>
      <c r="L36" s="53"/>
      <c r="M36" s="48"/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306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45">
        <v>0.5</v>
      </c>
      <c r="J37" s="46">
        <v>0</v>
      </c>
      <c r="K37" s="53"/>
      <c r="L37" s="53"/>
      <c r="M37" s="57" t="s">
        <v>408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0</v>
      </c>
      <c r="J39" s="46">
        <v>0</v>
      </c>
      <c r="K39" s="53"/>
      <c r="L39" s="53"/>
      <c r="M39" s="57" t="s">
        <v>409</v>
      </c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0</v>
      </c>
      <c r="J40" s="46">
        <v>0</v>
      </c>
      <c r="K40" s="53"/>
      <c r="L40" s="53"/>
      <c r="M40" s="57" t="s">
        <v>409</v>
      </c>
      <c r="N40" s="23"/>
      <c r="O40" s="23"/>
      <c r="P40" s="23"/>
      <c r="Q40" s="23"/>
      <c r="R40" s="23"/>
      <c r="S40" s="23"/>
      <c r="T40" s="23"/>
      <c r="U40" s="23"/>
    </row>
    <row r="41" spans="1:26" ht="47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</v>
      </c>
      <c r="J41" s="46">
        <v>0</v>
      </c>
      <c r="K41" s="53"/>
      <c r="L41" s="53"/>
      <c r="M41" s="57" t="s">
        <v>409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1</v>
      </c>
      <c r="J43" s="46">
        <v>0</v>
      </c>
      <c r="K43" s="53"/>
      <c r="L43" s="53"/>
      <c r="M43" s="57" t="s">
        <v>410</v>
      </c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1</v>
      </c>
      <c r="J44" s="46">
        <v>0</v>
      </c>
      <c r="K44" s="53"/>
      <c r="L44" s="53"/>
      <c r="M44" s="48"/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1</v>
      </c>
      <c r="J45" s="46">
        <v>0</v>
      </c>
      <c r="K45" s="53"/>
      <c r="L45" s="53"/>
      <c r="M45" s="48"/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0</v>
      </c>
      <c r="J47" s="46">
        <v>0</v>
      </c>
      <c r="K47" s="53"/>
      <c r="L47" s="53"/>
      <c r="M47" s="57" t="s">
        <v>411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/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1</v>
      </c>
      <c r="J49" s="46">
        <v>0</v>
      </c>
      <c r="K49" s="53"/>
      <c r="L49" s="53"/>
      <c r="M49" s="48"/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48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0</v>
      </c>
      <c r="J52" s="46">
        <v>0</v>
      </c>
      <c r="K52" s="53"/>
      <c r="L52" s="53"/>
      <c r="M52" s="57" t="s">
        <v>412</v>
      </c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46">
        <v>0</v>
      </c>
      <c r="K57" s="53"/>
      <c r="L57" s="53"/>
      <c r="M57" s="48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141">
        <f>AVERAGE(I11:I58)</f>
        <v>0.82894736842105265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30</v>
      </c>
      <c r="E62" s="66">
        <f>+D62/D66</f>
        <v>0.78947368421052633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3</v>
      </c>
      <c r="E63" s="66">
        <f>+D63/D66</f>
        <v>7.8947368421052627E-2</v>
      </c>
      <c r="F63" s="89" t="s">
        <v>288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289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5</v>
      </c>
      <c r="E65" s="66">
        <f>+D65/D66</f>
        <v>0.13157894736842105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39:I41 I43:I45 I47:I49 I51:I52 I54 I56:I58">
    <cfRule type="expression" dxfId="9" priority="9" stopIfTrue="1">
      <formula>I11&gt;=90%</formula>
    </cfRule>
  </conditionalFormatting>
  <conditionalFormatting sqref="I22:I24">
    <cfRule type="expression" dxfId="8" priority="10" stopIfTrue="1">
      <formula>I22&gt;=90%</formula>
    </cfRule>
  </conditionalFormatting>
  <conditionalFormatting sqref="I26:I29">
    <cfRule type="expression" dxfId="7" priority="11" stopIfTrue="1">
      <formula>I26&gt;=90%</formula>
    </cfRule>
  </conditionalFormatting>
  <conditionalFormatting sqref="I33:I37">
    <cfRule type="expression" dxfId="6" priority="12" stopIfTrue="1">
      <formula>I33&gt;=90%</formula>
    </cfRule>
  </conditionalFormatting>
  <dataValidations count="1">
    <dataValidation type="list" allowBlank="1" showErrorMessage="1" sqref="C11:C13 C15:C16 C18:C20 C22:C24 C26:C37 C39:C41 C43:C45 C47:C49 C51:C52 C54 C56:C58" xr:uid="{A9EBC697-E18C-4421-A235-BF3A6570687E}">
      <formula1>$T$11:$T$13</formula1>
    </dataValidation>
  </dataValidations>
  <hyperlinks>
    <hyperlink ref="B2" location="Resumen!A1" display="Resumen!A1" xr:uid="{F2313AD2-DF1E-45FA-B6C2-290965DC2DE2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9E6A-C78F-44DC-97B2-54D65DD42083}">
  <dimension ref="A1"/>
  <sheetViews>
    <sheetView workbookViewId="0"/>
  </sheetViews>
  <sheetFormatPr baseColWidth="10" defaultRowHeight="15" customHeight="1"/>
  <cols>
    <col min="1" max="1024" width="15.28515625" customWidth="1"/>
  </cols>
  <sheetData/>
  <pageMargins left="0.74805555555555558" right="0.74805555555555558" top="1.3776388888888889" bottom="1.3776388888888889" header="0.98388888888888892" footer="0.98388888888888892"/>
  <pageSetup paperSize="0" fitToWidth="0" fitToHeight="0" orientation="portrait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E89A-6740-4DD3-951E-307A683C02E9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413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1</v>
      </c>
      <c r="J12" s="46">
        <v>0</v>
      </c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267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1</v>
      </c>
      <c r="J13" s="46">
        <v>0</v>
      </c>
      <c r="K13" s="47"/>
      <c r="L13" s="47"/>
      <c r="M13" s="48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1"/>
      <c r="H14" s="71"/>
      <c r="I14" s="71"/>
      <c r="J14" s="71"/>
      <c r="K14" s="71"/>
      <c r="L14" s="71"/>
      <c r="M14" s="48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1</v>
      </c>
      <c r="J15" s="46">
        <v>0</v>
      </c>
      <c r="K15" s="53"/>
      <c r="L15" s="53"/>
      <c r="M15" s="48"/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267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1</v>
      </c>
      <c r="J16" s="46">
        <v>0</v>
      </c>
      <c r="K16" s="53"/>
      <c r="L16" s="53"/>
      <c r="M16" s="48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1"/>
      <c r="H17" s="71"/>
      <c r="I17" s="71"/>
      <c r="J17" s="71"/>
      <c r="K17" s="71"/>
      <c r="L17" s="71"/>
      <c r="M17" s="48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1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272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1</v>
      </c>
      <c r="J19" s="46">
        <v>0</v>
      </c>
      <c r="K19" s="53"/>
      <c r="L19" s="53"/>
      <c r="M19" s="48"/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272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1</v>
      </c>
      <c r="J20" s="46">
        <v>0</v>
      </c>
      <c r="K20" s="53"/>
      <c r="L20" s="53"/>
      <c r="M20" s="48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48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1</v>
      </c>
      <c r="J22" s="46">
        <v>0</v>
      </c>
      <c r="K22" s="53"/>
      <c r="L22" s="53"/>
      <c r="M22" s="48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1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48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45">
        <v>1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45">
        <v>1</v>
      </c>
      <c r="J27" s="46">
        <v>0</v>
      </c>
      <c r="K27" s="53"/>
      <c r="L27" s="53"/>
      <c r="M27" s="48"/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45">
        <v>1</v>
      </c>
      <c r="J28" s="46">
        <v>0</v>
      </c>
      <c r="K28" s="53"/>
      <c r="L28" s="53"/>
      <c r="M28" s="48"/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45">
        <v>1</v>
      </c>
      <c r="J29" s="46">
        <v>0</v>
      </c>
      <c r="K29" s="53"/>
      <c r="L29" s="53"/>
      <c r="M29" s="48"/>
      <c r="N29" s="23"/>
      <c r="O29" s="23"/>
      <c r="P29" s="23"/>
      <c r="Q29" s="23"/>
      <c r="R29" s="23"/>
      <c r="S29" s="23"/>
      <c r="T29" s="23"/>
      <c r="U29" s="23"/>
    </row>
    <row r="30" spans="2:21" ht="30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4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45">
        <v>1</v>
      </c>
      <c r="J31" s="46">
        <v>0</v>
      </c>
      <c r="K31" s="53"/>
      <c r="L31" s="53"/>
      <c r="M31" s="48" t="s">
        <v>316</v>
      </c>
      <c r="N31" s="23"/>
      <c r="O31" s="23"/>
      <c r="P31" s="23"/>
      <c r="Q31" s="23"/>
      <c r="R31" s="23"/>
      <c r="S31" s="23"/>
      <c r="T31" s="23"/>
      <c r="U31" s="23"/>
    </row>
    <row r="32" spans="2:21" ht="34.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45">
        <v>1</v>
      </c>
      <c r="J32" s="46">
        <v>0</v>
      </c>
      <c r="K32" s="53"/>
      <c r="L32" s="53"/>
      <c r="M32" s="48" t="s">
        <v>414</v>
      </c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45">
        <v>1</v>
      </c>
      <c r="J33" s="46">
        <v>0</v>
      </c>
      <c r="K33" s="53"/>
      <c r="L33" s="53"/>
      <c r="M33" s="48"/>
      <c r="N33" s="23"/>
      <c r="O33" s="23"/>
      <c r="P33" s="23"/>
      <c r="Q33" s="23"/>
      <c r="R33" s="23"/>
      <c r="S33" s="23"/>
      <c r="T33" s="23"/>
      <c r="U33" s="23"/>
    </row>
    <row r="34" spans="1:26" ht="93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45">
        <v>1</v>
      </c>
      <c r="J34" s="46">
        <v>0</v>
      </c>
      <c r="K34" s="53"/>
      <c r="L34" s="53"/>
      <c r="M34" s="48"/>
      <c r="N34" s="23"/>
      <c r="O34" s="23"/>
      <c r="P34" s="23"/>
      <c r="Q34" s="23"/>
      <c r="R34" s="23"/>
      <c r="S34" s="23"/>
      <c r="T34" s="23"/>
      <c r="U34" s="23"/>
    </row>
    <row r="35" spans="1:26" ht="112.5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45">
        <v>1</v>
      </c>
      <c r="J35" s="46">
        <v>0</v>
      </c>
      <c r="K35" s="53"/>
      <c r="L35" s="53"/>
      <c r="M35" s="48"/>
      <c r="N35" s="23"/>
      <c r="O35" s="23"/>
      <c r="P35" s="23"/>
      <c r="Q35" s="23"/>
      <c r="R35" s="23"/>
      <c r="S35" s="23"/>
      <c r="T35" s="23"/>
      <c r="U35" s="23"/>
    </row>
    <row r="36" spans="1:26" ht="90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45">
        <v>1</v>
      </c>
      <c r="J36" s="46">
        <v>0</v>
      </c>
      <c r="K36" s="53"/>
      <c r="L36" s="53"/>
      <c r="M36" s="48"/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280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45">
        <v>1</v>
      </c>
      <c r="J37" s="46">
        <v>0</v>
      </c>
      <c r="K37" s="53"/>
      <c r="L37" s="53"/>
      <c r="M37" s="48"/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48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1</v>
      </c>
      <c r="J39" s="46">
        <v>0</v>
      </c>
      <c r="K39" s="53"/>
      <c r="L39" s="53"/>
      <c r="M39" s="48"/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1</v>
      </c>
      <c r="J40" s="46">
        <v>0</v>
      </c>
      <c r="K40" s="53"/>
      <c r="L40" s="53"/>
      <c r="M40" s="48"/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1</v>
      </c>
      <c r="J41" s="46">
        <v>0</v>
      </c>
      <c r="K41" s="53"/>
      <c r="L41" s="53"/>
      <c r="M41" s="48"/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48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1</v>
      </c>
      <c r="J43" s="46">
        <v>0</v>
      </c>
      <c r="K43" s="53"/>
      <c r="L43" s="53"/>
      <c r="M43" s="48"/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1</v>
      </c>
      <c r="J44" s="46">
        <v>0</v>
      </c>
      <c r="K44" s="53"/>
      <c r="L44" s="53"/>
      <c r="M44" s="48"/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1</v>
      </c>
      <c r="J45" s="46">
        <v>0</v>
      </c>
      <c r="K45" s="53"/>
      <c r="L45" s="53"/>
      <c r="M45" s="48"/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48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1</v>
      </c>
      <c r="J47" s="46">
        <v>0</v>
      </c>
      <c r="K47" s="53"/>
      <c r="L47" s="53"/>
      <c r="M47" s="48" t="s">
        <v>316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267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/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1</v>
      </c>
      <c r="J49" s="46">
        <v>0</v>
      </c>
      <c r="K49" s="53"/>
      <c r="L49" s="53"/>
      <c r="M49" s="48"/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48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48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1</v>
      </c>
      <c r="J52" s="46">
        <v>0</v>
      </c>
      <c r="K52" s="53"/>
      <c r="L52" s="53"/>
      <c r="M52" s="48" t="s">
        <v>316</v>
      </c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48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0.5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48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46">
        <v>0</v>
      </c>
      <c r="K57" s="53"/>
      <c r="L57" s="53"/>
      <c r="M57" s="48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0.98684210526315785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148">
        <f>COUNTIF(I11:I58,"&gt;=90%")</f>
        <v>37</v>
      </c>
      <c r="E62" s="66">
        <f>+D62/D66</f>
        <v>0.97368421052631582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148">
        <f>COUNTIFS(I11:I58,"&gt;=50%",I11:I58,"&lt;90%")</f>
        <v>1</v>
      </c>
      <c r="E63" s="66">
        <f>+D63/D66</f>
        <v>2.6315789473684209E-2</v>
      </c>
      <c r="F63" s="89" t="s">
        <v>415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148">
        <f>COUNTIFS(I11:I58,"&gt;=25%",I11:I58,"&lt;50%")</f>
        <v>0</v>
      </c>
      <c r="E64" s="66">
        <f>+D64/D66</f>
        <v>0</v>
      </c>
      <c r="F64" s="89" t="s">
        <v>416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148">
        <f>COUNTIFS(I11:I58,"&gt;=0%",I11:I58,"&lt;25%")</f>
        <v>0</v>
      </c>
      <c r="E65" s="66">
        <f>+D65/D66</f>
        <v>0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123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22:I24 I26:I37 I39:I41 I43:I45 I47:I49 I51:I52 I54 I56:I58">
    <cfRule type="expression" dxfId="5" priority="13" stopIfTrue="1">
      <formula>I11&gt;=90%</formula>
    </cfRule>
  </conditionalFormatting>
  <dataValidations count="1">
    <dataValidation type="list" allowBlank="1" showErrorMessage="1" sqref="C11:C13 C15:C16 C18:C20 C22:C24 C26:C37 C39:C41 C43:C45 C47:C49 C51:C52 C54 C56:C58" xr:uid="{008881FA-634D-492D-B897-ACA6247272C0}">
      <formula1>$T$11:$T$13</formula1>
    </dataValidation>
  </dataValidations>
  <hyperlinks>
    <hyperlink ref="B2" location="Resumen!A1" display="Resumen!A1" xr:uid="{1D5CCCA2-217A-44D4-A608-588EBDAC3BD9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6358-C05B-48AE-B92A-B5B4AC4A3FFA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417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0</v>
      </c>
      <c r="J11" s="46">
        <v>0</v>
      </c>
      <c r="K11" s="47"/>
      <c r="L11" s="47"/>
      <c r="M11" s="48" t="s">
        <v>50</v>
      </c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0</v>
      </c>
      <c r="J12" s="46">
        <v>0</v>
      </c>
      <c r="K12" s="47"/>
      <c r="L12" s="47"/>
      <c r="M12" s="48" t="s">
        <v>50</v>
      </c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232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0</v>
      </c>
      <c r="J13" s="46">
        <v>0</v>
      </c>
      <c r="K13" s="47"/>
      <c r="L13" s="47"/>
      <c r="M13" s="48" t="s">
        <v>50</v>
      </c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1"/>
      <c r="H14" s="71"/>
      <c r="I14" s="71"/>
      <c r="J14" s="71"/>
      <c r="K14" s="71"/>
      <c r="L14" s="71"/>
      <c r="M14" s="48" t="s">
        <v>50</v>
      </c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0</v>
      </c>
      <c r="J15" s="46">
        <v>0</v>
      </c>
      <c r="K15" s="53"/>
      <c r="L15" s="53"/>
      <c r="M15" s="48" t="s">
        <v>50</v>
      </c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0</v>
      </c>
      <c r="J16" s="46">
        <v>0</v>
      </c>
      <c r="K16" s="53"/>
      <c r="L16" s="53"/>
      <c r="M16" s="48" t="s">
        <v>50</v>
      </c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1"/>
      <c r="H17" s="71"/>
      <c r="I17" s="71"/>
      <c r="J17" s="71"/>
      <c r="K17" s="71"/>
      <c r="L17" s="71"/>
      <c r="M17" s="48" t="s">
        <v>50</v>
      </c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0</v>
      </c>
      <c r="J18" s="46">
        <v>0</v>
      </c>
      <c r="K18" s="53"/>
      <c r="L18" s="53"/>
      <c r="M18" s="48" t="s">
        <v>50</v>
      </c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299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0</v>
      </c>
      <c r="J19" s="46">
        <v>0</v>
      </c>
      <c r="K19" s="53"/>
      <c r="L19" s="53"/>
      <c r="M19" s="48" t="s">
        <v>50</v>
      </c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299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0</v>
      </c>
      <c r="J20" s="46">
        <v>0</v>
      </c>
      <c r="K20" s="53"/>
      <c r="L20" s="53"/>
      <c r="M20" s="48" t="s">
        <v>50</v>
      </c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48" t="s">
        <v>50</v>
      </c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0</v>
      </c>
      <c r="J22" s="46">
        <v>0</v>
      </c>
      <c r="K22" s="53"/>
      <c r="L22" s="53"/>
      <c r="M22" s="48" t="s">
        <v>50</v>
      </c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0</v>
      </c>
      <c r="J23" s="46">
        <v>0</v>
      </c>
      <c r="K23" s="53"/>
      <c r="L23" s="53"/>
      <c r="M23" s="48" t="s">
        <v>50</v>
      </c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0</v>
      </c>
      <c r="J24" s="46">
        <v>0</v>
      </c>
      <c r="K24" s="53"/>
      <c r="L24" s="53"/>
      <c r="M24" s="48" t="s">
        <v>50</v>
      </c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48" t="s">
        <v>50</v>
      </c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45">
        <v>0</v>
      </c>
      <c r="J26" s="46">
        <v>0</v>
      </c>
      <c r="K26" s="53"/>
      <c r="L26" s="53"/>
      <c r="M26" s="48" t="s">
        <v>50</v>
      </c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45">
        <v>0</v>
      </c>
      <c r="J27" s="46">
        <v>0</v>
      </c>
      <c r="K27" s="53"/>
      <c r="L27" s="53"/>
      <c r="M27" s="48" t="s">
        <v>50</v>
      </c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45">
        <v>0</v>
      </c>
      <c r="J28" s="46">
        <v>0</v>
      </c>
      <c r="K28" s="53"/>
      <c r="L28" s="53"/>
      <c r="M28" s="48" t="s">
        <v>50</v>
      </c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45">
        <v>0</v>
      </c>
      <c r="J29" s="46">
        <v>0</v>
      </c>
      <c r="K29" s="53"/>
      <c r="L29" s="53"/>
      <c r="M29" s="48" t="s">
        <v>50</v>
      </c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45">
        <v>0</v>
      </c>
      <c r="J30" s="46">
        <v>0</v>
      </c>
      <c r="K30" s="53"/>
      <c r="L30" s="53"/>
      <c r="M30" s="48" t="s">
        <v>50</v>
      </c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45">
        <v>0</v>
      </c>
      <c r="J31" s="46">
        <v>0</v>
      </c>
      <c r="K31" s="53"/>
      <c r="L31" s="53"/>
      <c r="M31" s="48" t="s">
        <v>50</v>
      </c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244</v>
      </c>
      <c r="H32" s="44" t="s">
        <v>418</v>
      </c>
      <c r="I32" s="45">
        <v>0</v>
      </c>
      <c r="J32" s="46">
        <v>0</v>
      </c>
      <c r="K32" s="53"/>
      <c r="L32" s="53"/>
      <c r="M32" s="48" t="s">
        <v>50</v>
      </c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45">
        <v>0</v>
      </c>
      <c r="J33" s="46">
        <v>0</v>
      </c>
      <c r="K33" s="53"/>
      <c r="L33" s="53"/>
      <c r="M33" s="48" t="s">
        <v>50</v>
      </c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45">
        <v>0</v>
      </c>
      <c r="J34" s="46">
        <v>0</v>
      </c>
      <c r="K34" s="53"/>
      <c r="L34" s="53"/>
      <c r="M34" s="48" t="s">
        <v>50</v>
      </c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45">
        <v>0</v>
      </c>
      <c r="J35" s="46">
        <v>0</v>
      </c>
      <c r="K35" s="53"/>
      <c r="L35" s="53"/>
      <c r="M35" s="48" t="s">
        <v>50</v>
      </c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45">
        <v>0</v>
      </c>
      <c r="J36" s="46">
        <v>0</v>
      </c>
      <c r="K36" s="53"/>
      <c r="L36" s="53"/>
      <c r="M36" s="48" t="s">
        <v>50</v>
      </c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306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45">
        <v>0</v>
      </c>
      <c r="J37" s="46">
        <v>0</v>
      </c>
      <c r="K37" s="53"/>
      <c r="L37" s="53"/>
      <c r="M37" s="48" t="s">
        <v>50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48" t="s">
        <v>50</v>
      </c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0</v>
      </c>
      <c r="J39" s="46">
        <v>0</v>
      </c>
      <c r="K39" s="53"/>
      <c r="L39" s="53"/>
      <c r="M39" s="48" t="s">
        <v>50</v>
      </c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0</v>
      </c>
      <c r="J40" s="46">
        <v>0</v>
      </c>
      <c r="K40" s="53"/>
      <c r="L40" s="53"/>
      <c r="M40" s="48" t="s">
        <v>50</v>
      </c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</v>
      </c>
      <c r="J41" s="46">
        <v>0</v>
      </c>
      <c r="K41" s="53"/>
      <c r="L41" s="53"/>
      <c r="M41" s="48" t="s">
        <v>50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48" t="s">
        <v>50</v>
      </c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0</v>
      </c>
      <c r="J43" s="46">
        <v>0</v>
      </c>
      <c r="K43" s="53"/>
      <c r="L43" s="53"/>
      <c r="M43" s="48" t="s">
        <v>50</v>
      </c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0</v>
      </c>
      <c r="J44" s="46">
        <v>0</v>
      </c>
      <c r="K44" s="53"/>
      <c r="L44" s="53"/>
      <c r="M44" s="48" t="s">
        <v>50</v>
      </c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0</v>
      </c>
      <c r="J45" s="46">
        <v>0</v>
      </c>
      <c r="K45" s="53"/>
      <c r="L45" s="53"/>
      <c r="M45" s="48" t="s">
        <v>50</v>
      </c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48" t="s">
        <v>50</v>
      </c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0</v>
      </c>
      <c r="J47" s="46">
        <v>0</v>
      </c>
      <c r="K47" s="53"/>
      <c r="L47" s="53"/>
      <c r="M47" s="48" t="s">
        <v>50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0</v>
      </c>
      <c r="J48" s="46">
        <v>0</v>
      </c>
      <c r="K48" s="53"/>
      <c r="L48" s="53"/>
      <c r="M48" s="48" t="s">
        <v>50</v>
      </c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0</v>
      </c>
      <c r="J49" s="46">
        <v>0</v>
      </c>
      <c r="K49" s="53"/>
      <c r="L49" s="53"/>
      <c r="M49" s="48" t="s">
        <v>50</v>
      </c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48" t="s">
        <v>50</v>
      </c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0</v>
      </c>
      <c r="J51" s="46">
        <v>0</v>
      </c>
      <c r="K51" s="53"/>
      <c r="L51" s="53"/>
      <c r="M51" s="48" t="s">
        <v>50</v>
      </c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0</v>
      </c>
      <c r="J52" s="46">
        <v>0</v>
      </c>
      <c r="K52" s="53"/>
      <c r="L52" s="53"/>
      <c r="M52" s="48" t="s">
        <v>50</v>
      </c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48" t="s">
        <v>50</v>
      </c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0</v>
      </c>
      <c r="J54" s="46">
        <v>0</v>
      </c>
      <c r="K54" s="53"/>
      <c r="L54" s="53"/>
      <c r="M54" s="48" t="s">
        <v>50</v>
      </c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48" t="s">
        <v>50</v>
      </c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0</v>
      </c>
      <c r="J56" s="46">
        <v>0</v>
      </c>
      <c r="K56" s="53"/>
      <c r="L56" s="53"/>
      <c r="M56" s="48" t="s">
        <v>50</v>
      </c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0</v>
      </c>
      <c r="J57" s="46">
        <v>0</v>
      </c>
      <c r="K57" s="53"/>
      <c r="L57" s="53"/>
      <c r="M57" s="48" t="s">
        <v>50</v>
      </c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0</v>
      </c>
      <c r="J58" s="46">
        <v>0</v>
      </c>
      <c r="K58" s="53"/>
      <c r="L58" s="53"/>
      <c r="M58" s="48" t="s">
        <v>50</v>
      </c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I60" s="20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0</v>
      </c>
      <c r="E62" s="66">
        <f>+D62/D66</f>
        <v>0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0</v>
      </c>
      <c r="E63" s="66">
        <f>+D63/D66</f>
        <v>0</v>
      </c>
      <c r="F63" s="89" t="s">
        <v>288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289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38</v>
      </c>
      <c r="E65" s="66">
        <f>+D65/D66</f>
        <v>1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67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22:I24 I26:I37 I39:I41 I43:I45 I47:I49 I51:I52 I54 I56:I58">
    <cfRule type="expression" dxfId="4" priority="14" stopIfTrue="1">
      <formula>I11&gt;=90%</formula>
    </cfRule>
  </conditionalFormatting>
  <dataValidations count="1">
    <dataValidation type="list" allowBlank="1" showErrorMessage="1" sqref="C11:C13 C15:C16 C18:C20 C22:C24 C26:C37 C39:C41 C43:C45 C47:C49 C51:C52 C54 C56:C58" xr:uid="{15A6A435-898F-43EE-832E-4FFE046DBCA7}">
      <formula1>$T$11:$T$13</formula1>
    </dataValidation>
  </dataValidations>
  <hyperlinks>
    <hyperlink ref="B2" location="Resumen!A1" display="Resumen!A1" xr:uid="{C54B8583-6A0F-480C-A736-4C64714C0E97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A6BD-33E9-48E4-B622-908602B18629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419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45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1</v>
      </c>
      <c r="J12" s="46">
        <v>0</v>
      </c>
      <c r="K12" s="47"/>
      <c r="L12" s="47"/>
      <c r="M12" s="61" t="s">
        <v>420</v>
      </c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267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1</v>
      </c>
      <c r="J13" s="46">
        <v>0</v>
      </c>
      <c r="K13" s="47"/>
      <c r="L13" s="47"/>
      <c r="M13" s="61" t="s">
        <v>421</v>
      </c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2"/>
      <c r="H14" s="72"/>
      <c r="I14" s="72"/>
      <c r="J14" s="72"/>
      <c r="K14" s="72"/>
      <c r="L14" s="72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0.5</v>
      </c>
      <c r="J15" s="46">
        <v>0</v>
      </c>
      <c r="K15" s="53"/>
      <c r="L15" s="53"/>
      <c r="M15" s="61" t="s">
        <v>369</v>
      </c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267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0.5</v>
      </c>
      <c r="J16" s="46">
        <v>0</v>
      </c>
      <c r="K16" s="53"/>
      <c r="L16" s="53"/>
      <c r="M16" s="61" t="s">
        <v>369</v>
      </c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2"/>
      <c r="H17" s="72"/>
      <c r="I17" s="72"/>
      <c r="J17" s="72"/>
      <c r="K17" s="72"/>
      <c r="L17" s="72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1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272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0.5</v>
      </c>
      <c r="J19" s="46">
        <v>0</v>
      </c>
      <c r="K19" s="53"/>
      <c r="L19" s="53"/>
      <c r="M19" s="61" t="s">
        <v>422</v>
      </c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272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1</v>
      </c>
      <c r="J20" s="46">
        <v>0</v>
      </c>
      <c r="K20" s="53"/>
      <c r="L20" s="53"/>
      <c r="M20" s="48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45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0.5</v>
      </c>
      <c r="J22" s="46">
        <v>0</v>
      </c>
      <c r="K22" s="53"/>
      <c r="L22" s="53"/>
      <c r="M22" s="61" t="s">
        <v>373</v>
      </c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0.5</v>
      </c>
      <c r="J23" s="46">
        <v>0</v>
      </c>
      <c r="K23" s="53"/>
      <c r="L23" s="53"/>
      <c r="M23" s="61" t="s">
        <v>374</v>
      </c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0.5</v>
      </c>
      <c r="J24" s="46">
        <v>0</v>
      </c>
      <c r="K24" s="53"/>
      <c r="L24" s="53"/>
      <c r="M24" s="61" t="s">
        <v>423</v>
      </c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85">
        <v>1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91">
        <v>0</v>
      </c>
      <c r="J27" s="46">
        <v>0</v>
      </c>
      <c r="K27" s="53"/>
      <c r="L27" s="53"/>
      <c r="M27" s="61" t="s">
        <v>424</v>
      </c>
      <c r="N27" s="23"/>
      <c r="O27" s="23"/>
      <c r="P27" s="23"/>
      <c r="Q27" s="23"/>
      <c r="R27" s="23"/>
      <c r="S27" s="23"/>
      <c r="T27" s="23"/>
      <c r="U27" s="23"/>
    </row>
    <row r="28" spans="2:21" ht="75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86">
        <v>0.5</v>
      </c>
      <c r="J28" s="46">
        <v>0</v>
      </c>
      <c r="K28" s="53"/>
      <c r="L28" s="53"/>
      <c r="M28" s="61" t="s">
        <v>425</v>
      </c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86">
        <v>0.5</v>
      </c>
      <c r="J29" s="46">
        <v>0</v>
      </c>
      <c r="K29" s="53"/>
      <c r="L29" s="53"/>
      <c r="M29" s="61" t="s">
        <v>426</v>
      </c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/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85">
        <v>1</v>
      </c>
      <c r="J32" s="46">
        <v>0</v>
      </c>
      <c r="K32" s="53"/>
      <c r="L32" s="53"/>
      <c r="M32" s="48"/>
      <c r="N32" s="23"/>
      <c r="O32" s="23"/>
      <c r="P32" s="23"/>
      <c r="Q32" s="23"/>
      <c r="R32" s="23"/>
      <c r="S32" s="23"/>
      <c r="T32" s="23"/>
      <c r="U32" s="23"/>
    </row>
    <row r="33" spans="1:26" ht="60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6">
        <v>0.5</v>
      </c>
      <c r="J33" s="46">
        <v>0</v>
      </c>
      <c r="K33" s="53"/>
      <c r="L33" s="53"/>
      <c r="M33" s="61" t="s">
        <v>427</v>
      </c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6">
        <v>0.5</v>
      </c>
      <c r="J34" s="46">
        <v>0</v>
      </c>
      <c r="K34" s="53"/>
      <c r="L34" s="53"/>
      <c r="M34" s="61" t="s">
        <v>426</v>
      </c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6">
        <v>0.5</v>
      </c>
      <c r="J35" s="46">
        <v>0</v>
      </c>
      <c r="K35" s="53"/>
      <c r="L35" s="53"/>
      <c r="M35" s="61" t="s">
        <v>426</v>
      </c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6">
        <v>0.5</v>
      </c>
      <c r="J36" s="46">
        <v>0</v>
      </c>
      <c r="K36" s="53"/>
      <c r="L36" s="53"/>
      <c r="M36" s="61" t="s">
        <v>426</v>
      </c>
      <c r="N36" s="23"/>
      <c r="O36" s="23"/>
      <c r="P36" s="23"/>
      <c r="Q36" s="23"/>
      <c r="R36" s="23"/>
      <c r="S36" s="23"/>
      <c r="T36" s="23"/>
      <c r="U36" s="23"/>
    </row>
    <row r="37" spans="1:26" ht="45">
      <c r="B37" s="40" t="b">
        <f>FALSE()</f>
        <v>0</v>
      </c>
      <c r="C37" s="41" t="s">
        <v>85</v>
      </c>
      <c r="D37" s="42" t="s">
        <v>280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6">
        <v>0.5</v>
      </c>
      <c r="J37" s="46">
        <v>0</v>
      </c>
      <c r="K37" s="53"/>
      <c r="L37" s="53"/>
      <c r="M37" s="61" t="s">
        <v>281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0.5</v>
      </c>
      <c r="J39" s="46">
        <v>0</v>
      </c>
      <c r="K39" s="53"/>
      <c r="L39" s="53"/>
      <c r="M39" s="61" t="s">
        <v>428</v>
      </c>
      <c r="N39" s="23"/>
      <c r="O39" s="23"/>
      <c r="P39" s="23"/>
      <c r="Q39" s="23"/>
      <c r="R39" s="23"/>
      <c r="S39" s="23"/>
      <c r="T39" s="23"/>
      <c r="U39" s="23"/>
    </row>
    <row r="40" spans="1:26" ht="60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0</v>
      </c>
      <c r="J40" s="46">
        <v>0</v>
      </c>
      <c r="K40" s="53"/>
      <c r="L40" s="53"/>
      <c r="M40" s="61" t="s">
        <v>429</v>
      </c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1</v>
      </c>
      <c r="J41" s="46">
        <v>0</v>
      </c>
      <c r="K41" s="53"/>
      <c r="L41" s="53"/>
      <c r="M41" s="48"/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1</v>
      </c>
      <c r="J43" s="46">
        <v>0</v>
      </c>
      <c r="K43" s="53"/>
      <c r="L43" s="53"/>
      <c r="M43" s="48"/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0</v>
      </c>
      <c r="J44" s="46">
        <v>0</v>
      </c>
      <c r="K44" s="53"/>
      <c r="L44" s="53"/>
      <c r="M44" s="61" t="s">
        <v>430</v>
      </c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0</v>
      </c>
      <c r="J45" s="46">
        <v>0</v>
      </c>
      <c r="K45" s="53"/>
      <c r="L45" s="53"/>
      <c r="M45" s="61" t="s">
        <v>430</v>
      </c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0.5</v>
      </c>
      <c r="J47" s="46">
        <v>0</v>
      </c>
      <c r="K47" s="53"/>
      <c r="L47" s="53"/>
      <c r="M47" s="61" t="s">
        <v>431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267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0</v>
      </c>
      <c r="J48" s="46">
        <v>0</v>
      </c>
      <c r="K48" s="53"/>
      <c r="L48" s="53"/>
      <c r="M48" s="57" t="s">
        <v>432</v>
      </c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0</v>
      </c>
      <c r="J49" s="46">
        <v>0</v>
      </c>
      <c r="K49" s="53"/>
      <c r="L49" s="53"/>
      <c r="M49" s="57" t="s">
        <v>432</v>
      </c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48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0</v>
      </c>
      <c r="J52" s="46">
        <v>0</v>
      </c>
      <c r="K52" s="53"/>
      <c r="L52" s="53"/>
      <c r="M52" s="61" t="s">
        <v>433</v>
      </c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60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0.5</v>
      </c>
      <c r="J57" s="46">
        <v>0</v>
      </c>
      <c r="K57" s="53"/>
      <c r="L57" s="53"/>
      <c r="M57" s="61" t="s">
        <v>434</v>
      </c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0.60526315789473684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15</v>
      </c>
      <c r="E62" s="66">
        <f>+D62/D66</f>
        <v>0.39473684210526316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16</v>
      </c>
      <c r="E63" s="66">
        <f>+D63/D66</f>
        <v>0.42105263157894735</v>
      </c>
      <c r="F63" s="89" t="s">
        <v>435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436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7</v>
      </c>
      <c r="E65" s="66">
        <f>+D65/D66</f>
        <v>0.18421052631578946</v>
      </c>
      <c r="F65" s="89"/>
      <c r="G65" s="89"/>
      <c r="H65" s="89"/>
      <c r="I65" s="89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123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5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22:I24 I39:I41 I43:I45 I47:I49 I51:I52 I54 I56:I58">
    <cfRule type="expression" dxfId="3" priority="15" stopIfTrue="1">
      <formula>I11&gt;=90%</formula>
    </cfRule>
  </conditionalFormatting>
  <dataValidations count="1">
    <dataValidation type="list" allowBlank="1" showErrorMessage="1" sqref="C11:C13 C15:C16 C18:C20 C22:C24 C26:C37 C39:C41 C43:C45 C47:C49 C51:C52 C54 C56:C58" xr:uid="{C767CF40-9296-482C-A0E8-02F5D9C7FF4C}">
      <formula1>$T$11:$T$13</formula1>
    </dataValidation>
  </dataValidations>
  <hyperlinks>
    <hyperlink ref="B2" location="Resumen!A1" display="Resumen!A1" xr:uid="{3E9E3B19-A1AC-4BFF-8EDA-70C92B6A8AFE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41B1-0516-4B6C-BBF6-007EE97F34E3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44.57031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437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1</v>
      </c>
      <c r="J11" s="46">
        <v>0</v>
      </c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1</v>
      </c>
      <c r="J12" s="46">
        <v>0</v>
      </c>
      <c r="K12" s="47"/>
      <c r="L12" s="47"/>
      <c r="M12" s="149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232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1</v>
      </c>
      <c r="J13" s="46">
        <v>0</v>
      </c>
      <c r="K13" s="47"/>
      <c r="L13" s="47"/>
      <c r="M13" s="149" t="s">
        <v>438</v>
      </c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1"/>
      <c r="H14" s="71"/>
      <c r="I14" s="71"/>
      <c r="J14" s="71"/>
      <c r="K14" s="71"/>
      <c r="L14" s="71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1</v>
      </c>
      <c r="J15" s="46">
        <v>0</v>
      </c>
      <c r="K15" s="53"/>
      <c r="L15" s="53"/>
      <c r="M15" s="48"/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1</v>
      </c>
      <c r="J16" s="46">
        <v>0</v>
      </c>
      <c r="K16" s="53"/>
      <c r="L16" s="53"/>
      <c r="M16" s="48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1"/>
      <c r="H17" s="71"/>
      <c r="I17" s="71"/>
      <c r="J17" s="71"/>
      <c r="K17" s="71"/>
      <c r="L17" s="71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1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299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1</v>
      </c>
      <c r="J19" s="46">
        <v>0</v>
      </c>
      <c r="K19" s="53"/>
      <c r="L19" s="53"/>
      <c r="M19" s="48"/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299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1</v>
      </c>
      <c r="J20" s="46">
        <v>0</v>
      </c>
      <c r="K20" s="53"/>
      <c r="L20" s="53"/>
      <c r="M20" s="48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1</v>
      </c>
      <c r="J22" s="46">
        <v>0</v>
      </c>
      <c r="K22" s="53"/>
      <c r="L22" s="53"/>
      <c r="M22" s="57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1</v>
      </c>
      <c r="J23" s="46">
        <v>0</v>
      </c>
      <c r="K23" s="53"/>
      <c r="L23" s="53"/>
      <c r="M23" s="57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1</v>
      </c>
      <c r="J24" s="46">
        <v>0</v>
      </c>
      <c r="K24" s="53"/>
      <c r="L24" s="53"/>
      <c r="M24" s="57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100">
        <v>1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100">
        <v>1</v>
      </c>
      <c r="J27" s="46">
        <v>0</v>
      </c>
      <c r="K27" s="53"/>
      <c r="L27" s="53"/>
      <c r="M27" s="48" t="s">
        <v>439</v>
      </c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100">
        <v>1</v>
      </c>
      <c r="J28" s="46">
        <v>0</v>
      </c>
      <c r="K28" s="53"/>
      <c r="L28" s="53"/>
      <c r="M28" s="48" t="s">
        <v>439</v>
      </c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100">
        <v>1</v>
      </c>
      <c r="J29" s="46">
        <v>0</v>
      </c>
      <c r="K29" s="53"/>
      <c r="L29" s="53"/>
      <c r="M29" s="48" t="s">
        <v>439</v>
      </c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 t="s">
        <v>316</v>
      </c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243</v>
      </c>
      <c r="F32" s="44" t="s">
        <v>127</v>
      </c>
      <c r="G32" s="44" t="s">
        <v>142</v>
      </c>
      <c r="H32" s="44" t="s">
        <v>143</v>
      </c>
      <c r="I32" s="85">
        <v>1</v>
      </c>
      <c r="J32" s="46">
        <v>0</v>
      </c>
      <c r="K32" s="53"/>
      <c r="L32" s="53"/>
      <c r="M32" s="48" t="s">
        <v>316</v>
      </c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5">
        <v>1</v>
      </c>
      <c r="J33" s="46">
        <v>0</v>
      </c>
      <c r="K33" s="53"/>
      <c r="L33" s="53"/>
      <c r="M33" s="48" t="s">
        <v>439</v>
      </c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5">
        <v>1</v>
      </c>
      <c r="J34" s="46">
        <v>0</v>
      </c>
      <c r="K34" s="53"/>
      <c r="L34" s="53"/>
      <c r="M34" s="48" t="s">
        <v>439</v>
      </c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5">
        <v>1</v>
      </c>
      <c r="J35" s="46">
        <v>0</v>
      </c>
      <c r="K35" s="53"/>
      <c r="L35" s="53"/>
      <c r="M35" s="48" t="s">
        <v>439</v>
      </c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5">
        <v>1</v>
      </c>
      <c r="J36" s="46">
        <v>0</v>
      </c>
      <c r="K36" s="53"/>
      <c r="L36" s="53"/>
      <c r="M36" s="48" t="s">
        <v>439</v>
      </c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306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6">
        <v>0.5</v>
      </c>
      <c r="J37" s="46">
        <v>0</v>
      </c>
      <c r="K37" s="53"/>
      <c r="L37" s="53"/>
      <c r="M37" s="48" t="s">
        <v>439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1</v>
      </c>
      <c r="J39" s="46">
        <v>0</v>
      </c>
      <c r="K39" s="53"/>
      <c r="L39" s="53"/>
      <c r="M39" s="48" t="s">
        <v>440</v>
      </c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1</v>
      </c>
      <c r="J40" s="46">
        <v>0</v>
      </c>
      <c r="K40" s="53"/>
      <c r="L40" s="53"/>
      <c r="M40" s="48" t="s">
        <v>440</v>
      </c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1</v>
      </c>
      <c r="J41" s="46">
        <v>0</v>
      </c>
      <c r="K41" s="53"/>
      <c r="L41" s="53"/>
      <c r="M41" s="48" t="s">
        <v>440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0.5</v>
      </c>
      <c r="J43" s="46">
        <v>0</v>
      </c>
      <c r="K43" s="53"/>
      <c r="L43" s="53"/>
      <c r="M43" s="61" t="s">
        <v>441</v>
      </c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0.5</v>
      </c>
      <c r="J44" s="46">
        <v>0</v>
      </c>
      <c r="K44" s="53"/>
      <c r="L44" s="53"/>
      <c r="M44" s="61" t="s">
        <v>441</v>
      </c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0.5</v>
      </c>
      <c r="J45" s="46">
        <v>0</v>
      </c>
      <c r="K45" s="53"/>
      <c r="L45" s="53"/>
      <c r="M45" s="61" t="s">
        <v>441</v>
      </c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1</v>
      </c>
      <c r="J47" s="46">
        <v>0</v>
      </c>
      <c r="K47" s="53"/>
      <c r="L47" s="53"/>
      <c r="M47" s="61" t="s">
        <v>442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 t="s">
        <v>439</v>
      </c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1</v>
      </c>
      <c r="J49" s="46">
        <v>0</v>
      </c>
      <c r="K49" s="53"/>
      <c r="L49" s="53"/>
      <c r="M49" s="48" t="s">
        <v>439</v>
      </c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1</v>
      </c>
      <c r="J51" s="46">
        <v>0</v>
      </c>
      <c r="K51" s="53"/>
      <c r="L51" s="53"/>
      <c r="M51" s="48" t="s">
        <v>439</v>
      </c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1</v>
      </c>
      <c r="J52" s="46">
        <v>0</v>
      </c>
      <c r="K52" s="53"/>
      <c r="L52" s="53"/>
      <c r="M52" s="48"/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 t="s">
        <v>439</v>
      </c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 t="s">
        <v>439</v>
      </c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46">
        <v>0</v>
      </c>
      <c r="K57" s="53"/>
      <c r="L57" s="53"/>
      <c r="M57" s="48" t="s">
        <v>439</v>
      </c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 t="s">
        <v>439</v>
      </c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0.94736842105263153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34</v>
      </c>
      <c r="E62" s="66">
        <f>+D62/D66</f>
        <v>0.89473684210526316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4</v>
      </c>
      <c r="E63" s="66">
        <f>+D63/D66</f>
        <v>0.10526315789473684</v>
      </c>
      <c r="F63" s="89" t="s">
        <v>443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444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0</v>
      </c>
      <c r="E65" s="66">
        <f>+D65/D66</f>
        <v>0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123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22:I24 I39:I41 I43:I45 I47:I49 I51:I52 I54 I56:I58">
    <cfRule type="expression" dxfId="2" priority="16" stopIfTrue="1">
      <formula>I11&gt;=90%</formula>
    </cfRule>
  </conditionalFormatting>
  <dataValidations count="1">
    <dataValidation type="list" allowBlank="1" showErrorMessage="1" sqref="C11:C13 C15:C16 C18:C20 C22:C24 C26:C37 C39:C41 C43:C45 C47:C49 C51:C52 C54 C56:C58" xr:uid="{DC066161-7C24-4387-9F2F-93F597F83E07}">
      <formula1>$T$11:$T$13</formula1>
    </dataValidation>
  </dataValidations>
  <hyperlinks>
    <hyperlink ref="B2" location="Resumen!A1" display="Resumen!A1" xr:uid="{713611FA-2866-4C66-A3DC-2C456DBAE4A3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F2C1-2B6E-4CE2-8179-4205A484C9A1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445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100">
        <v>1</v>
      </c>
      <c r="J11" s="47"/>
      <c r="K11" s="47"/>
      <c r="L11" s="47"/>
      <c r="M11" s="48"/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85">
        <v>1</v>
      </c>
      <c r="J12" s="47"/>
      <c r="K12" s="47"/>
      <c r="L12" s="47"/>
      <c r="M12" s="48"/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232</v>
      </c>
      <c r="E13" s="43" t="s">
        <v>90</v>
      </c>
      <c r="F13" s="44" t="s">
        <v>81</v>
      </c>
      <c r="G13" s="44" t="s">
        <v>91</v>
      </c>
      <c r="H13" s="44" t="s">
        <v>92</v>
      </c>
      <c r="I13" s="85">
        <v>1</v>
      </c>
      <c r="J13" s="47"/>
      <c r="K13" s="47"/>
      <c r="L13" s="47"/>
      <c r="M13" s="48"/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52"/>
      <c r="H14" s="52"/>
      <c r="I14" s="52"/>
      <c r="J14" s="52"/>
      <c r="K14" s="52"/>
      <c r="L14" s="52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100">
        <v>1</v>
      </c>
      <c r="J15" s="46">
        <v>0</v>
      </c>
      <c r="K15" s="53"/>
      <c r="L15" s="53"/>
      <c r="M15" s="48"/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232</v>
      </c>
      <c r="E16" s="43" t="s">
        <v>98</v>
      </c>
      <c r="F16" s="44" t="s">
        <v>95</v>
      </c>
      <c r="G16" s="44" t="s">
        <v>99</v>
      </c>
      <c r="H16" s="44" t="s">
        <v>100</v>
      </c>
      <c r="I16" s="85">
        <v>1</v>
      </c>
      <c r="J16" s="46">
        <v>0</v>
      </c>
      <c r="K16" s="53"/>
      <c r="L16" s="53"/>
      <c r="M16" s="84"/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2"/>
      <c r="H17" s="72"/>
      <c r="I17" s="72"/>
      <c r="J17" s="72"/>
      <c r="K17" s="72"/>
      <c r="L17" s="72"/>
      <c r="M17" s="56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100">
        <v>1</v>
      </c>
      <c r="J18" s="46">
        <v>0</v>
      </c>
      <c r="K18" s="53"/>
      <c r="L18" s="53"/>
      <c r="M18" s="48"/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299</v>
      </c>
      <c r="E19" s="43" t="s">
        <v>106</v>
      </c>
      <c r="F19" s="44" t="s">
        <v>81</v>
      </c>
      <c r="G19" s="44" t="s">
        <v>107</v>
      </c>
      <c r="H19" s="44" t="s">
        <v>108</v>
      </c>
      <c r="I19" s="100">
        <v>1</v>
      </c>
      <c r="J19" s="46">
        <v>0</v>
      </c>
      <c r="K19" s="53"/>
      <c r="L19" s="53"/>
      <c r="M19" s="48"/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299</v>
      </c>
      <c r="E20" s="43" t="s">
        <v>109</v>
      </c>
      <c r="F20" s="44" t="s">
        <v>81</v>
      </c>
      <c r="G20" s="44" t="s">
        <v>110</v>
      </c>
      <c r="H20" s="58" t="s">
        <v>111</v>
      </c>
      <c r="I20" s="85">
        <v>1</v>
      </c>
      <c r="J20" s="46">
        <v>0</v>
      </c>
      <c r="K20" s="53"/>
      <c r="L20" s="53"/>
      <c r="M20" s="48"/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6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100">
        <v>1</v>
      </c>
      <c r="J22" s="46">
        <v>0</v>
      </c>
      <c r="K22" s="53"/>
      <c r="L22" s="53"/>
      <c r="M22" s="48"/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100">
        <v>1</v>
      </c>
      <c r="J23" s="46">
        <v>0</v>
      </c>
      <c r="K23" s="53"/>
      <c r="L23" s="53"/>
      <c r="M23" s="48"/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85">
        <v>1</v>
      </c>
      <c r="J24" s="46">
        <v>0</v>
      </c>
      <c r="K24" s="53"/>
      <c r="L24" s="53"/>
      <c r="M24" s="48"/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6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100">
        <v>1</v>
      </c>
      <c r="J26" s="46">
        <v>0</v>
      </c>
      <c r="K26" s="53"/>
      <c r="L26" s="53"/>
      <c r="M26" s="48"/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85">
        <v>1</v>
      </c>
      <c r="J27" s="46">
        <v>0</v>
      </c>
      <c r="K27" s="53"/>
      <c r="L27" s="53"/>
      <c r="M27" s="48"/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85">
        <v>1</v>
      </c>
      <c r="J28" s="46">
        <v>0</v>
      </c>
      <c r="K28" s="53"/>
      <c r="L28" s="53"/>
      <c r="M28" s="48"/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240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85">
        <v>1</v>
      </c>
      <c r="J29" s="46">
        <v>0</v>
      </c>
      <c r="K29" s="53"/>
      <c r="L29" s="53"/>
      <c r="M29" s="48"/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45838</v>
      </c>
      <c r="E30" s="43" t="s">
        <v>136</v>
      </c>
      <c r="F30" s="44" t="s">
        <v>127</v>
      </c>
      <c r="G30" s="44" t="s">
        <v>137</v>
      </c>
      <c r="H30" s="44" t="s">
        <v>138</v>
      </c>
      <c r="I30" s="85">
        <v>1</v>
      </c>
      <c r="J30" s="46">
        <v>0</v>
      </c>
      <c r="K30" s="53"/>
      <c r="L30" s="53"/>
      <c r="M30" s="48"/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45991</v>
      </c>
      <c r="E31" s="43" t="s">
        <v>139</v>
      </c>
      <c r="F31" s="44" t="s">
        <v>127</v>
      </c>
      <c r="G31" s="44" t="s">
        <v>140</v>
      </c>
      <c r="H31" s="44" t="s">
        <v>139</v>
      </c>
      <c r="I31" s="85">
        <v>1</v>
      </c>
      <c r="J31" s="46">
        <v>0</v>
      </c>
      <c r="K31" s="53"/>
      <c r="L31" s="53"/>
      <c r="M31" s="48" t="s">
        <v>446</v>
      </c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46011</v>
      </c>
      <c r="E32" s="43" t="s">
        <v>141</v>
      </c>
      <c r="F32" s="44" t="s">
        <v>127</v>
      </c>
      <c r="G32" s="44" t="s">
        <v>142</v>
      </c>
      <c r="H32" s="44" t="s">
        <v>143</v>
      </c>
      <c r="I32" s="85">
        <v>1</v>
      </c>
      <c r="J32" s="46">
        <v>0</v>
      </c>
      <c r="K32" s="53"/>
      <c r="L32" s="53"/>
      <c r="M32" s="48" t="s">
        <v>446</v>
      </c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85">
        <v>1</v>
      </c>
      <c r="J33" s="46">
        <v>0</v>
      </c>
      <c r="K33" s="53"/>
      <c r="L33" s="53"/>
      <c r="M33" s="48"/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85">
        <v>1</v>
      </c>
      <c r="J34" s="46">
        <v>0</v>
      </c>
      <c r="K34" s="53"/>
      <c r="L34" s="53"/>
      <c r="M34" s="48"/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85">
        <v>1</v>
      </c>
      <c r="J35" s="46">
        <v>0</v>
      </c>
      <c r="K35" s="53"/>
      <c r="L35" s="53"/>
      <c r="M35" s="48"/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85">
        <v>1</v>
      </c>
      <c r="J36" s="46">
        <v>0</v>
      </c>
      <c r="K36" s="53"/>
      <c r="L36" s="53"/>
      <c r="M36" s="48"/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306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85">
        <v>1</v>
      </c>
      <c r="J37" s="46">
        <v>0</v>
      </c>
      <c r="K37" s="53"/>
      <c r="L37" s="53"/>
      <c r="M37" s="48"/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85">
        <v>1</v>
      </c>
      <c r="J39" s="46">
        <v>0</v>
      </c>
      <c r="K39" s="53"/>
      <c r="L39" s="53"/>
      <c r="M39" s="48"/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0</v>
      </c>
      <c r="J40" s="46">
        <v>0</v>
      </c>
      <c r="K40" s="53"/>
      <c r="L40" s="53"/>
      <c r="M40" s="48" t="s">
        <v>440</v>
      </c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</v>
      </c>
      <c r="J41" s="46">
        <v>0</v>
      </c>
      <c r="K41" s="53"/>
      <c r="L41" s="53"/>
      <c r="M41" s="48" t="s">
        <v>440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100">
        <v>1</v>
      </c>
      <c r="J43" s="46">
        <v>0</v>
      </c>
      <c r="K43" s="53"/>
      <c r="L43" s="53"/>
      <c r="M43" s="48"/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85">
        <v>1</v>
      </c>
      <c r="J44" s="46">
        <v>0</v>
      </c>
      <c r="K44" s="53"/>
      <c r="L44" s="53"/>
      <c r="M44" s="48"/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85">
        <v>1</v>
      </c>
      <c r="J45" s="46">
        <v>0</v>
      </c>
      <c r="K45" s="53"/>
      <c r="L45" s="53"/>
      <c r="M45" s="48"/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6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240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0</v>
      </c>
      <c r="J47" s="46">
        <v>0</v>
      </c>
      <c r="K47" s="53"/>
      <c r="L47" s="53"/>
      <c r="M47" s="48" t="s">
        <v>316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232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1</v>
      </c>
      <c r="J48" s="46">
        <v>0</v>
      </c>
      <c r="K48" s="53"/>
      <c r="L48" s="53"/>
      <c r="M48" s="48" t="s">
        <v>316</v>
      </c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0</v>
      </c>
      <c r="J49" s="46">
        <v>0</v>
      </c>
      <c r="K49" s="53"/>
      <c r="L49" s="53"/>
      <c r="M49" s="48" t="s">
        <v>316</v>
      </c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0.5</v>
      </c>
      <c r="J51" s="46">
        <v>0</v>
      </c>
      <c r="K51" s="53"/>
      <c r="L51" s="53"/>
      <c r="M51" s="48"/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0</v>
      </c>
      <c r="J52" s="46">
        <v>0</v>
      </c>
      <c r="K52" s="53"/>
      <c r="L52" s="53"/>
      <c r="M52" s="48" t="s">
        <v>316</v>
      </c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1</v>
      </c>
      <c r="J54" s="46">
        <v>0</v>
      </c>
      <c r="K54" s="53"/>
      <c r="L54" s="53"/>
      <c r="M54" s="48"/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6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1</v>
      </c>
      <c r="J56" s="46">
        <v>0</v>
      </c>
      <c r="K56" s="53"/>
      <c r="L56" s="53"/>
      <c r="M56" s="48"/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287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1</v>
      </c>
      <c r="J57" s="46">
        <v>0</v>
      </c>
      <c r="K57" s="53"/>
      <c r="L57" s="53"/>
      <c r="M57" s="48"/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1</v>
      </c>
      <c r="J58" s="46">
        <v>0</v>
      </c>
      <c r="K58" s="53"/>
      <c r="L58" s="53"/>
      <c r="M58" s="48"/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62">
        <f>AVERAGE(I11:I58)</f>
        <v>0.85526315789473684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32</v>
      </c>
      <c r="E62" s="66">
        <f>+D62/D66</f>
        <v>0.84210526315789469</v>
      </c>
      <c r="G62" s="14"/>
      <c r="I62" s="20" t="s">
        <v>447</v>
      </c>
      <c r="J62" s="20">
        <v>5</v>
      </c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1</v>
      </c>
      <c r="E63" s="66">
        <f>+D63/D66</f>
        <v>2.6315789473684209E-2</v>
      </c>
      <c r="F63" s="89" t="s">
        <v>448</v>
      </c>
      <c r="G63" s="89"/>
      <c r="H63" s="89"/>
      <c r="I63" s="88" t="s">
        <v>449</v>
      </c>
      <c r="J63" s="20">
        <v>25</v>
      </c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450</v>
      </c>
      <c r="G64" s="89"/>
      <c r="H64" s="89"/>
      <c r="I64" s="89"/>
      <c r="J64" s="20">
        <v>8</v>
      </c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5</v>
      </c>
      <c r="E65" s="66">
        <f>+D65/D66</f>
        <v>0.13157894736842105</v>
      </c>
      <c r="G65" s="14"/>
      <c r="J65" s="20">
        <f>SUM(J62:J64)</f>
        <v>38</v>
      </c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123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3">
    <mergeCell ref="B64:C64"/>
    <mergeCell ref="F64:I64"/>
    <mergeCell ref="B65:C65"/>
    <mergeCell ref="B66:C66"/>
    <mergeCell ref="B55:D55"/>
    <mergeCell ref="G55:L55"/>
    <mergeCell ref="B61:C61"/>
    <mergeCell ref="B62:C62"/>
    <mergeCell ref="B63:C63"/>
    <mergeCell ref="F63:H63"/>
    <mergeCell ref="G38:L38"/>
    <mergeCell ref="G42:L42"/>
    <mergeCell ref="B46:D46"/>
    <mergeCell ref="G46:L46"/>
    <mergeCell ref="G50:L50"/>
    <mergeCell ref="G53:L53"/>
    <mergeCell ref="B4:M6"/>
    <mergeCell ref="B10:D10"/>
    <mergeCell ref="G10:L10"/>
    <mergeCell ref="G17:L17"/>
    <mergeCell ref="G21:L21"/>
    <mergeCell ref="B25:D25"/>
    <mergeCell ref="G25:L25"/>
  </mergeCells>
  <conditionalFormatting sqref="I40:I41 I47:I49 I51:I52 I54 I56:I58">
    <cfRule type="expression" dxfId="1" priority="17" stopIfTrue="1">
      <formula>I40&gt;=90%</formula>
    </cfRule>
  </conditionalFormatting>
  <dataValidations count="1">
    <dataValidation type="list" allowBlank="1" showErrorMessage="1" sqref="C11:C13 C15:C16 C18:C20 C22:C24 C26:C37 C39:C41 C43:C45 C47:C49 C51:C52 C54 C56:C58" xr:uid="{509B1B7F-28A9-4115-8BCA-069272084E0F}">
      <formula1>$T$11:$T$13</formula1>
    </dataValidation>
  </dataValidations>
  <hyperlinks>
    <hyperlink ref="B2" location="Resumen!A1" display="Resumen!A1" xr:uid="{04FA2393-E2AA-4A22-BF89-17828D3C20EA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40C4-79FD-4C35-8B46-8E5346D6280C}">
  <dimension ref="A1:Z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D1" s="21"/>
      <c r="G1" s="14"/>
    </row>
    <row r="2" spans="1:26" ht="14.25" customHeight="1">
      <c r="B2" s="22" t="s">
        <v>60</v>
      </c>
      <c r="D2" s="21"/>
      <c r="G2" s="14"/>
    </row>
    <row r="3" spans="1:26" ht="14.25" customHeight="1">
      <c r="D3" s="21"/>
      <c r="G3" s="14"/>
    </row>
    <row r="4" spans="1:26" ht="14.25" customHeight="1">
      <c r="B4" s="68" t="s">
        <v>451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26" ht="21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23"/>
      <c r="O5" s="23"/>
      <c r="P5" s="23"/>
      <c r="Q5" s="23"/>
      <c r="R5" s="23"/>
      <c r="S5" s="23"/>
      <c r="T5" s="23"/>
      <c r="U5" s="23"/>
    </row>
    <row r="6" spans="1:26" ht="22.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23"/>
      <c r="O6" s="23"/>
      <c r="P6" s="23"/>
      <c r="Q6" s="23"/>
      <c r="R6" s="23"/>
      <c r="S6" s="23"/>
      <c r="T6" s="23"/>
      <c r="U6" s="23"/>
    </row>
    <row r="7" spans="1:26" ht="14.25" customHeight="1">
      <c r="B7" s="23"/>
      <c r="C7" s="23"/>
      <c r="D7" s="24"/>
      <c r="E7" s="23"/>
      <c r="F7" s="23"/>
      <c r="G7" s="25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6" ht="14.25" customHeight="1">
      <c r="A8" s="26"/>
      <c r="B8" s="27"/>
      <c r="C8" s="28" t="s">
        <v>62</v>
      </c>
      <c r="D8" s="29"/>
      <c r="E8" s="30"/>
      <c r="F8" s="30"/>
      <c r="G8" s="31"/>
      <c r="H8" s="28" t="s">
        <v>63</v>
      </c>
      <c r="I8" s="32"/>
      <c r="J8" s="28" t="s">
        <v>64</v>
      </c>
      <c r="K8" s="30"/>
      <c r="L8" s="32"/>
      <c r="M8" s="27"/>
      <c r="N8" s="27"/>
      <c r="O8" s="27"/>
      <c r="P8" s="27"/>
      <c r="Q8" s="27"/>
      <c r="R8" s="27"/>
      <c r="S8" s="27"/>
      <c r="T8" s="27"/>
      <c r="U8" s="27"/>
      <c r="V8" s="26"/>
      <c r="W8" s="26"/>
      <c r="X8" s="26"/>
      <c r="Y8" s="26"/>
      <c r="Z8" s="26"/>
    </row>
    <row r="9" spans="1:26" ht="46.5" customHeight="1">
      <c r="A9" s="26"/>
      <c r="B9" s="33" t="s">
        <v>65</v>
      </c>
      <c r="C9" s="34" t="s">
        <v>66</v>
      </c>
      <c r="D9" s="35" t="s">
        <v>67</v>
      </c>
      <c r="E9" s="34" t="s">
        <v>68</v>
      </c>
      <c r="F9" s="34" t="s">
        <v>69</v>
      </c>
      <c r="G9" s="34" t="s">
        <v>70</v>
      </c>
      <c r="H9" s="33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10</v>
      </c>
      <c r="N9" s="27"/>
      <c r="O9" s="27"/>
      <c r="P9" s="27"/>
      <c r="Q9" s="27"/>
      <c r="R9" s="27"/>
      <c r="S9" s="27"/>
      <c r="T9" s="27"/>
      <c r="U9" s="27"/>
      <c r="V9" s="26"/>
      <c r="W9" s="26"/>
      <c r="X9" s="26"/>
      <c r="Y9" s="26"/>
      <c r="Z9" s="26"/>
    </row>
    <row r="10" spans="1:26" ht="30.75" customHeight="1">
      <c r="A10" s="36"/>
      <c r="B10" s="69" t="s">
        <v>76</v>
      </c>
      <c r="C10" s="69"/>
      <c r="D10" s="69"/>
      <c r="E10" s="37" t="s">
        <v>77</v>
      </c>
      <c r="F10" s="38"/>
      <c r="G10" s="70"/>
      <c r="H10" s="70"/>
      <c r="I10" s="70"/>
      <c r="J10" s="70"/>
      <c r="K10" s="70"/>
      <c r="L10" s="70"/>
      <c r="M10" s="38"/>
      <c r="N10" s="39"/>
      <c r="O10" s="39"/>
      <c r="P10" s="39"/>
      <c r="Q10" s="39"/>
      <c r="R10" s="39"/>
      <c r="S10" s="39"/>
      <c r="T10" s="39"/>
      <c r="U10" s="39"/>
      <c r="V10" s="36"/>
      <c r="W10" s="36"/>
      <c r="X10" s="36"/>
      <c r="Y10" s="36"/>
      <c r="Z10" s="36"/>
    </row>
    <row r="11" spans="1:26" ht="28.5" customHeight="1">
      <c r="B11" s="40" t="b">
        <f>FALSE()</f>
        <v>0</v>
      </c>
      <c r="C11" s="41" t="s">
        <v>78</v>
      </c>
      <c r="D11" s="42" t="s">
        <v>452</v>
      </c>
      <c r="E11" s="43" t="s">
        <v>80</v>
      </c>
      <c r="F11" s="44" t="s">
        <v>81</v>
      </c>
      <c r="G11" s="44" t="s">
        <v>82</v>
      </c>
      <c r="H11" s="44" t="s">
        <v>83</v>
      </c>
      <c r="I11" s="45">
        <v>0</v>
      </c>
      <c r="J11" s="46">
        <v>0</v>
      </c>
      <c r="K11" s="47"/>
      <c r="L11" s="47"/>
      <c r="M11" s="48" t="s">
        <v>453</v>
      </c>
      <c r="N11" s="23"/>
      <c r="O11" s="23"/>
      <c r="P11" s="23"/>
      <c r="Q11" s="23"/>
      <c r="R11" s="23"/>
      <c r="S11" s="23"/>
      <c r="T11" s="23" t="s">
        <v>84</v>
      </c>
      <c r="U11" s="23"/>
    </row>
    <row r="12" spans="1:26" ht="27" customHeight="1">
      <c r="B12" s="40" t="b">
        <f>FALSE()</f>
        <v>0</v>
      </c>
      <c r="C12" s="41" t="s">
        <v>85</v>
      </c>
      <c r="D12" s="42" t="s">
        <v>454</v>
      </c>
      <c r="E12" s="43" t="s">
        <v>87</v>
      </c>
      <c r="F12" s="44" t="s">
        <v>81</v>
      </c>
      <c r="G12" s="44" t="s">
        <v>88</v>
      </c>
      <c r="H12" s="44" t="s">
        <v>89</v>
      </c>
      <c r="I12" s="45">
        <v>0</v>
      </c>
      <c r="J12" s="46">
        <v>0</v>
      </c>
      <c r="K12" s="47"/>
      <c r="L12" s="47"/>
      <c r="M12" s="48" t="s">
        <v>453</v>
      </c>
      <c r="N12" s="23"/>
      <c r="O12" s="23"/>
      <c r="P12" s="23"/>
      <c r="Q12" s="23"/>
      <c r="R12" s="23"/>
      <c r="S12" s="23"/>
      <c r="T12" s="23" t="s">
        <v>78</v>
      </c>
      <c r="U12" s="23"/>
    </row>
    <row r="13" spans="1:26" ht="42" customHeight="1">
      <c r="B13" s="40" t="b">
        <f>FALSE()</f>
        <v>0</v>
      </c>
      <c r="C13" s="41" t="s">
        <v>78</v>
      </c>
      <c r="D13" s="42" t="s">
        <v>455</v>
      </c>
      <c r="E13" s="43" t="s">
        <v>90</v>
      </c>
      <c r="F13" s="44" t="s">
        <v>81</v>
      </c>
      <c r="G13" s="44" t="s">
        <v>91</v>
      </c>
      <c r="H13" s="44" t="s">
        <v>92</v>
      </c>
      <c r="I13" s="45">
        <v>0</v>
      </c>
      <c r="J13" s="46">
        <v>0</v>
      </c>
      <c r="K13" s="47"/>
      <c r="L13" s="47"/>
      <c r="M13" s="48" t="s">
        <v>453</v>
      </c>
      <c r="N13" s="23"/>
      <c r="O13" s="23"/>
      <c r="P13" s="23"/>
      <c r="Q13" s="23"/>
      <c r="R13" s="23"/>
      <c r="S13" s="23"/>
      <c r="T13" s="23" t="s">
        <v>85</v>
      </c>
      <c r="U13" s="23"/>
    </row>
    <row r="14" spans="1:26" ht="27.75" customHeight="1">
      <c r="A14" s="36"/>
      <c r="B14" s="50"/>
      <c r="C14" s="51"/>
      <c r="D14" s="50"/>
      <c r="E14" s="37" t="s">
        <v>93</v>
      </c>
      <c r="F14" s="52"/>
      <c r="G14" s="72"/>
      <c r="H14" s="72"/>
      <c r="I14" s="72"/>
      <c r="J14" s="72"/>
      <c r="K14" s="72"/>
      <c r="L14" s="72"/>
      <c r="M14" s="52"/>
      <c r="N14" s="39"/>
      <c r="O14" s="39"/>
      <c r="P14" s="39"/>
      <c r="Q14" s="39"/>
      <c r="R14" s="39"/>
      <c r="S14" s="39"/>
      <c r="T14" s="39"/>
      <c r="U14" s="39"/>
      <c r="V14" s="36"/>
      <c r="W14" s="36"/>
      <c r="X14" s="36"/>
      <c r="Y14" s="36"/>
      <c r="Z14" s="36"/>
    </row>
    <row r="15" spans="1:26" ht="29.25" customHeight="1">
      <c r="B15" s="40" t="b">
        <f>FALSE()</f>
        <v>0</v>
      </c>
      <c r="C15" s="41" t="s">
        <v>85</v>
      </c>
      <c r="D15" s="42" t="s">
        <v>456</v>
      </c>
      <c r="E15" s="43" t="s">
        <v>94</v>
      </c>
      <c r="F15" s="44" t="s">
        <v>95</v>
      </c>
      <c r="G15" s="44" t="s">
        <v>96</v>
      </c>
      <c r="H15" s="44" t="s">
        <v>97</v>
      </c>
      <c r="I15" s="45">
        <v>0</v>
      </c>
      <c r="J15" s="46">
        <v>0</v>
      </c>
      <c r="K15" s="53"/>
      <c r="L15" s="53"/>
      <c r="M15" s="48" t="s">
        <v>453</v>
      </c>
      <c r="N15" s="23"/>
      <c r="O15" s="23"/>
      <c r="P15" s="23"/>
      <c r="Q15" s="23"/>
      <c r="R15" s="23"/>
      <c r="S15" s="23"/>
      <c r="T15" s="23"/>
      <c r="U15" s="23"/>
    </row>
    <row r="16" spans="1:26" ht="35.25" customHeight="1">
      <c r="B16" s="40" t="b">
        <f>FALSE()</f>
        <v>0</v>
      </c>
      <c r="C16" s="41" t="s">
        <v>78</v>
      </c>
      <c r="D16" s="42" t="s">
        <v>455</v>
      </c>
      <c r="E16" s="43" t="s">
        <v>98</v>
      </c>
      <c r="F16" s="44" t="s">
        <v>95</v>
      </c>
      <c r="G16" s="44" t="s">
        <v>99</v>
      </c>
      <c r="H16" s="44" t="s">
        <v>100</v>
      </c>
      <c r="I16" s="45">
        <v>0</v>
      </c>
      <c r="J16" s="46">
        <v>0</v>
      </c>
      <c r="K16" s="53"/>
      <c r="L16" s="53"/>
      <c r="M16" s="48" t="s">
        <v>453</v>
      </c>
      <c r="N16" s="23"/>
      <c r="O16" s="23"/>
      <c r="P16" s="23"/>
      <c r="Q16" s="23"/>
      <c r="R16" s="23"/>
      <c r="S16" s="23"/>
      <c r="T16" s="23"/>
      <c r="U16" s="23"/>
    </row>
    <row r="17" spans="2:21" ht="14.25" customHeight="1">
      <c r="B17" s="54"/>
      <c r="C17" s="55"/>
      <c r="D17" s="54"/>
      <c r="E17" s="37" t="s">
        <v>101</v>
      </c>
      <c r="F17" s="56"/>
      <c r="G17" s="72"/>
      <c r="H17" s="72"/>
      <c r="I17" s="72"/>
      <c r="J17" s="72"/>
      <c r="K17" s="72"/>
      <c r="L17" s="72"/>
      <c r="M17" s="52"/>
      <c r="N17" s="23"/>
      <c r="O17" s="23"/>
      <c r="P17" s="23"/>
      <c r="Q17" s="23"/>
      <c r="R17" s="23"/>
      <c r="S17" s="23"/>
      <c r="T17" s="23"/>
      <c r="U17" s="23"/>
    </row>
    <row r="18" spans="2:21" ht="30" customHeight="1">
      <c r="B18" s="40" t="b">
        <f>FALSE()</f>
        <v>0</v>
      </c>
      <c r="C18" s="41" t="s">
        <v>84</v>
      </c>
      <c r="D18" s="42" t="s">
        <v>457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45">
        <v>0</v>
      </c>
      <c r="J18" s="46">
        <v>0</v>
      </c>
      <c r="K18" s="53"/>
      <c r="L18" s="53"/>
      <c r="M18" s="48" t="s">
        <v>453</v>
      </c>
      <c r="N18" s="23"/>
      <c r="O18" s="23"/>
      <c r="P18" s="23"/>
      <c r="Q18" s="23"/>
      <c r="R18" s="23"/>
      <c r="S18" s="23"/>
      <c r="T18" s="23"/>
      <c r="U18" s="23"/>
    </row>
    <row r="19" spans="2:21" ht="49.5" customHeight="1">
      <c r="B19" s="40" t="b">
        <f>FALSE()</f>
        <v>0</v>
      </c>
      <c r="C19" s="41" t="s">
        <v>78</v>
      </c>
      <c r="D19" s="42" t="s">
        <v>272</v>
      </c>
      <c r="E19" s="43" t="s">
        <v>106</v>
      </c>
      <c r="F19" s="44" t="s">
        <v>81</v>
      </c>
      <c r="G19" s="44" t="s">
        <v>107</v>
      </c>
      <c r="H19" s="44" t="s">
        <v>108</v>
      </c>
      <c r="I19" s="45">
        <v>0</v>
      </c>
      <c r="J19" s="46">
        <v>0</v>
      </c>
      <c r="K19" s="53"/>
      <c r="L19" s="53"/>
      <c r="M19" s="48" t="s">
        <v>453</v>
      </c>
      <c r="N19" s="23"/>
      <c r="O19" s="23"/>
      <c r="P19" s="23"/>
      <c r="Q19" s="23"/>
      <c r="R19" s="23"/>
      <c r="S19" s="23"/>
      <c r="T19" s="23"/>
      <c r="U19" s="23"/>
    </row>
    <row r="20" spans="2:21" ht="34.5" customHeight="1">
      <c r="B20" s="40" t="b">
        <f>FALSE()</f>
        <v>0</v>
      </c>
      <c r="C20" s="41" t="s">
        <v>78</v>
      </c>
      <c r="D20" s="42" t="s">
        <v>272</v>
      </c>
      <c r="E20" s="43" t="s">
        <v>109</v>
      </c>
      <c r="F20" s="44" t="s">
        <v>81</v>
      </c>
      <c r="G20" s="44" t="s">
        <v>110</v>
      </c>
      <c r="H20" s="58" t="s">
        <v>111</v>
      </c>
      <c r="I20" s="45">
        <v>0</v>
      </c>
      <c r="J20" s="46">
        <v>0</v>
      </c>
      <c r="K20" s="53"/>
      <c r="L20" s="53"/>
      <c r="M20" s="48" t="s">
        <v>453</v>
      </c>
      <c r="N20" s="23"/>
      <c r="O20" s="23"/>
      <c r="P20" s="23"/>
      <c r="Q20" s="23"/>
      <c r="R20" s="23"/>
      <c r="S20" s="23"/>
      <c r="T20" s="23"/>
      <c r="U20" s="23"/>
    </row>
    <row r="21" spans="2:21" ht="14.25" customHeight="1">
      <c r="B21" s="54"/>
      <c r="C21" s="55"/>
      <c r="D21" s="54"/>
      <c r="E21" s="37" t="s">
        <v>112</v>
      </c>
      <c r="F21" s="56"/>
      <c r="G21" s="72"/>
      <c r="H21" s="72"/>
      <c r="I21" s="72"/>
      <c r="J21" s="72"/>
      <c r="K21" s="72"/>
      <c r="L21" s="72"/>
      <c r="M21" s="52"/>
      <c r="N21" s="23"/>
      <c r="O21" s="23"/>
      <c r="P21" s="23"/>
      <c r="Q21" s="23"/>
      <c r="R21" s="23"/>
      <c r="S21" s="23"/>
      <c r="T21" s="23"/>
      <c r="U21" s="23"/>
    </row>
    <row r="22" spans="2:21" ht="28.5" customHeight="1">
      <c r="B22" s="40" t="b">
        <f>FALSE()</f>
        <v>0</v>
      </c>
      <c r="C22" s="41" t="s">
        <v>85</v>
      </c>
      <c r="D22" s="42" t="s">
        <v>457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45">
        <v>0</v>
      </c>
      <c r="J22" s="46">
        <v>0</v>
      </c>
      <c r="K22" s="53"/>
      <c r="L22" s="53"/>
      <c r="M22" s="48" t="s">
        <v>453</v>
      </c>
      <c r="N22" s="23"/>
      <c r="O22" s="23"/>
      <c r="P22" s="23"/>
      <c r="Q22" s="23"/>
      <c r="R22" s="23"/>
      <c r="S22" s="23"/>
      <c r="T22" s="23"/>
      <c r="U22" s="23"/>
    </row>
    <row r="23" spans="2:21" ht="47.25" customHeight="1">
      <c r="B23" s="59"/>
      <c r="C23" s="41" t="s">
        <v>84</v>
      </c>
      <c r="D23" s="42" t="s">
        <v>458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45">
        <v>0</v>
      </c>
      <c r="J23" s="46">
        <v>0</v>
      </c>
      <c r="K23" s="53"/>
      <c r="L23" s="53"/>
      <c r="M23" s="48" t="s">
        <v>453</v>
      </c>
      <c r="N23" s="23"/>
      <c r="O23" s="23"/>
      <c r="P23" s="23"/>
      <c r="Q23" s="23"/>
      <c r="R23" s="23"/>
      <c r="S23" s="23"/>
      <c r="T23" s="23"/>
      <c r="U23" s="23"/>
    </row>
    <row r="24" spans="2:21" ht="51" customHeight="1">
      <c r="B24" s="40" t="b">
        <f>FALSE()</f>
        <v>0</v>
      </c>
      <c r="C24" s="41" t="s">
        <v>78</v>
      </c>
      <c r="D24" s="42" t="s">
        <v>458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45">
        <v>0</v>
      </c>
      <c r="J24" s="46">
        <v>0</v>
      </c>
      <c r="K24" s="53"/>
      <c r="L24" s="53"/>
      <c r="M24" s="48" t="s">
        <v>453</v>
      </c>
      <c r="N24" s="23"/>
      <c r="O24" s="23"/>
      <c r="P24" s="23"/>
      <c r="Q24" s="23"/>
      <c r="R24" s="23"/>
      <c r="S24" s="23"/>
      <c r="T24" s="23"/>
      <c r="U24" s="23"/>
    </row>
    <row r="25" spans="2:21" ht="30" customHeight="1">
      <c r="B25" s="73" t="s">
        <v>122</v>
      </c>
      <c r="C25" s="73"/>
      <c r="D25" s="73"/>
      <c r="E25" s="37" t="s">
        <v>77</v>
      </c>
      <c r="F25" s="56"/>
      <c r="G25" s="72"/>
      <c r="H25" s="72"/>
      <c r="I25" s="72"/>
      <c r="J25" s="72"/>
      <c r="K25" s="72"/>
      <c r="L25" s="72"/>
      <c r="M25" s="52"/>
      <c r="N25" s="23"/>
      <c r="O25" s="23"/>
      <c r="P25" s="23"/>
      <c r="Q25" s="23"/>
      <c r="R25" s="23"/>
      <c r="S25" s="23"/>
      <c r="T25" s="23"/>
      <c r="U25" s="23"/>
    </row>
    <row r="26" spans="2:21" ht="48.75" customHeight="1">
      <c r="B26" s="40" t="b">
        <f>FALSE()</f>
        <v>0</v>
      </c>
      <c r="C26" s="41" t="s">
        <v>84</v>
      </c>
      <c r="D26" s="42" t="s">
        <v>459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45">
        <v>0</v>
      </c>
      <c r="J26" s="46">
        <v>0</v>
      </c>
      <c r="K26" s="53"/>
      <c r="L26" s="53"/>
      <c r="M26" s="48" t="s">
        <v>453</v>
      </c>
      <c r="N26" s="23"/>
      <c r="O26" s="23"/>
      <c r="P26" s="23"/>
      <c r="Q26" s="23"/>
      <c r="R26" s="23"/>
      <c r="S26" s="23"/>
      <c r="T26" s="23"/>
      <c r="U26" s="23"/>
    </row>
    <row r="27" spans="2:21" ht="53.25" customHeight="1">
      <c r="B27" s="40" t="b">
        <f>FALSE()</f>
        <v>0</v>
      </c>
      <c r="C27" s="41" t="s">
        <v>78</v>
      </c>
      <c r="D27" s="42" t="s">
        <v>460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45">
        <v>0</v>
      </c>
      <c r="J27" s="46">
        <v>0</v>
      </c>
      <c r="K27" s="53"/>
      <c r="L27" s="53"/>
      <c r="M27" s="48" t="s">
        <v>453</v>
      </c>
      <c r="N27" s="23"/>
      <c r="O27" s="23"/>
      <c r="P27" s="23"/>
      <c r="Q27" s="23"/>
      <c r="R27" s="23"/>
      <c r="S27" s="23"/>
      <c r="T27" s="23"/>
      <c r="U27" s="23"/>
    </row>
    <row r="28" spans="2:21" ht="52.5" customHeight="1">
      <c r="B28" s="40" t="b">
        <f>FALSE()</f>
        <v>0</v>
      </c>
      <c r="C28" s="41" t="s">
        <v>78</v>
      </c>
      <c r="D28" s="42" t="s">
        <v>460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45">
        <v>0</v>
      </c>
      <c r="J28" s="46">
        <v>0</v>
      </c>
      <c r="K28" s="53"/>
      <c r="L28" s="53"/>
      <c r="M28" s="48" t="s">
        <v>453</v>
      </c>
      <c r="N28" s="23"/>
      <c r="O28" s="23"/>
      <c r="P28" s="23"/>
      <c r="Q28" s="23"/>
      <c r="R28" s="23"/>
      <c r="S28" s="23"/>
      <c r="T28" s="23"/>
      <c r="U28" s="23"/>
    </row>
    <row r="29" spans="2:21" ht="53.25" customHeight="1">
      <c r="B29" s="40" t="b">
        <f>FALSE()</f>
        <v>0</v>
      </c>
      <c r="C29" s="41" t="s">
        <v>85</v>
      </c>
      <c r="D29" s="42" t="s">
        <v>460</v>
      </c>
      <c r="E29" s="43" t="s">
        <v>133</v>
      </c>
      <c r="F29" s="44" t="s">
        <v>127</v>
      </c>
      <c r="G29" s="44" t="s">
        <v>134</v>
      </c>
      <c r="H29" s="44" t="s">
        <v>135</v>
      </c>
      <c r="I29" s="45">
        <v>0</v>
      </c>
      <c r="J29" s="46">
        <v>0</v>
      </c>
      <c r="K29" s="53"/>
      <c r="L29" s="53"/>
      <c r="M29" s="48" t="s">
        <v>453</v>
      </c>
      <c r="N29" s="23"/>
      <c r="O29" s="23"/>
      <c r="P29" s="23"/>
      <c r="Q29" s="23"/>
      <c r="R29" s="23"/>
      <c r="S29" s="23"/>
      <c r="T29" s="23"/>
      <c r="U29" s="23"/>
    </row>
    <row r="30" spans="2:21" ht="22.5" customHeight="1">
      <c r="B30" s="40" t="b">
        <f>FALSE()</f>
        <v>0</v>
      </c>
      <c r="C30" s="41" t="s">
        <v>85</v>
      </c>
      <c r="D30" s="60">
        <v>45473</v>
      </c>
      <c r="E30" s="43" t="s">
        <v>304</v>
      </c>
      <c r="F30" s="44" t="s">
        <v>127</v>
      </c>
      <c r="G30" s="44" t="s">
        <v>137</v>
      </c>
      <c r="H30" s="44" t="s">
        <v>461</v>
      </c>
      <c r="I30" s="45">
        <v>0</v>
      </c>
      <c r="J30" s="46">
        <v>0</v>
      </c>
      <c r="K30" s="53"/>
      <c r="L30" s="53"/>
      <c r="M30" s="48" t="s">
        <v>453</v>
      </c>
      <c r="N30" s="23"/>
      <c r="O30" s="23"/>
      <c r="P30" s="23"/>
      <c r="Q30" s="23"/>
      <c r="R30" s="23"/>
      <c r="S30" s="23"/>
      <c r="T30" s="23"/>
      <c r="U30" s="23"/>
    </row>
    <row r="31" spans="2:21" ht="29.25" customHeight="1">
      <c r="B31" s="40" t="b">
        <f>FALSE()</f>
        <v>0</v>
      </c>
      <c r="C31" s="41" t="s">
        <v>85</v>
      </c>
      <c r="D31" s="60">
        <v>45626</v>
      </c>
      <c r="E31" s="43" t="s">
        <v>305</v>
      </c>
      <c r="F31" s="44" t="s">
        <v>127</v>
      </c>
      <c r="G31" s="44" t="s">
        <v>140</v>
      </c>
      <c r="H31" s="44" t="s">
        <v>305</v>
      </c>
      <c r="I31" s="45">
        <v>0</v>
      </c>
      <c r="J31" s="46">
        <v>0</v>
      </c>
      <c r="K31" s="53"/>
      <c r="L31" s="53"/>
      <c r="M31" s="48" t="s">
        <v>453</v>
      </c>
      <c r="N31" s="23"/>
      <c r="O31" s="23"/>
      <c r="P31" s="23"/>
      <c r="Q31" s="23"/>
      <c r="R31" s="23"/>
      <c r="S31" s="23"/>
      <c r="T31" s="23"/>
      <c r="U31" s="23"/>
    </row>
    <row r="32" spans="2:21" ht="24.75" customHeight="1">
      <c r="B32" s="40" t="b">
        <f>FALSE()</f>
        <v>0</v>
      </c>
      <c r="C32" s="41" t="s">
        <v>85</v>
      </c>
      <c r="D32" s="60">
        <v>45646</v>
      </c>
      <c r="E32" s="43" t="s">
        <v>141</v>
      </c>
      <c r="F32" s="44" t="s">
        <v>127</v>
      </c>
      <c r="G32" s="44" t="s">
        <v>244</v>
      </c>
      <c r="H32" s="44" t="s">
        <v>418</v>
      </c>
      <c r="I32" s="45">
        <v>0</v>
      </c>
      <c r="J32" s="46">
        <v>0</v>
      </c>
      <c r="K32" s="53"/>
      <c r="L32" s="53"/>
      <c r="M32" s="48" t="s">
        <v>453</v>
      </c>
      <c r="N32" s="23"/>
      <c r="O32" s="23"/>
      <c r="P32" s="23"/>
      <c r="Q32" s="23"/>
      <c r="R32" s="23"/>
      <c r="S32" s="23"/>
      <c r="T32" s="23"/>
      <c r="U32" s="23"/>
    </row>
    <row r="33" spans="1:26" ht="48" customHeight="1">
      <c r="B33" s="40" t="b">
        <f>FALSE()</f>
        <v>0</v>
      </c>
      <c r="C33" s="41" t="s">
        <v>78</v>
      </c>
      <c r="D33" s="42" t="s">
        <v>462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45">
        <v>0</v>
      </c>
      <c r="J33" s="46">
        <v>0</v>
      </c>
      <c r="K33" s="53"/>
      <c r="L33" s="53"/>
      <c r="M33" s="48" t="s">
        <v>453</v>
      </c>
      <c r="N33" s="23"/>
      <c r="O33" s="23"/>
      <c r="P33" s="23"/>
      <c r="Q33" s="23"/>
      <c r="R33" s="23"/>
      <c r="S33" s="23"/>
      <c r="T33" s="23"/>
      <c r="U33" s="23"/>
    </row>
    <row r="34" spans="1:26" ht="46.5" customHeight="1">
      <c r="B34" s="40" t="b">
        <f>FALSE()</f>
        <v>0</v>
      </c>
      <c r="C34" s="41" t="s">
        <v>78</v>
      </c>
      <c r="D34" s="42" t="s">
        <v>463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45">
        <v>0</v>
      </c>
      <c r="J34" s="46">
        <v>0</v>
      </c>
      <c r="K34" s="53"/>
      <c r="L34" s="53"/>
      <c r="M34" s="48" t="s">
        <v>453</v>
      </c>
      <c r="N34" s="23"/>
      <c r="O34" s="23"/>
      <c r="P34" s="23"/>
      <c r="Q34" s="23"/>
      <c r="R34" s="23"/>
      <c r="S34" s="23"/>
      <c r="T34" s="23"/>
      <c r="U34" s="23"/>
    </row>
    <row r="35" spans="1:26" ht="51" customHeight="1">
      <c r="B35" s="40" t="b">
        <f>FALSE()</f>
        <v>0</v>
      </c>
      <c r="C35" s="41" t="s">
        <v>78</v>
      </c>
      <c r="D35" s="42" t="s">
        <v>463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45">
        <v>0</v>
      </c>
      <c r="J35" s="46">
        <v>0</v>
      </c>
      <c r="K35" s="53"/>
      <c r="L35" s="53"/>
      <c r="M35" s="48" t="s">
        <v>453</v>
      </c>
      <c r="N35" s="23"/>
      <c r="O35" s="23"/>
      <c r="P35" s="23"/>
      <c r="Q35" s="23"/>
      <c r="R35" s="23"/>
      <c r="S35" s="23"/>
      <c r="T35" s="23"/>
      <c r="U35" s="23"/>
    </row>
    <row r="36" spans="1:26" ht="48.75" customHeight="1">
      <c r="B36" s="40" t="b">
        <f>FALSE()</f>
        <v>0</v>
      </c>
      <c r="C36" s="41" t="s">
        <v>78</v>
      </c>
      <c r="D36" s="42" t="s">
        <v>463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45">
        <v>0</v>
      </c>
      <c r="J36" s="46">
        <v>0</v>
      </c>
      <c r="K36" s="53"/>
      <c r="L36" s="53"/>
      <c r="M36" s="48" t="s">
        <v>453</v>
      </c>
      <c r="N36" s="23"/>
      <c r="O36" s="23"/>
      <c r="P36" s="23"/>
      <c r="Q36" s="23"/>
      <c r="R36" s="23"/>
      <c r="S36" s="23"/>
      <c r="T36" s="23"/>
      <c r="U36" s="23"/>
    </row>
    <row r="37" spans="1:26" ht="45" customHeight="1">
      <c r="B37" s="40" t="b">
        <f>FALSE()</f>
        <v>0</v>
      </c>
      <c r="C37" s="41" t="s">
        <v>85</v>
      </c>
      <c r="D37" s="42" t="s">
        <v>464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45">
        <v>0</v>
      </c>
      <c r="J37" s="46">
        <v>0</v>
      </c>
      <c r="K37" s="53"/>
      <c r="L37" s="53"/>
      <c r="M37" s="48" t="s">
        <v>453</v>
      </c>
      <c r="N37" s="23"/>
      <c r="O37" s="23"/>
      <c r="P37" s="23"/>
      <c r="Q37" s="23"/>
      <c r="R37" s="23"/>
      <c r="S37" s="23"/>
      <c r="T37" s="23"/>
      <c r="U37" s="23"/>
    </row>
    <row r="38" spans="1:26" ht="27.75" customHeight="1">
      <c r="A38" s="36"/>
      <c r="B38" s="50"/>
      <c r="C38" s="51"/>
      <c r="D38" s="50"/>
      <c r="E38" s="37" t="s">
        <v>93</v>
      </c>
      <c r="F38" s="52"/>
      <c r="G38" s="72"/>
      <c r="H38" s="72"/>
      <c r="I38" s="72"/>
      <c r="J38" s="72"/>
      <c r="K38" s="72"/>
      <c r="L38" s="72"/>
      <c r="M38" s="52"/>
      <c r="N38" s="39"/>
      <c r="O38" s="39"/>
      <c r="P38" s="39"/>
      <c r="Q38" s="39"/>
      <c r="R38" s="39"/>
      <c r="S38" s="39"/>
      <c r="T38" s="39"/>
      <c r="U38" s="39"/>
      <c r="V38" s="36"/>
      <c r="W38" s="36"/>
      <c r="X38" s="36"/>
      <c r="Y38" s="36"/>
      <c r="Z38" s="36"/>
    </row>
    <row r="39" spans="1:26" ht="42.75" customHeight="1">
      <c r="B39" s="40" t="b">
        <f>TRUE()</f>
        <v>1</v>
      </c>
      <c r="C39" s="41" t="s">
        <v>78</v>
      </c>
      <c r="D39" s="42" t="s">
        <v>465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45">
        <v>0</v>
      </c>
      <c r="J39" s="46">
        <v>0</v>
      </c>
      <c r="K39" s="53"/>
      <c r="L39" s="53"/>
      <c r="M39" s="48" t="s">
        <v>453</v>
      </c>
      <c r="N39" s="23"/>
      <c r="O39" s="23"/>
      <c r="P39" s="23"/>
      <c r="Q39" s="23"/>
      <c r="R39" s="23"/>
      <c r="S39" s="23"/>
      <c r="T39" s="23"/>
      <c r="U39" s="23"/>
    </row>
    <row r="40" spans="1:26" ht="38.25" customHeight="1">
      <c r="B40" s="40" t="b">
        <f>TRUE()</f>
        <v>1</v>
      </c>
      <c r="C40" s="41" t="s">
        <v>78</v>
      </c>
      <c r="D40" s="42" t="s">
        <v>465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45">
        <v>0</v>
      </c>
      <c r="J40" s="46">
        <v>0</v>
      </c>
      <c r="K40" s="53"/>
      <c r="L40" s="53"/>
      <c r="M40" s="48" t="s">
        <v>453</v>
      </c>
      <c r="N40" s="23"/>
      <c r="O40" s="23"/>
      <c r="P40" s="23"/>
      <c r="Q40" s="23"/>
      <c r="R40" s="23"/>
      <c r="S40" s="23"/>
      <c r="T40" s="23"/>
      <c r="U40" s="23"/>
    </row>
    <row r="41" spans="1:26" ht="26.25" customHeight="1">
      <c r="B41" s="40" t="b">
        <f>TRUE()</f>
        <v>1</v>
      </c>
      <c r="C41" s="41" t="s">
        <v>85</v>
      </c>
      <c r="D41" s="42" t="s">
        <v>466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45">
        <v>0</v>
      </c>
      <c r="J41" s="46">
        <v>0</v>
      </c>
      <c r="K41" s="53"/>
      <c r="L41" s="53"/>
      <c r="M41" s="48" t="s">
        <v>453</v>
      </c>
      <c r="N41" s="23"/>
      <c r="O41" s="23"/>
      <c r="P41" s="23"/>
      <c r="Q41" s="23"/>
      <c r="R41" s="23"/>
      <c r="S41" s="23"/>
      <c r="T41" s="23"/>
      <c r="U41" s="23"/>
    </row>
    <row r="42" spans="1:26" ht="27.75" customHeight="1">
      <c r="A42" s="36"/>
      <c r="B42" s="50"/>
      <c r="C42" s="51"/>
      <c r="D42" s="50"/>
      <c r="E42" s="37" t="s">
        <v>101</v>
      </c>
      <c r="F42" s="52"/>
      <c r="G42" s="72"/>
      <c r="H42" s="72"/>
      <c r="I42" s="72"/>
      <c r="J42" s="72"/>
      <c r="K42" s="72"/>
      <c r="L42" s="72"/>
      <c r="M42" s="52"/>
      <c r="N42" s="39"/>
      <c r="O42" s="39"/>
      <c r="P42" s="39"/>
      <c r="Q42" s="39"/>
      <c r="R42" s="39"/>
      <c r="S42" s="39"/>
      <c r="T42" s="39"/>
      <c r="U42" s="39"/>
      <c r="V42" s="36"/>
      <c r="W42" s="36"/>
      <c r="X42" s="36"/>
      <c r="Y42" s="36"/>
      <c r="Z42" s="36"/>
    </row>
    <row r="43" spans="1:26" ht="45.75" customHeight="1">
      <c r="B43" s="40" t="b">
        <f>TRUE()</f>
        <v>1</v>
      </c>
      <c r="C43" s="41" t="s">
        <v>84</v>
      </c>
      <c r="D43" s="42" t="s">
        <v>467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45">
        <v>0</v>
      </c>
      <c r="J43" s="46">
        <v>0</v>
      </c>
      <c r="K43" s="53"/>
      <c r="L43" s="53"/>
      <c r="M43" s="48" t="s">
        <v>453</v>
      </c>
      <c r="N43" s="23"/>
      <c r="O43" s="23"/>
      <c r="P43" s="23"/>
      <c r="Q43" s="23"/>
      <c r="R43" s="23"/>
      <c r="S43" s="23"/>
      <c r="T43" s="23"/>
      <c r="U43" s="23"/>
    </row>
    <row r="44" spans="1:26" ht="39.75" customHeight="1">
      <c r="B44" s="40" t="b">
        <f>TRUE()</f>
        <v>1</v>
      </c>
      <c r="C44" s="41" t="s">
        <v>84</v>
      </c>
      <c r="D44" s="42" t="s">
        <v>467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45">
        <v>0</v>
      </c>
      <c r="J44" s="46">
        <v>0</v>
      </c>
      <c r="K44" s="53"/>
      <c r="L44" s="53"/>
      <c r="M44" s="48" t="s">
        <v>453</v>
      </c>
      <c r="N44" s="23"/>
      <c r="O44" s="23"/>
      <c r="P44" s="23"/>
      <c r="Q44" s="23"/>
      <c r="R44" s="23"/>
      <c r="S44" s="23"/>
      <c r="T44" s="23"/>
      <c r="U44" s="23"/>
    </row>
    <row r="45" spans="1:26" ht="39.75" customHeight="1">
      <c r="B45" s="40" t="b">
        <f>TRUE()</f>
        <v>1</v>
      </c>
      <c r="C45" s="41" t="s">
        <v>84</v>
      </c>
      <c r="D45" s="42" t="s">
        <v>468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45">
        <v>0</v>
      </c>
      <c r="J45" s="46">
        <v>0</v>
      </c>
      <c r="K45" s="53"/>
      <c r="L45" s="53"/>
      <c r="M45" s="48" t="s">
        <v>453</v>
      </c>
      <c r="N45" s="23"/>
      <c r="O45" s="23"/>
      <c r="P45" s="23"/>
      <c r="Q45" s="23"/>
      <c r="R45" s="23"/>
      <c r="S45" s="23"/>
      <c r="T45" s="23"/>
      <c r="U45" s="23"/>
    </row>
    <row r="46" spans="1:26" ht="30" customHeight="1">
      <c r="B46" s="73" t="s">
        <v>184</v>
      </c>
      <c r="C46" s="73"/>
      <c r="D46" s="73"/>
      <c r="E46" s="37" t="s">
        <v>77</v>
      </c>
      <c r="F46" s="56"/>
      <c r="G46" s="72"/>
      <c r="H46" s="72"/>
      <c r="I46" s="72"/>
      <c r="J46" s="72"/>
      <c r="K46" s="72"/>
      <c r="L46" s="72"/>
      <c r="M46" s="52"/>
      <c r="N46" s="23"/>
      <c r="O46" s="23"/>
      <c r="P46" s="23"/>
      <c r="Q46" s="23"/>
      <c r="R46" s="23"/>
      <c r="S46" s="23"/>
      <c r="T46" s="23"/>
      <c r="U46" s="23"/>
    </row>
    <row r="47" spans="1:26" ht="53.25" customHeight="1">
      <c r="B47" s="40" t="b">
        <f>FALSE()</f>
        <v>0</v>
      </c>
      <c r="C47" s="41" t="s">
        <v>78</v>
      </c>
      <c r="D47" s="42" t="s">
        <v>460</v>
      </c>
      <c r="E47" s="43" t="s">
        <v>185</v>
      </c>
      <c r="F47" s="44" t="s">
        <v>186</v>
      </c>
      <c r="G47" s="44" t="s">
        <v>187</v>
      </c>
      <c r="H47" s="44" t="s">
        <v>188</v>
      </c>
      <c r="I47" s="45">
        <v>0</v>
      </c>
      <c r="J47" s="46">
        <v>0</v>
      </c>
      <c r="K47" s="53"/>
      <c r="L47" s="53"/>
      <c r="M47" s="48" t="s">
        <v>453</v>
      </c>
      <c r="N47" s="23"/>
      <c r="O47" s="23"/>
      <c r="P47" s="23"/>
      <c r="Q47" s="23"/>
      <c r="R47" s="23"/>
      <c r="S47" s="23"/>
      <c r="T47" s="23"/>
      <c r="U47" s="23"/>
    </row>
    <row r="48" spans="1:26" ht="50.25" customHeight="1">
      <c r="B48" s="40" t="b">
        <f>FALSE()</f>
        <v>0</v>
      </c>
      <c r="C48" s="41" t="s">
        <v>85</v>
      </c>
      <c r="D48" s="42" t="s">
        <v>455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45">
        <v>0</v>
      </c>
      <c r="J48" s="46">
        <v>0</v>
      </c>
      <c r="K48" s="53"/>
      <c r="L48" s="53"/>
      <c r="M48" s="48" t="s">
        <v>453</v>
      </c>
      <c r="N48" s="23"/>
      <c r="O48" s="23"/>
      <c r="P48" s="23"/>
      <c r="Q48" s="23"/>
      <c r="R48" s="23"/>
      <c r="S48" s="23"/>
      <c r="T48" s="23"/>
      <c r="U48" s="23"/>
    </row>
    <row r="49" spans="1:26" ht="38.25" customHeight="1">
      <c r="B49" s="40" t="b">
        <f>FALSE()</f>
        <v>0</v>
      </c>
      <c r="C49" s="41" t="s">
        <v>85</v>
      </c>
      <c r="D49" s="42" t="s">
        <v>456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45">
        <v>0</v>
      </c>
      <c r="J49" s="46">
        <v>0</v>
      </c>
      <c r="K49" s="53"/>
      <c r="L49" s="53"/>
      <c r="M49" s="48" t="s">
        <v>453</v>
      </c>
      <c r="N49" s="23"/>
      <c r="O49" s="23"/>
      <c r="P49" s="23"/>
      <c r="Q49" s="23"/>
      <c r="R49" s="23"/>
      <c r="S49" s="23"/>
      <c r="T49" s="23"/>
      <c r="U49" s="23"/>
    </row>
    <row r="50" spans="1:26" ht="27.75" customHeight="1">
      <c r="A50" s="36"/>
      <c r="B50" s="50"/>
      <c r="C50" s="51"/>
      <c r="D50" s="50"/>
      <c r="E50" s="37" t="s">
        <v>93</v>
      </c>
      <c r="F50" s="52"/>
      <c r="G50" s="72"/>
      <c r="H50" s="72"/>
      <c r="I50" s="72"/>
      <c r="J50" s="72"/>
      <c r="K50" s="72"/>
      <c r="L50" s="72"/>
      <c r="M50" s="52"/>
      <c r="N50" s="39"/>
      <c r="O50" s="39"/>
      <c r="P50" s="39"/>
      <c r="Q50" s="39"/>
      <c r="R50" s="39"/>
      <c r="S50" s="39"/>
      <c r="T50" s="39"/>
      <c r="U50" s="39"/>
      <c r="V50" s="36"/>
      <c r="W50" s="36"/>
      <c r="X50" s="36"/>
      <c r="Y50" s="36"/>
      <c r="Z50" s="36"/>
    </row>
    <row r="51" spans="1:26" ht="51" customHeight="1">
      <c r="B51" s="40" t="b">
        <f>TRUE()</f>
        <v>1</v>
      </c>
      <c r="C51" s="41" t="s">
        <v>84</v>
      </c>
      <c r="D51" s="42" t="s">
        <v>456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45">
        <v>0</v>
      </c>
      <c r="J51" s="46">
        <v>0</v>
      </c>
      <c r="K51" s="53"/>
      <c r="L51" s="53"/>
      <c r="M51" s="48" t="s">
        <v>453</v>
      </c>
      <c r="N51" s="23"/>
      <c r="O51" s="23"/>
      <c r="P51" s="23"/>
      <c r="Q51" s="23"/>
      <c r="R51" s="23"/>
      <c r="S51" s="23"/>
      <c r="T51" s="23"/>
      <c r="U51" s="23"/>
    </row>
    <row r="52" spans="1:26" ht="57" customHeight="1">
      <c r="B52" s="40" t="b">
        <f>TRUE()</f>
        <v>1</v>
      </c>
      <c r="C52" s="41" t="s">
        <v>84</v>
      </c>
      <c r="D52" s="42" t="s">
        <v>460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45">
        <v>0</v>
      </c>
      <c r="J52" s="46">
        <v>0</v>
      </c>
      <c r="K52" s="53"/>
      <c r="L52" s="53"/>
      <c r="M52" s="48" t="s">
        <v>453</v>
      </c>
      <c r="N52" s="23"/>
      <c r="O52" s="23"/>
      <c r="P52" s="23"/>
      <c r="Q52" s="23"/>
      <c r="R52" s="23"/>
      <c r="S52" s="23"/>
      <c r="T52" s="23"/>
      <c r="U52" s="23"/>
    </row>
    <row r="53" spans="1:26" ht="27.75" customHeight="1">
      <c r="A53" s="36"/>
      <c r="B53" s="50"/>
      <c r="C53" s="51"/>
      <c r="D53" s="50"/>
      <c r="E53" s="37" t="s">
        <v>101</v>
      </c>
      <c r="F53" s="52"/>
      <c r="G53" s="72"/>
      <c r="H53" s="72"/>
      <c r="I53" s="72"/>
      <c r="J53" s="72"/>
      <c r="K53" s="72"/>
      <c r="L53" s="72"/>
      <c r="M53" s="52"/>
      <c r="N53" s="39"/>
      <c r="O53" s="39"/>
      <c r="P53" s="39"/>
      <c r="Q53" s="39"/>
      <c r="R53" s="39"/>
      <c r="S53" s="39"/>
      <c r="T53" s="39"/>
      <c r="U53" s="39"/>
      <c r="V53" s="36"/>
      <c r="W53" s="36"/>
      <c r="X53" s="36"/>
      <c r="Y53" s="36"/>
      <c r="Z53" s="36"/>
    </row>
    <row r="54" spans="1:26" ht="52.5" customHeight="1">
      <c r="B54" s="40" t="b">
        <f>TRUE()</f>
        <v>1</v>
      </c>
      <c r="C54" s="41" t="s">
        <v>85</v>
      </c>
      <c r="D54" s="42" t="s">
        <v>460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45">
        <v>0</v>
      </c>
      <c r="J54" s="46">
        <v>0</v>
      </c>
      <c r="K54" s="53"/>
      <c r="L54" s="53"/>
      <c r="M54" s="48" t="s">
        <v>453</v>
      </c>
      <c r="N54" s="23"/>
      <c r="O54" s="23"/>
      <c r="P54" s="23"/>
      <c r="Q54" s="23"/>
      <c r="R54" s="23"/>
      <c r="S54" s="23"/>
      <c r="T54" s="23"/>
      <c r="U54" s="23"/>
    </row>
    <row r="55" spans="1:26" ht="30" customHeight="1">
      <c r="B55" s="73" t="s">
        <v>208</v>
      </c>
      <c r="C55" s="73"/>
      <c r="D55" s="73"/>
      <c r="E55" s="37" t="s">
        <v>77</v>
      </c>
      <c r="F55" s="52"/>
      <c r="G55" s="72"/>
      <c r="H55" s="72"/>
      <c r="I55" s="72"/>
      <c r="J55" s="72"/>
      <c r="K55" s="72"/>
      <c r="L55" s="72"/>
      <c r="M55" s="52"/>
      <c r="N55" s="23"/>
      <c r="O55" s="23"/>
      <c r="P55" s="23"/>
      <c r="Q55" s="23"/>
      <c r="R55" s="23"/>
      <c r="S55" s="23"/>
      <c r="T55" s="23"/>
      <c r="U55" s="23"/>
    </row>
    <row r="56" spans="1:26" ht="30" customHeight="1">
      <c r="B56" s="40" t="b">
        <f>FALSE()</f>
        <v>0</v>
      </c>
      <c r="C56" s="41" t="s">
        <v>85</v>
      </c>
      <c r="D56" s="42" t="s">
        <v>469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45">
        <v>0</v>
      </c>
      <c r="J56" s="46">
        <v>0</v>
      </c>
      <c r="K56" s="53"/>
      <c r="L56" s="53"/>
      <c r="M56" s="48" t="s">
        <v>453</v>
      </c>
      <c r="N56" s="23"/>
      <c r="O56" s="23"/>
      <c r="P56" s="23"/>
      <c r="Q56" s="23"/>
      <c r="R56" s="23"/>
      <c r="S56" s="23"/>
      <c r="T56" s="23"/>
      <c r="U56" s="23"/>
    </row>
    <row r="57" spans="1:26" ht="30" customHeight="1">
      <c r="B57" s="40" t="b">
        <f>FALSE()</f>
        <v>0</v>
      </c>
      <c r="C57" s="41" t="s">
        <v>85</v>
      </c>
      <c r="D57" s="42" t="s">
        <v>470</v>
      </c>
      <c r="E57" s="43" t="s">
        <v>213</v>
      </c>
      <c r="F57" s="44" t="s">
        <v>210</v>
      </c>
      <c r="G57" s="44" t="s">
        <v>214</v>
      </c>
      <c r="H57" s="44" t="s">
        <v>215</v>
      </c>
      <c r="I57" s="45">
        <v>0</v>
      </c>
      <c r="J57" s="46">
        <v>0</v>
      </c>
      <c r="K57" s="53"/>
      <c r="L57" s="53"/>
      <c r="M57" s="48" t="s">
        <v>453</v>
      </c>
      <c r="N57" s="23"/>
      <c r="O57" s="23"/>
      <c r="P57" s="23"/>
      <c r="Q57" s="23"/>
      <c r="R57" s="23"/>
      <c r="S57" s="23"/>
      <c r="T57" s="23"/>
      <c r="U57" s="23"/>
    </row>
    <row r="58" spans="1:26" ht="44.25" customHeight="1">
      <c r="B58" s="40" t="b">
        <f>FALSE()</f>
        <v>0</v>
      </c>
      <c r="C58" s="41" t="s">
        <v>78</v>
      </c>
      <c r="D58" s="60" t="s">
        <v>471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45">
        <v>0</v>
      </c>
      <c r="J58" s="46">
        <v>0</v>
      </c>
      <c r="K58" s="53"/>
      <c r="L58" s="53"/>
      <c r="M58" s="48" t="s">
        <v>453</v>
      </c>
      <c r="N58" s="23"/>
      <c r="O58" s="23"/>
      <c r="P58" s="23"/>
      <c r="Q58" s="23"/>
      <c r="R58" s="23"/>
      <c r="S58" s="23"/>
      <c r="T58" s="23"/>
      <c r="U58" s="23"/>
    </row>
    <row r="59" spans="1:26" ht="14.25" customHeight="1">
      <c r="D59" s="21"/>
      <c r="G59" s="14"/>
      <c r="I59" s="20">
        <f>AVERAGE(I10:I58)</f>
        <v>0</v>
      </c>
      <c r="M59" s="23"/>
      <c r="N59" s="23"/>
      <c r="O59" s="23"/>
      <c r="P59" s="23"/>
      <c r="Q59" s="23"/>
      <c r="R59" s="23"/>
      <c r="S59" s="23"/>
      <c r="T59" s="23"/>
      <c r="U59" s="23"/>
    </row>
    <row r="60" spans="1:26" ht="14.25" customHeight="1">
      <c r="D60" s="21"/>
      <c r="G60" s="14"/>
      <c r="M60" s="23"/>
      <c r="N60" s="23"/>
      <c r="O60" s="23"/>
      <c r="P60" s="23"/>
      <c r="Q60" s="23"/>
      <c r="R60" s="23"/>
      <c r="S60" s="23"/>
      <c r="T60" s="23"/>
      <c r="U60" s="23"/>
    </row>
    <row r="61" spans="1:26" ht="14.25" customHeight="1">
      <c r="B61" s="74" t="s">
        <v>220</v>
      </c>
      <c r="C61" s="74"/>
      <c r="D61" s="63" t="s">
        <v>221</v>
      </c>
      <c r="E61" s="64" t="s">
        <v>222</v>
      </c>
      <c r="G61" s="14"/>
      <c r="M61" s="23"/>
      <c r="N61" s="23"/>
      <c r="O61" s="23"/>
      <c r="P61" s="23"/>
      <c r="Q61" s="23"/>
      <c r="R61" s="23"/>
      <c r="S61" s="23"/>
      <c r="T61" s="23"/>
      <c r="U61" s="23"/>
    </row>
    <row r="62" spans="1:26" ht="14.25" customHeight="1">
      <c r="B62" s="75" t="s">
        <v>223</v>
      </c>
      <c r="C62" s="75"/>
      <c r="D62" s="65">
        <f>COUNTIF(I11:I58,"&gt;=90%")</f>
        <v>0</v>
      </c>
      <c r="E62" s="66">
        <f>+D62/D66</f>
        <v>0</v>
      </c>
      <c r="G62" s="14"/>
      <c r="M62" s="23"/>
      <c r="N62" s="23"/>
      <c r="O62" s="23"/>
      <c r="P62" s="23"/>
      <c r="Q62" s="23"/>
      <c r="R62" s="23"/>
      <c r="S62" s="23"/>
      <c r="T62" s="23"/>
      <c r="U62" s="23"/>
    </row>
    <row r="63" spans="1:26" ht="25.5" customHeight="1">
      <c r="B63" s="77" t="s">
        <v>224</v>
      </c>
      <c r="C63" s="77"/>
      <c r="D63" s="65">
        <f>COUNTIFS(I11:I58,"&gt;=50%",I11:I58,"&lt;90%")</f>
        <v>0</v>
      </c>
      <c r="E63" s="66">
        <f>+D63/D66</f>
        <v>0</v>
      </c>
      <c r="F63" s="89" t="s">
        <v>288</v>
      </c>
      <c r="G63" s="89"/>
      <c r="H63" s="89"/>
      <c r="I63" s="88"/>
      <c r="M63" s="23"/>
      <c r="N63" s="23"/>
      <c r="O63" s="23"/>
      <c r="P63" s="23"/>
      <c r="Q63" s="23"/>
      <c r="R63" s="23"/>
      <c r="S63" s="23"/>
      <c r="T63" s="23"/>
      <c r="U63" s="23"/>
    </row>
    <row r="64" spans="1:26" ht="20.25" customHeight="1">
      <c r="B64" s="79" t="s">
        <v>225</v>
      </c>
      <c r="C64" s="79"/>
      <c r="D64" s="65">
        <f>COUNTIFS(I11:I58,"&gt;=25%",I11:I58,"&lt;50%")</f>
        <v>0</v>
      </c>
      <c r="E64" s="66">
        <f>+D64/D66</f>
        <v>0</v>
      </c>
      <c r="F64" s="89" t="s">
        <v>289</v>
      </c>
      <c r="G64" s="89"/>
      <c r="H64" s="89"/>
      <c r="I64" s="89"/>
      <c r="M64" s="23"/>
      <c r="N64" s="23"/>
      <c r="O64" s="23"/>
      <c r="P64" s="23"/>
      <c r="Q64" s="23"/>
      <c r="R64" s="23"/>
      <c r="S64" s="23"/>
      <c r="T64" s="23"/>
      <c r="U64" s="23"/>
    </row>
    <row r="65" spans="2:21" ht="14.25" customHeight="1">
      <c r="B65" s="81" t="s">
        <v>226</v>
      </c>
      <c r="C65" s="81"/>
      <c r="D65" s="65">
        <f>COUNTIFS(I11:I58,"&gt;=0%",I11:I58,"&lt;25%")</f>
        <v>38</v>
      </c>
      <c r="E65" s="66">
        <f>+D65/D66</f>
        <v>1</v>
      </c>
      <c r="G65" s="14"/>
      <c r="M65" s="23"/>
      <c r="N65" s="23"/>
      <c r="O65" s="23"/>
      <c r="P65" s="23"/>
      <c r="Q65" s="23"/>
      <c r="R65" s="23"/>
      <c r="S65" s="23"/>
      <c r="T65" s="23"/>
      <c r="U65" s="23"/>
    </row>
    <row r="66" spans="2:21" ht="14.25" customHeight="1">
      <c r="B66" s="82" t="s">
        <v>227</v>
      </c>
      <c r="C66" s="82"/>
      <c r="D66" s="63">
        <f>SUM(D62:D65)</f>
        <v>38</v>
      </c>
      <c r="E66" s="123">
        <f>+D66/D66</f>
        <v>1</v>
      </c>
      <c r="G66" s="14"/>
      <c r="M66" s="23"/>
      <c r="N66" s="23"/>
      <c r="O66" s="23"/>
      <c r="P66" s="23"/>
      <c r="Q66" s="23"/>
      <c r="R66" s="23"/>
      <c r="S66" s="23"/>
      <c r="T66" s="23"/>
      <c r="U66" s="23"/>
    </row>
    <row r="67" spans="2:21" ht="14.25" customHeight="1">
      <c r="D67" s="21"/>
      <c r="G67" s="14"/>
      <c r="M67" s="23"/>
      <c r="N67" s="23"/>
      <c r="O67" s="23"/>
      <c r="P67" s="23"/>
      <c r="Q67" s="23"/>
      <c r="R67" s="23"/>
      <c r="S67" s="23"/>
      <c r="T67" s="23"/>
      <c r="U67" s="23"/>
    </row>
    <row r="68" spans="2:21" ht="14.25" customHeight="1">
      <c r="D68" s="21"/>
      <c r="G68" s="14"/>
      <c r="M68" s="23"/>
      <c r="N68" s="23"/>
      <c r="O68" s="23"/>
      <c r="P68" s="23"/>
      <c r="Q68" s="23"/>
      <c r="R68" s="23"/>
      <c r="S68" s="23"/>
      <c r="T68" s="23"/>
      <c r="U68" s="23"/>
    </row>
    <row r="69" spans="2:21" ht="14.25" customHeight="1">
      <c r="D69" s="21"/>
      <c r="G69" s="14"/>
      <c r="M69" s="23"/>
      <c r="N69" s="23"/>
      <c r="O69" s="23"/>
      <c r="P69" s="23"/>
      <c r="Q69" s="23"/>
      <c r="R69" s="23"/>
      <c r="S69" s="23"/>
      <c r="T69" s="23"/>
      <c r="U69" s="23"/>
    </row>
    <row r="70" spans="2:21" ht="14.25" customHeight="1">
      <c r="D70" s="21"/>
      <c r="G70" s="14"/>
      <c r="M70" s="23"/>
      <c r="N70" s="23"/>
      <c r="O70" s="23"/>
      <c r="P70" s="23"/>
      <c r="Q70" s="23"/>
      <c r="R70" s="23"/>
      <c r="S70" s="23"/>
      <c r="T70" s="23"/>
      <c r="U70" s="23"/>
    </row>
    <row r="71" spans="2:21" ht="14.25" customHeight="1">
      <c r="D71" s="21"/>
      <c r="G71" s="14"/>
      <c r="M71" s="23"/>
      <c r="N71" s="23"/>
      <c r="O71" s="23"/>
      <c r="P71" s="23"/>
      <c r="Q71" s="23"/>
      <c r="R71" s="23"/>
      <c r="S71" s="23"/>
      <c r="T71" s="23"/>
      <c r="U71" s="23"/>
    </row>
    <row r="72" spans="2:21" ht="14.25" customHeight="1">
      <c r="D72" s="21"/>
      <c r="G72" s="14"/>
      <c r="M72" s="23"/>
      <c r="N72" s="23"/>
      <c r="O72" s="23"/>
      <c r="P72" s="23"/>
      <c r="Q72" s="23"/>
      <c r="R72" s="23"/>
      <c r="S72" s="23"/>
      <c r="T72" s="23"/>
      <c r="U72" s="23"/>
    </row>
    <row r="73" spans="2:21" ht="14.25" customHeight="1">
      <c r="D73" s="21"/>
      <c r="G73" s="14"/>
      <c r="M73" s="23"/>
      <c r="N73" s="23"/>
      <c r="O73" s="23"/>
      <c r="P73" s="23"/>
      <c r="Q73" s="23"/>
      <c r="R73" s="23"/>
      <c r="S73" s="23"/>
      <c r="T73" s="23"/>
      <c r="U73" s="23"/>
    </row>
    <row r="74" spans="2:21" ht="14.25" customHeight="1">
      <c r="D74" s="21"/>
      <c r="G74" s="14"/>
      <c r="M74" s="23"/>
      <c r="N74" s="23"/>
      <c r="O74" s="23"/>
      <c r="P74" s="23"/>
      <c r="Q74" s="23"/>
      <c r="R74" s="23"/>
      <c r="S74" s="23"/>
      <c r="T74" s="23"/>
      <c r="U74" s="23"/>
    </row>
    <row r="75" spans="2:21" ht="14.25" customHeight="1">
      <c r="D75" s="21"/>
      <c r="G75" s="14"/>
    </row>
    <row r="76" spans="2:21" ht="14.25" customHeight="1">
      <c r="D76" s="21"/>
      <c r="G76" s="14"/>
    </row>
    <row r="77" spans="2:21" ht="14.25" customHeight="1">
      <c r="D77" s="21"/>
      <c r="G77" s="14"/>
    </row>
    <row r="78" spans="2:21" ht="14.25" customHeight="1">
      <c r="D78" s="21"/>
      <c r="G78" s="14"/>
    </row>
    <row r="79" spans="2:21" ht="14.25" customHeight="1">
      <c r="D79" s="21"/>
      <c r="G79" s="14"/>
    </row>
    <row r="80" spans="2:21" ht="14.25" customHeight="1">
      <c r="D80" s="21"/>
      <c r="G80" s="14"/>
    </row>
    <row r="81" spans="4:7" ht="14.25" customHeight="1">
      <c r="D81" s="21"/>
      <c r="G81" s="14"/>
    </row>
    <row r="82" spans="4:7" ht="14.25" customHeight="1">
      <c r="D82" s="21"/>
      <c r="G82" s="14"/>
    </row>
    <row r="83" spans="4:7" ht="14.25" customHeight="1">
      <c r="D83" s="21"/>
      <c r="G83" s="14"/>
    </row>
    <row r="84" spans="4:7" ht="14.25" customHeight="1">
      <c r="D84" s="21"/>
      <c r="G84" s="14"/>
    </row>
    <row r="85" spans="4:7" ht="14.25" customHeight="1">
      <c r="D85" s="21"/>
      <c r="G85" s="14"/>
    </row>
    <row r="86" spans="4:7" ht="14.25" customHeight="1">
      <c r="D86" s="21"/>
      <c r="G86" s="14"/>
    </row>
    <row r="87" spans="4:7" ht="14.25" customHeight="1">
      <c r="D87" s="21"/>
      <c r="G87" s="14"/>
    </row>
    <row r="88" spans="4:7" ht="14.25" customHeight="1">
      <c r="D88" s="21"/>
      <c r="G88" s="14"/>
    </row>
    <row r="89" spans="4:7" ht="14.25" customHeight="1">
      <c r="D89" s="21"/>
      <c r="G89" s="14"/>
    </row>
    <row r="90" spans="4:7" ht="14.25" customHeight="1">
      <c r="D90" s="21"/>
      <c r="G90" s="14"/>
    </row>
    <row r="91" spans="4:7" ht="14.25" customHeight="1">
      <c r="D91" s="21"/>
      <c r="G91" s="14"/>
    </row>
    <row r="92" spans="4:7" ht="14.25" customHeight="1">
      <c r="D92" s="21"/>
      <c r="G92" s="14"/>
    </row>
    <row r="93" spans="4:7" ht="14.25" customHeight="1">
      <c r="D93" s="21"/>
      <c r="G93" s="14"/>
    </row>
    <row r="94" spans="4:7" ht="14.25" customHeight="1">
      <c r="D94" s="21"/>
      <c r="G94" s="14"/>
    </row>
    <row r="95" spans="4:7" ht="14.25" customHeight="1">
      <c r="D95" s="21"/>
      <c r="G95" s="14"/>
    </row>
    <row r="96" spans="4:7" ht="14.25" customHeight="1">
      <c r="D96" s="21"/>
      <c r="G96" s="14"/>
    </row>
    <row r="97" spans="4:7" ht="14.25" customHeight="1">
      <c r="D97" s="21"/>
      <c r="G97" s="14"/>
    </row>
    <row r="98" spans="4:7" ht="14.25" customHeight="1">
      <c r="D98" s="21"/>
      <c r="G98" s="14"/>
    </row>
    <row r="99" spans="4:7" ht="14.25" customHeight="1">
      <c r="D99" s="21"/>
      <c r="G99" s="14"/>
    </row>
    <row r="100" spans="4:7" ht="14.25" customHeight="1">
      <c r="D100" s="21"/>
      <c r="G100" s="14"/>
    </row>
    <row r="101" spans="4:7" ht="14.25" customHeight="1">
      <c r="D101" s="21"/>
      <c r="G101" s="14"/>
    </row>
    <row r="102" spans="4:7" ht="14.25" customHeight="1">
      <c r="D102" s="21"/>
      <c r="G102" s="14"/>
    </row>
    <row r="103" spans="4:7" ht="14.25" customHeight="1">
      <c r="D103" s="21"/>
      <c r="G103" s="14"/>
    </row>
    <row r="104" spans="4:7" ht="14.25" customHeight="1">
      <c r="D104" s="21"/>
      <c r="G104" s="14"/>
    </row>
    <row r="105" spans="4:7" ht="14.25" customHeight="1">
      <c r="D105" s="21"/>
      <c r="G105" s="14"/>
    </row>
    <row r="106" spans="4:7" ht="14.25" customHeight="1">
      <c r="D106" s="21"/>
      <c r="G106" s="14"/>
    </row>
    <row r="107" spans="4:7" ht="14.25" customHeight="1">
      <c r="D107" s="21"/>
      <c r="G107" s="14"/>
    </row>
    <row r="108" spans="4:7" ht="14.25" customHeight="1">
      <c r="D108" s="21"/>
      <c r="G108" s="14"/>
    </row>
    <row r="109" spans="4:7" ht="14.25" customHeight="1">
      <c r="D109" s="21"/>
      <c r="G109" s="14"/>
    </row>
    <row r="110" spans="4:7" ht="14.25" customHeight="1">
      <c r="D110" s="21"/>
      <c r="G110" s="14"/>
    </row>
    <row r="111" spans="4:7" ht="14.25" customHeight="1">
      <c r="D111" s="21"/>
      <c r="G111" s="14"/>
    </row>
    <row r="112" spans="4:7" ht="14.25" customHeight="1">
      <c r="D112" s="21"/>
      <c r="G112" s="14"/>
    </row>
    <row r="113" spans="4:7" ht="14.25" customHeight="1">
      <c r="D113" s="21"/>
      <c r="G113" s="14"/>
    </row>
    <row r="114" spans="4:7" ht="14.25" customHeight="1">
      <c r="D114" s="21"/>
      <c r="G114" s="14"/>
    </row>
    <row r="115" spans="4:7" ht="14.25" customHeight="1">
      <c r="D115" s="21"/>
      <c r="G115" s="14"/>
    </row>
    <row r="116" spans="4:7" ht="14.25" customHeight="1">
      <c r="D116" s="21"/>
      <c r="G116" s="14"/>
    </row>
    <row r="117" spans="4:7" ht="14.25" customHeight="1">
      <c r="D117" s="21"/>
      <c r="G117" s="14"/>
    </row>
    <row r="118" spans="4:7" ht="14.25" customHeight="1">
      <c r="D118" s="21"/>
      <c r="G118" s="14"/>
    </row>
    <row r="119" spans="4:7" ht="14.25" customHeight="1">
      <c r="D119" s="21"/>
      <c r="G119" s="14"/>
    </row>
    <row r="120" spans="4:7" ht="14.25" customHeight="1">
      <c r="D120" s="21"/>
      <c r="G120" s="14"/>
    </row>
    <row r="121" spans="4:7" ht="14.25" customHeight="1">
      <c r="D121" s="21"/>
      <c r="G121" s="14"/>
    </row>
    <row r="122" spans="4:7" ht="14.25" customHeight="1">
      <c r="D122" s="21"/>
      <c r="G122" s="14"/>
    </row>
    <row r="123" spans="4:7" ht="14.25" customHeight="1">
      <c r="D123" s="21"/>
      <c r="G123" s="14"/>
    </row>
    <row r="124" spans="4:7" ht="14.25" customHeight="1">
      <c r="D124" s="21"/>
      <c r="G124" s="14"/>
    </row>
    <row r="125" spans="4:7" ht="14.25" customHeight="1">
      <c r="D125" s="21"/>
      <c r="G125" s="14"/>
    </row>
    <row r="126" spans="4:7" ht="14.25" customHeight="1">
      <c r="D126" s="21"/>
      <c r="G126" s="14"/>
    </row>
    <row r="127" spans="4:7" ht="14.25" customHeight="1">
      <c r="D127" s="21"/>
      <c r="G127" s="14"/>
    </row>
    <row r="128" spans="4:7" ht="14.25" customHeight="1">
      <c r="D128" s="21"/>
      <c r="G128" s="14"/>
    </row>
    <row r="129" spans="4:7" ht="14.25" customHeight="1">
      <c r="D129" s="21"/>
      <c r="G129" s="14"/>
    </row>
    <row r="130" spans="4:7" ht="14.25" customHeight="1">
      <c r="D130" s="21"/>
      <c r="G130" s="14"/>
    </row>
    <row r="131" spans="4:7" ht="14.25" customHeight="1">
      <c r="D131" s="21"/>
      <c r="G131" s="14"/>
    </row>
    <row r="132" spans="4:7" ht="14.25" customHeight="1">
      <c r="D132" s="21"/>
      <c r="G132" s="14"/>
    </row>
    <row r="133" spans="4:7" ht="14.25" customHeight="1">
      <c r="D133" s="21"/>
      <c r="G133" s="14"/>
    </row>
    <row r="134" spans="4:7" ht="14.25" customHeight="1">
      <c r="D134" s="21"/>
      <c r="G134" s="14"/>
    </row>
    <row r="135" spans="4:7" ht="14.25" customHeight="1">
      <c r="D135" s="21"/>
      <c r="G135" s="14"/>
    </row>
    <row r="136" spans="4:7" ht="14.25" customHeight="1">
      <c r="D136" s="21"/>
      <c r="G136" s="14"/>
    </row>
    <row r="137" spans="4:7" ht="14.25" customHeight="1">
      <c r="D137" s="21"/>
      <c r="G137" s="14"/>
    </row>
    <row r="138" spans="4:7" ht="14.25" customHeight="1">
      <c r="D138" s="21"/>
      <c r="G138" s="14"/>
    </row>
    <row r="139" spans="4:7" ht="14.25" customHeight="1">
      <c r="D139" s="21"/>
      <c r="G139" s="14"/>
    </row>
    <row r="140" spans="4:7" ht="14.25" customHeight="1">
      <c r="D140" s="21"/>
      <c r="G140" s="14"/>
    </row>
    <row r="141" spans="4:7" ht="14.25" customHeight="1">
      <c r="D141" s="21"/>
      <c r="G141" s="14"/>
    </row>
    <row r="142" spans="4:7" ht="14.25" customHeight="1">
      <c r="D142" s="21"/>
      <c r="G142" s="14"/>
    </row>
    <row r="143" spans="4:7" ht="14.25" customHeight="1">
      <c r="D143" s="21"/>
      <c r="G143" s="14"/>
    </row>
    <row r="144" spans="4:7" ht="14.25" customHeight="1">
      <c r="D144" s="21"/>
      <c r="G144" s="14"/>
    </row>
    <row r="145" spans="4:7" ht="14.25" customHeight="1">
      <c r="D145" s="21"/>
      <c r="G145" s="14"/>
    </row>
    <row r="146" spans="4:7" ht="14.25" customHeight="1">
      <c r="D146" s="21"/>
      <c r="G146" s="14"/>
    </row>
    <row r="147" spans="4:7" ht="14.25" customHeight="1">
      <c r="D147" s="21"/>
      <c r="G147" s="14"/>
    </row>
    <row r="148" spans="4:7" ht="14.25" customHeight="1">
      <c r="D148" s="21"/>
      <c r="G148" s="14"/>
    </row>
    <row r="149" spans="4:7" ht="14.25" customHeight="1">
      <c r="D149" s="21"/>
      <c r="G149" s="14"/>
    </row>
    <row r="150" spans="4:7" ht="14.25" customHeight="1">
      <c r="D150" s="21"/>
      <c r="G150" s="14"/>
    </row>
    <row r="151" spans="4:7" ht="14.25" customHeight="1">
      <c r="D151" s="21"/>
      <c r="G151" s="14"/>
    </row>
    <row r="152" spans="4:7" ht="14.25" customHeight="1">
      <c r="D152" s="21"/>
      <c r="G152" s="14"/>
    </row>
    <row r="153" spans="4:7" ht="14.25" customHeight="1">
      <c r="D153" s="21"/>
      <c r="G153" s="14"/>
    </row>
    <row r="154" spans="4:7" ht="14.25" customHeight="1">
      <c r="D154" s="21"/>
      <c r="G154" s="14"/>
    </row>
    <row r="155" spans="4:7" ht="14.25" customHeight="1">
      <c r="D155" s="21"/>
      <c r="G155" s="14"/>
    </row>
    <row r="156" spans="4:7" ht="14.25" customHeight="1">
      <c r="D156" s="21"/>
      <c r="G156" s="14"/>
    </row>
    <row r="157" spans="4:7" ht="14.25" customHeight="1">
      <c r="D157" s="21"/>
      <c r="G157" s="14"/>
    </row>
    <row r="158" spans="4:7" ht="14.25" customHeight="1">
      <c r="D158" s="21"/>
      <c r="G158" s="14"/>
    </row>
    <row r="159" spans="4:7" ht="14.25" customHeight="1">
      <c r="D159" s="21"/>
      <c r="G159" s="14"/>
    </row>
    <row r="160" spans="4:7" ht="14.25" customHeight="1">
      <c r="D160" s="21"/>
      <c r="G160" s="14"/>
    </row>
    <row r="161" spans="4:7" ht="14.25" customHeight="1">
      <c r="D161" s="21"/>
      <c r="G161" s="14"/>
    </row>
    <row r="162" spans="4:7" ht="14.25" customHeight="1">
      <c r="D162" s="21"/>
      <c r="G162" s="14"/>
    </row>
    <row r="163" spans="4:7" ht="14.25" customHeight="1">
      <c r="D163" s="21"/>
      <c r="G163" s="14"/>
    </row>
    <row r="164" spans="4:7" ht="14.25" customHeight="1">
      <c r="D164" s="21"/>
      <c r="G164" s="14"/>
    </row>
    <row r="165" spans="4:7" ht="14.25" customHeight="1">
      <c r="D165" s="21"/>
      <c r="G165" s="14"/>
    </row>
    <row r="166" spans="4:7" ht="14.25" customHeight="1">
      <c r="D166" s="21"/>
      <c r="G166" s="14"/>
    </row>
    <row r="167" spans="4:7" ht="14.25" customHeight="1">
      <c r="D167" s="21"/>
      <c r="G167" s="14"/>
    </row>
    <row r="168" spans="4:7" ht="14.25" customHeight="1">
      <c r="D168" s="21"/>
      <c r="G168" s="14"/>
    </row>
    <row r="169" spans="4:7" ht="14.25" customHeight="1">
      <c r="D169" s="21"/>
      <c r="G169" s="14"/>
    </row>
    <row r="170" spans="4:7" ht="14.25" customHeight="1">
      <c r="D170" s="21"/>
      <c r="G170" s="14"/>
    </row>
    <row r="171" spans="4:7" ht="14.25" customHeight="1">
      <c r="D171" s="21"/>
      <c r="G171" s="14"/>
    </row>
    <row r="172" spans="4:7" ht="14.25" customHeight="1">
      <c r="D172" s="21"/>
      <c r="G172" s="14"/>
    </row>
    <row r="173" spans="4:7" ht="14.25" customHeight="1">
      <c r="D173" s="21"/>
      <c r="G173" s="14"/>
    </row>
    <row r="174" spans="4:7" ht="14.25" customHeight="1">
      <c r="D174" s="21"/>
      <c r="G174" s="14"/>
    </row>
    <row r="175" spans="4:7" ht="14.25" customHeight="1">
      <c r="D175" s="21"/>
      <c r="G175" s="14"/>
    </row>
    <row r="176" spans="4:7" ht="14.25" customHeight="1">
      <c r="D176" s="21"/>
      <c r="G176" s="14"/>
    </row>
    <row r="177" spans="4:7" ht="14.25" customHeight="1">
      <c r="D177" s="21"/>
      <c r="G177" s="14"/>
    </row>
    <row r="178" spans="4:7" ht="14.25" customHeight="1">
      <c r="D178" s="21"/>
      <c r="G178" s="14"/>
    </row>
    <row r="179" spans="4:7" ht="14.25" customHeight="1">
      <c r="D179" s="21"/>
      <c r="G179" s="14"/>
    </row>
    <row r="180" spans="4:7" ht="14.25" customHeight="1">
      <c r="D180" s="21"/>
      <c r="G180" s="14"/>
    </row>
    <row r="181" spans="4:7" ht="14.25" customHeight="1">
      <c r="D181" s="21"/>
      <c r="G181" s="14"/>
    </row>
    <row r="182" spans="4:7" ht="14.25" customHeight="1">
      <c r="D182" s="21"/>
      <c r="G182" s="14"/>
    </row>
    <row r="183" spans="4:7" ht="14.25" customHeight="1">
      <c r="D183" s="21"/>
      <c r="G183" s="14"/>
    </row>
    <row r="184" spans="4:7" ht="14.25" customHeight="1">
      <c r="D184" s="21"/>
      <c r="G184" s="14"/>
    </row>
    <row r="185" spans="4:7" ht="14.25" customHeight="1">
      <c r="D185" s="21"/>
      <c r="G185" s="14"/>
    </row>
    <row r="186" spans="4:7" ht="14.25" customHeight="1">
      <c r="D186" s="21"/>
      <c r="G186" s="14"/>
    </row>
    <row r="187" spans="4:7" ht="14.25" customHeight="1">
      <c r="D187" s="21"/>
      <c r="G187" s="14"/>
    </row>
    <row r="188" spans="4:7" ht="14.25" customHeight="1">
      <c r="D188" s="21"/>
      <c r="G188" s="14"/>
    </row>
    <row r="189" spans="4:7" ht="14.25" customHeight="1">
      <c r="D189" s="21"/>
      <c r="G189" s="14"/>
    </row>
    <row r="190" spans="4:7" ht="14.25" customHeight="1">
      <c r="D190" s="21"/>
      <c r="G190" s="14"/>
    </row>
    <row r="191" spans="4:7" ht="14.25" customHeight="1">
      <c r="D191" s="21"/>
      <c r="G191" s="14"/>
    </row>
    <row r="192" spans="4:7" ht="14.25" customHeight="1">
      <c r="D192" s="21"/>
      <c r="G192" s="14"/>
    </row>
    <row r="193" spans="4:7" ht="14.25" customHeight="1">
      <c r="D193" s="21"/>
      <c r="G193" s="14"/>
    </row>
    <row r="194" spans="4:7" ht="14.25" customHeight="1">
      <c r="D194" s="21"/>
      <c r="G194" s="14"/>
    </row>
    <row r="195" spans="4:7" ht="14.25" customHeight="1">
      <c r="D195" s="21"/>
      <c r="G195" s="14"/>
    </row>
    <row r="196" spans="4:7" ht="14.25" customHeight="1">
      <c r="D196" s="21"/>
      <c r="G196" s="14"/>
    </row>
    <row r="197" spans="4:7" ht="14.25" customHeight="1">
      <c r="D197" s="21"/>
      <c r="G197" s="14"/>
    </row>
    <row r="198" spans="4:7" ht="14.25" customHeight="1">
      <c r="D198" s="21"/>
      <c r="G198" s="14"/>
    </row>
    <row r="199" spans="4:7" ht="14.25" customHeight="1">
      <c r="D199" s="21"/>
      <c r="G199" s="14"/>
    </row>
    <row r="200" spans="4:7" ht="14.25" customHeight="1">
      <c r="D200" s="21"/>
      <c r="G200" s="14"/>
    </row>
    <row r="201" spans="4:7" ht="14.25" customHeight="1">
      <c r="D201" s="21"/>
      <c r="G201" s="14"/>
    </row>
    <row r="202" spans="4:7" ht="14.25" customHeight="1">
      <c r="D202" s="21"/>
      <c r="G202" s="14"/>
    </row>
    <row r="203" spans="4:7" ht="14.25" customHeight="1">
      <c r="D203" s="21"/>
      <c r="G203" s="14"/>
    </row>
    <row r="204" spans="4:7" ht="14.25" customHeight="1">
      <c r="D204" s="21"/>
      <c r="G204" s="14"/>
    </row>
    <row r="205" spans="4:7" ht="14.25" customHeight="1">
      <c r="D205" s="21"/>
      <c r="G205" s="14"/>
    </row>
    <row r="206" spans="4:7" ht="14.25" customHeight="1">
      <c r="D206" s="21"/>
      <c r="G206" s="14"/>
    </row>
    <row r="207" spans="4:7" ht="14.25" customHeight="1">
      <c r="D207" s="21"/>
      <c r="G207" s="14"/>
    </row>
    <row r="208" spans="4:7" ht="14.25" customHeight="1">
      <c r="D208" s="21"/>
      <c r="G208" s="14"/>
    </row>
    <row r="209" spans="4:7" ht="14.25" customHeight="1">
      <c r="D209" s="21"/>
      <c r="G209" s="14"/>
    </row>
    <row r="210" spans="4:7" ht="14.25" customHeight="1">
      <c r="D210" s="21"/>
      <c r="G210" s="14"/>
    </row>
    <row r="211" spans="4:7" ht="14.25" customHeight="1">
      <c r="D211" s="21"/>
      <c r="G211" s="14"/>
    </row>
    <row r="212" spans="4:7" ht="14.25" customHeight="1">
      <c r="D212" s="21"/>
      <c r="G212" s="14"/>
    </row>
    <row r="213" spans="4:7" ht="14.25" customHeight="1">
      <c r="D213" s="21"/>
      <c r="G213" s="14"/>
    </row>
    <row r="214" spans="4:7" ht="14.25" customHeight="1">
      <c r="D214" s="21"/>
      <c r="G214" s="14"/>
    </row>
    <row r="215" spans="4:7" ht="14.25" customHeight="1">
      <c r="D215" s="21"/>
      <c r="G215" s="14"/>
    </row>
    <row r="216" spans="4:7" ht="14.25" customHeight="1">
      <c r="D216" s="21"/>
      <c r="G216" s="14"/>
    </row>
    <row r="217" spans="4:7" ht="14.25" customHeight="1">
      <c r="D217" s="21"/>
      <c r="G217" s="14"/>
    </row>
    <row r="218" spans="4:7" ht="14.25" customHeight="1">
      <c r="D218" s="21"/>
      <c r="G218" s="14"/>
    </row>
    <row r="219" spans="4:7" ht="14.25" customHeight="1">
      <c r="D219" s="21"/>
      <c r="G219" s="14"/>
    </row>
    <row r="220" spans="4:7" ht="14.25" customHeight="1">
      <c r="D220" s="21"/>
      <c r="G220" s="14"/>
    </row>
    <row r="221" spans="4:7" ht="14.25" customHeight="1">
      <c r="D221" s="21"/>
      <c r="G221" s="14"/>
    </row>
    <row r="222" spans="4:7" ht="14.25" customHeight="1">
      <c r="D222" s="21"/>
      <c r="G222" s="14"/>
    </row>
    <row r="223" spans="4:7" ht="14.25" customHeight="1">
      <c r="D223" s="21"/>
      <c r="G223" s="14"/>
    </row>
    <row r="224" spans="4:7" ht="14.25" customHeight="1">
      <c r="D224" s="21"/>
      <c r="G224" s="14"/>
    </row>
    <row r="225" spans="4:7" ht="14.25" customHeight="1">
      <c r="D225" s="21"/>
      <c r="G225" s="14"/>
    </row>
    <row r="226" spans="4:7" ht="14.25" customHeight="1">
      <c r="D226" s="21"/>
      <c r="G226" s="14"/>
    </row>
    <row r="227" spans="4:7" ht="14.25" customHeight="1">
      <c r="D227" s="21"/>
      <c r="G227" s="14"/>
    </row>
    <row r="228" spans="4:7" ht="14.25" customHeight="1">
      <c r="D228" s="21"/>
      <c r="G228" s="14"/>
    </row>
    <row r="229" spans="4:7" ht="14.25" customHeight="1">
      <c r="D229" s="21"/>
      <c r="G229" s="14"/>
    </row>
    <row r="230" spans="4:7" ht="14.25" customHeight="1">
      <c r="D230" s="21"/>
      <c r="G230" s="14"/>
    </row>
    <row r="231" spans="4:7" ht="14.25" customHeight="1">
      <c r="D231" s="21"/>
      <c r="G231" s="14"/>
    </row>
    <row r="232" spans="4:7" ht="14.25" customHeight="1">
      <c r="D232" s="21"/>
      <c r="G232" s="14"/>
    </row>
    <row r="233" spans="4:7" ht="14.25" customHeight="1">
      <c r="D233" s="21"/>
      <c r="G233" s="14"/>
    </row>
    <row r="234" spans="4:7" ht="14.25" customHeight="1">
      <c r="D234" s="21"/>
      <c r="G234" s="14"/>
    </row>
    <row r="235" spans="4:7" ht="14.25" customHeight="1">
      <c r="D235" s="21"/>
      <c r="G235" s="14"/>
    </row>
    <row r="236" spans="4:7" ht="14.25" customHeight="1">
      <c r="D236" s="21"/>
      <c r="G236" s="14"/>
    </row>
    <row r="237" spans="4:7" ht="14.25" customHeight="1">
      <c r="D237" s="21"/>
      <c r="G237" s="14"/>
    </row>
    <row r="238" spans="4:7" ht="14.25" customHeight="1">
      <c r="D238" s="21"/>
      <c r="G238" s="14"/>
    </row>
    <row r="239" spans="4:7" ht="14.25" customHeight="1">
      <c r="D239" s="21"/>
      <c r="G239" s="14"/>
    </row>
    <row r="240" spans="4:7" ht="14.25" customHeight="1">
      <c r="D240" s="21"/>
      <c r="G240" s="14"/>
    </row>
    <row r="241" spans="4:7" ht="14.25" customHeight="1">
      <c r="D241" s="21"/>
      <c r="G241" s="14"/>
    </row>
    <row r="242" spans="4:7" ht="14.25" customHeight="1">
      <c r="D242" s="21"/>
      <c r="G242" s="14"/>
    </row>
    <row r="243" spans="4:7" ht="14.25" customHeight="1">
      <c r="D243" s="21"/>
      <c r="G243" s="14"/>
    </row>
    <row r="244" spans="4:7" ht="14.25" customHeight="1">
      <c r="D244" s="21"/>
      <c r="G244" s="14"/>
    </row>
    <row r="245" spans="4:7" ht="14.25" customHeight="1">
      <c r="D245" s="21"/>
      <c r="G245" s="14"/>
    </row>
    <row r="246" spans="4:7" ht="14.25" customHeight="1">
      <c r="D246" s="21"/>
      <c r="G246" s="14"/>
    </row>
    <row r="247" spans="4:7" ht="14.25" customHeight="1">
      <c r="D247" s="21"/>
      <c r="G247" s="14"/>
    </row>
    <row r="248" spans="4:7" ht="14.25" customHeight="1">
      <c r="D248" s="21"/>
      <c r="G248" s="14"/>
    </row>
    <row r="249" spans="4:7" ht="14.25" customHeight="1">
      <c r="D249" s="21"/>
      <c r="G249" s="14"/>
    </row>
    <row r="250" spans="4:7" ht="14.25" customHeight="1">
      <c r="D250" s="21"/>
      <c r="G250" s="14"/>
    </row>
    <row r="251" spans="4:7" ht="14.25" customHeight="1">
      <c r="D251" s="21"/>
      <c r="G251" s="14"/>
    </row>
    <row r="252" spans="4:7" ht="14.25" customHeight="1">
      <c r="D252" s="21"/>
      <c r="G252" s="14"/>
    </row>
    <row r="253" spans="4:7" ht="14.25" customHeight="1">
      <c r="D253" s="21"/>
      <c r="G253" s="14"/>
    </row>
    <row r="254" spans="4:7" ht="14.25" customHeight="1">
      <c r="D254" s="21"/>
      <c r="G254" s="14"/>
    </row>
    <row r="255" spans="4:7" ht="14.25" customHeight="1">
      <c r="D255" s="21"/>
      <c r="G255" s="14"/>
    </row>
    <row r="256" spans="4:7" ht="14.25" customHeight="1">
      <c r="D256" s="21"/>
      <c r="G256" s="14"/>
    </row>
    <row r="257" spans="4:7" ht="14.25" customHeight="1">
      <c r="D257" s="21"/>
      <c r="G257" s="14"/>
    </row>
    <row r="258" spans="4:7" ht="14.25" customHeight="1">
      <c r="D258" s="21"/>
      <c r="G258" s="14"/>
    </row>
    <row r="259" spans="4:7" ht="14.25" customHeight="1">
      <c r="D259" s="21"/>
      <c r="G259" s="14"/>
    </row>
    <row r="260" spans="4:7" ht="14.25" customHeight="1">
      <c r="D260" s="21"/>
      <c r="G260" s="14"/>
    </row>
    <row r="261" spans="4:7" ht="14.25" customHeight="1">
      <c r="D261" s="21"/>
      <c r="G261" s="14"/>
    </row>
    <row r="262" spans="4:7" ht="14.25" customHeight="1">
      <c r="D262" s="21"/>
      <c r="G262" s="14"/>
    </row>
    <row r="263" spans="4:7" ht="14.25" customHeight="1">
      <c r="D263" s="21"/>
      <c r="G263" s="14"/>
    </row>
    <row r="264" spans="4:7" ht="14.25" customHeight="1">
      <c r="D264" s="21"/>
      <c r="G264" s="14"/>
    </row>
    <row r="265" spans="4:7" ht="14.25" customHeight="1">
      <c r="D265" s="21"/>
      <c r="G265" s="14"/>
    </row>
    <row r="266" spans="4:7" ht="14.25" customHeight="1">
      <c r="D266" s="21"/>
      <c r="G266" s="14"/>
    </row>
    <row r="267" spans="4:7" ht="14.25" customHeight="1">
      <c r="D267" s="21"/>
      <c r="G267" s="14"/>
    </row>
    <row r="268" spans="4:7" ht="14.25" customHeight="1">
      <c r="D268" s="21"/>
      <c r="G268" s="14"/>
    </row>
    <row r="269" spans="4:7" ht="14.25" customHeight="1">
      <c r="D269" s="21"/>
      <c r="G269" s="14"/>
    </row>
    <row r="270" spans="4:7" ht="14.25" customHeight="1">
      <c r="D270" s="21"/>
      <c r="G270" s="14"/>
    </row>
    <row r="271" spans="4:7" ht="14.25" customHeight="1">
      <c r="D271" s="21"/>
      <c r="G271" s="14"/>
    </row>
    <row r="272" spans="4:7" ht="14.25" customHeight="1">
      <c r="D272" s="21"/>
      <c r="G272" s="14"/>
    </row>
    <row r="273" spans="4:7" ht="14.25" customHeight="1">
      <c r="D273" s="21"/>
      <c r="G273" s="14"/>
    </row>
    <row r="274" spans="4:7" ht="14.25" customHeight="1">
      <c r="D274" s="21"/>
      <c r="G274" s="14"/>
    </row>
    <row r="275" spans="4:7" ht="14.25" customHeight="1">
      <c r="D275" s="21"/>
      <c r="G275" s="14"/>
    </row>
    <row r="276" spans="4:7" ht="14.25" customHeight="1">
      <c r="D276" s="21"/>
      <c r="G276" s="14"/>
    </row>
    <row r="277" spans="4:7" ht="14.25" customHeight="1">
      <c r="D277" s="21"/>
      <c r="G277" s="14"/>
    </row>
    <row r="278" spans="4:7" ht="14.25" customHeight="1">
      <c r="D278" s="21"/>
      <c r="G278" s="14"/>
    </row>
    <row r="279" spans="4:7" ht="14.25" customHeight="1">
      <c r="D279" s="21"/>
      <c r="G279" s="14"/>
    </row>
    <row r="280" spans="4:7" ht="14.25" customHeight="1">
      <c r="D280" s="21"/>
      <c r="G280" s="14"/>
    </row>
    <row r="281" spans="4:7" ht="14.25" customHeight="1">
      <c r="D281" s="21"/>
      <c r="G281" s="14"/>
    </row>
    <row r="282" spans="4:7" ht="14.25" customHeight="1">
      <c r="D282" s="21"/>
      <c r="G282" s="14"/>
    </row>
    <row r="283" spans="4:7" ht="14.25" customHeight="1">
      <c r="D283" s="21"/>
      <c r="G283" s="14"/>
    </row>
    <row r="284" spans="4:7" ht="14.25" customHeight="1">
      <c r="D284" s="21"/>
      <c r="G284" s="14"/>
    </row>
    <row r="285" spans="4:7" ht="14.25" customHeight="1">
      <c r="D285" s="21"/>
      <c r="G285" s="14"/>
    </row>
    <row r="286" spans="4:7" ht="14.25" customHeight="1">
      <c r="D286" s="21"/>
      <c r="G286" s="14"/>
    </row>
    <row r="287" spans="4:7" ht="14.25" customHeight="1">
      <c r="D287" s="21"/>
      <c r="G287" s="14"/>
    </row>
    <row r="288" spans="4:7" ht="14.25" customHeight="1">
      <c r="D288" s="21"/>
      <c r="G288" s="14"/>
    </row>
    <row r="289" spans="4:7" ht="14.25" customHeight="1">
      <c r="D289" s="21"/>
      <c r="G289" s="14"/>
    </row>
    <row r="290" spans="4:7" ht="14.25" customHeight="1">
      <c r="D290" s="21"/>
      <c r="G290" s="14"/>
    </row>
    <row r="291" spans="4:7" ht="14.25" customHeight="1">
      <c r="D291" s="21"/>
      <c r="G291" s="14"/>
    </row>
    <row r="292" spans="4:7" ht="14.25" customHeight="1">
      <c r="D292" s="21"/>
      <c r="G292" s="14"/>
    </row>
    <row r="293" spans="4:7" ht="14.25" customHeight="1">
      <c r="D293" s="21"/>
      <c r="G293" s="14"/>
    </row>
    <row r="294" spans="4:7" ht="14.25" customHeight="1">
      <c r="D294" s="21"/>
      <c r="G294" s="14"/>
    </row>
    <row r="295" spans="4:7" ht="14.25" customHeight="1">
      <c r="D295" s="21"/>
      <c r="G295" s="14"/>
    </row>
    <row r="296" spans="4:7" ht="14.25" customHeight="1">
      <c r="D296" s="21"/>
      <c r="G296" s="14"/>
    </row>
    <row r="297" spans="4:7" ht="14.25" customHeight="1">
      <c r="D297" s="21"/>
      <c r="G297" s="14"/>
    </row>
    <row r="298" spans="4:7" ht="14.25" customHeight="1">
      <c r="D298" s="21"/>
      <c r="G298" s="14"/>
    </row>
    <row r="299" spans="4:7" ht="14.25" customHeight="1">
      <c r="D299" s="21"/>
      <c r="G299" s="14"/>
    </row>
    <row r="300" spans="4:7" ht="14.25" customHeight="1">
      <c r="D300" s="21"/>
      <c r="G300" s="14"/>
    </row>
    <row r="301" spans="4:7" ht="14.25" customHeight="1">
      <c r="D301" s="21"/>
      <c r="G301" s="14"/>
    </row>
    <row r="302" spans="4:7" ht="14.25" customHeight="1">
      <c r="D302" s="21"/>
      <c r="G302" s="14"/>
    </row>
    <row r="303" spans="4:7" ht="14.25" customHeight="1">
      <c r="D303" s="21"/>
      <c r="G303" s="14"/>
    </row>
    <row r="304" spans="4:7" ht="14.25" customHeight="1">
      <c r="D304" s="21"/>
      <c r="G304" s="14"/>
    </row>
    <row r="305" spans="4:7" ht="14.25" customHeight="1">
      <c r="D305" s="21"/>
      <c r="G305" s="14"/>
    </row>
    <row r="306" spans="4:7" ht="14.25" customHeight="1">
      <c r="D306" s="21"/>
      <c r="G306" s="14"/>
    </row>
    <row r="307" spans="4:7" ht="14.25" customHeight="1">
      <c r="D307" s="21"/>
      <c r="G307" s="14"/>
    </row>
    <row r="308" spans="4:7" ht="14.25" customHeight="1">
      <c r="D308" s="21"/>
      <c r="G308" s="14"/>
    </row>
    <row r="309" spans="4:7" ht="14.25" customHeight="1">
      <c r="D309" s="21"/>
      <c r="G309" s="14"/>
    </row>
    <row r="310" spans="4:7" ht="14.25" customHeight="1">
      <c r="D310" s="21"/>
      <c r="G310" s="14"/>
    </row>
    <row r="311" spans="4:7" ht="14.25" customHeight="1">
      <c r="D311" s="21"/>
      <c r="G311" s="14"/>
    </row>
    <row r="312" spans="4:7" ht="14.25" customHeight="1">
      <c r="D312" s="21"/>
      <c r="G312" s="14"/>
    </row>
    <row r="313" spans="4:7" ht="14.25" customHeight="1">
      <c r="D313" s="21"/>
      <c r="G313" s="14"/>
    </row>
    <row r="314" spans="4:7" ht="14.25" customHeight="1">
      <c r="D314" s="21"/>
      <c r="G314" s="14"/>
    </row>
    <row r="315" spans="4:7" ht="14.25" customHeight="1">
      <c r="D315" s="21"/>
      <c r="G315" s="14"/>
    </row>
    <row r="316" spans="4:7" ht="14.25" customHeight="1">
      <c r="D316" s="21"/>
      <c r="G316" s="14"/>
    </row>
    <row r="317" spans="4:7" ht="14.25" customHeight="1">
      <c r="D317" s="21"/>
      <c r="G317" s="14"/>
    </row>
    <row r="318" spans="4:7" ht="14.25" customHeight="1">
      <c r="D318" s="21"/>
      <c r="G318" s="14"/>
    </row>
    <row r="319" spans="4:7" ht="14.25" customHeight="1">
      <c r="D319" s="21"/>
      <c r="G319" s="14"/>
    </row>
    <row r="320" spans="4:7" ht="14.25" customHeight="1">
      <c r="D320" s="21"/>
      <c r="G320" s="14"/>
    </row>
    <row r="321" spans="4:7" ht="14.25" customHeight="1">
      <c r="D321" s="21"/>
      <c r="G321" s="14"/>
    </row>
    <row r="322" spans="4:7" ht="14.25" customHeight="1">
      <c r="D322" s="21"/>
      <c r="G322" s="14"/>
    </row>
    <row r="323" spans="4:7" ht="14.25" customHeight="1">
      <c r="D323" s="21"/>
      <c r="G323" s="14"/>
    </row>
    <row r="324" spans="4:7" ht="14.25" customHeight="1">
      <c r="D324" s="21"/>
      <c r="G324" s="14"/>
    </row>
    <row r="325" spans="4:7" ht="14.25" customHeight="1">
      <c r="D325" s="21"/>
      <c r="G325" s="14"/>
    </row>
    <row r="326" spans="4:7" ht="14.25" customHeight="1">
      <c r="D326" s="21"/>
      <c r="G326" s="14"/>
    </row>
    <row r="327" spans="4:7" ht="14.25" customHeight="1">
      <c r="D327" s="21"/>
      <c r="G327" s="14"/>
    </row>
    <row r="328" spans="4:7" ht="14.25" customHeight="1">
      <c r="D328" s="21"/>
      <c r="G328" s="14"/>
    </row>
    <row r="329" spans="4:7" ht="14.25" customHeight="1">
      <c r="D329" s="21"/>
      <c r="G329" s="14"/>
    </row>
    <row r="330" spans="4:7" ht="14.25" customHeight="1">
      <c r="D330" s="21"/>
      <c r="G330" s="14"/>
    </row>
    <row r="331" spans="4:7" ht="14.25" customHeight="1">
      <c r="D331" s="21"/>
      <c r="G331" s="14"/>
    </row>
    <row r="332" spans="4:7" ht="14.25" customHeight="1">
      <c r="D332" s="21"/>
      <c r="G332" s="14"/>
    </row>
    <row r="333" spans="4:7" ht="14.25" customHeight="1">
      <c r="D333" s="21"/>
      <c r="G333" s="14"/>
    </row>
    <row r="334" spans="4:7" ht="14.25" customHeight="1">
      <c r="D334" s="21"/>
      <c r="G334" s="14"/>
    </row>
    <row r="335" spans="4:7" ht="14.25" customHeight="1">
      <c r="D335" s="21"/>
      <c r="G335" s="14"/>
    </row>
    <row r="336" spans="4:7" ht="14.25" customHeight="1">
      <c r="D336" s="21"/>
      <c r="G336" s="14"/>
    </row>
    <row r="337" spans="4:7" ht="14.25" customHeight="1">
      <c r="D337" s="21"/>
      <c r="G337" s="14"/>
    </row>
    <row r="338" spans="4:7" ht="14.25" customHeight="1">
      <c r="D338" s="21"/>
      <c r="G338" s="14"/>
    </row>
    <row r="339" spans="4:7" ht="14.25" customHeight="1">
      <c r="D339" s="21"/>
      <c r="G339" s="14"/>
    </row>
    <row r="340" spans="4:7" ht="14.25" customHeight="1">
      <c r="D340" s="21"/>
      <c r="G340" s="14"/>
    </row>
    <row r="341" spans="4:7" ht="14.25" customHeight="1">
      <c r="D341" s="21"/>
      <c r="G341" s="14"/>
    </row>
    <row r="342" spans="4:7" ht="14.25" customHeight="1">
      <c r="D342" s="21"/>
      <c r="G342" s="14"/>
    </row>
    <row r="343" spans="4:7" ht="14.25" customHeight="1">
      <c r="D343" s="21"/>
      <c r="G343" s="14"/>
    </row>
    <row r="344" spans="4:7" ht="14.25" customHeight="1">
      <c r="D344" s="21"/>
      <c r="G344" s="14"/>
    </row>
    <row r="345" spans="4:7" ht="14.25" customHeight="1">
      <c r="D345" s="21"/>
      <c r="G345" s="14"/>
    </row>
    <row r="346" spans="4:7" ht="14.25" customHeight="1">
      <c r="D346" s="21"/>
      <c r="G346" s="14"/>
    </row>
    <row r="347" spans="4:7" ht="14.25" customHeight="1">
      <c r="D347" s="21"/>
      <c r="G347" s="14"/>
    </row>
    <row r="348" spans="4:7" ht="14.25" customHeight="1">
      <c r="D348" s="21"/>
      <c r="G348" s="14"/>
    </row>
    <row r="349" spans="4:7" ht="14.25" customHeight="1">
      <c r="D349" s="21"/>
      <c r="G349" s="14"/>
    </row>
    <row r="350" spans="4:7" ht="14.25" customHeight="1">
      <c r="D350" s="21"/>
      <c r="G350" s="14"/>
    </row>
    <row r="351" spans="4:7" ht="14.25" customHeight="1">
      <c r="D351" s="21"/>
      <c r="G351" s="14"/>
    </row>
    <row r="352" spans="4:7" ht="14.25" customHeight="1">
      <c r="D352" s="21"/>
      <c r="G352" s="14"/>
    </row>
    <row r="353" spans="4:7" ht="14.25" customHeight="1">
      <c r="D353" s="21"/>
      <c r="G353" s="14"/>
    </row>
    <row r="354" spans="4:7" ht="14.25" customHeight="1">
      <c r="D354" s="21"/>
      <c r="G354" s="14"/>
    </row>
    <row r="355" spans="4:7" ht="14.25" customHeight="1">
      <c r="D355" s="21"/>
      <c r="G355" s="14"/>
    </row>
    <row r="356" spans="4:7" ht="14.25" customHeight="1">
      <c r="D356" s="21"/>
      <c r="G356" s="14"/>
    </row>
    <row r="357" spans="4:7" ht="14.25" customHeight="1">
      <c r="D357" s="21"/>
      <c r="G357" s="14"/>
    </row>
    <row r="358" spans="4:7" ht="14.25" customHeight="1">
      <c r="D358" s="21"/>
      <c r="G358" s="14"/>
    </row>
    <row r="359" spans="4:7" ht="14.25" customHeight="1">
      <c r="D359" s="21"/>
      <c r="G359" s="14"/>
    </row>
    <row r="360" spans="4:7" ht="14.25" customHeight="1">
      <c r="D360" s="21"/>
      <c r="G360" s="14"/>
    </row>
    <row r="361" spans="4:7" ht="14.25" customHeight="1">
      <c r="D361" s="21"/>
      <c r="G361" s="14"/>
    </row>
    <row r="362" spans="4:7" ht="14.25" customHeight="1">
      <c r="D362" s="21"/>
      <c r="G362" s="14"/>
    </row>
    <row r="363" spans="4:7" ht="14.25" customHeight="1">
      <c r="D363" s="21"/>
      <c r="G363" s="14"/>
    </row>
    <row r="364" spans="4:7" ht="14.25" customHeight="1">
      <c r="D364" s="21"/>
      <c r="G364" s="14"/>
    </row>
    <row r="365" spans="4:7" ht="14.25" customHeight="1">
      <c r="D365" s="21"/>
      <c r="G365" s="14"/>
    </row>
    <row r="366" spans="4:7" ht="14.25" customHeight="1">
      <c r="D366" s="21"/>
      <c r="G366" s="14"/>
    </row>
    <row r="367" spans="4:7" ht="14.25" customHeight="1">
      <c r="D367" s="21"/>
      <c r="G367" s="14"/>
    </row>
    <row r="368" spans="4:7" ht="14.25" customHeight="1">
      <c r="D368" s="21"/>
      <c r="G368" s="14"/>
    </row>
    <row r="369" spans="4:7" ht="14.25" customHeight="1">
      <c r="D369" s="21"/>
      <c r="G369" s="14"/>
    </row>
    <row r="370" spans="4:7" ht="14.25" customHeight="1">
      <c r="D370" s="21"/>
      <c r="G370" s="14"/>
    </row>
    <row r="371" spans="4:7" ht="14.25" customHeight="1">
      <c r="D371" s="21"/>
      <c r="G371" s="14"/>
    </row>
    <row r="372" spans="4:7" ht="14.25" customHeight="1">
      <c r="D372" s="21"/>
      <c r="G372" s="14"/>
    </row>
    <row r="373" spans="4:7" ht="14.25" customHeight="1">
      <c r="D373" s="21"/>
      <c r="G373" s="14"/>
    </row>
    <row r="374" spans="4:7" ht="14.25" customHeight="1">
      <c r="D374" s="21"/>
      <c r="G374" s="14"/>
    </row>
    <row r="375" spans="4:7" ht="14.25" customHeight="1">
      <c r="D375" s="21"/>
      <c r="G375" s="14"/>
    </row>
    <row r="376" spans="4:7" ht="14.25" customHeight="1">
      <c r="D376" s="21"/>
      <c r="G376" s="14"/>
    </row>
    <row r="377" spans="4:7" ht="14.25" customHeight="1">
      <c r="D377" s="21"/>
      <c r="G377" s="14"/>
    </row>
    <row r="378" spans="4:7" ht="14.25" customHeight="1">
      <c r="D378" s="21"/>
      <c r="G378" s="14"/>
    </row>
    <row r="379" spans="4:7" ht="14.25" customHeight="1">
      <c r="D379" s="21"/>
      <c r="G379" s="14"/>
    </row>
    <row r="380" spans="4:7" ht="14.25" customHeight="1">
      <c r="D380" s="21"/>
      <c r="G380" s="14"/>
    </row>
    <row r="381" spans="4:7" ht="14.25" customHeight="1">
      <c r="D381" s="21"/>
      <c r="G381" s="14"/>
    </row>
    <row r="382" spans="4:7" ht="14.25" customHeight="1">
      <c r="D382" s="21"/>
      <c r="G382" s="14"/>
    </row>
    <row r="383" spans="4:7" ht="14.25" customHeight="1">
      <c r="D383" s="21"/>
      <c r="G383" s="14"/>
    </row>
    <row r="384" spans="4:7" ht="14.25" customHeight="1">
      <c r="D384" s="21"/>
      <c r="G384" s="14"/>
    </row>
    <row r="385" spans="4:7" ht="14.25" customHeight="1">
      <c r="D385" s="21"/>
      <c r="G385" s="14"/>
    </row>
    <row r="386" spans="4:7" ht="14.25" customHeight="1">
      <c r="D386" s="21"/>
      <c r="G386" s="14"/>
    </row>
    <row r="387" spans="4:7" ht="14.25" customHeight="1">
      <c r="D387" s="21"/>
      <c r="G387" s="14"/>
    </row>
    <row r="388" spans="4:7" ht="14.25" customHeight="1">
      <c r="D388" s="21"/>
      <c r="G388" s="14"/>
    </row>
    <row r="389" spans="4:7" ht="14.25" customHeight="1">
      <c r="D389" s="21"/>
      <c r="G389" s="14"/>
    </row>
    <row r="390" spans="4:7" ht="14.25" customHeight="1">
      <c r="D390" s="21"/>
      <c r="G390" s="14"/>
    </row>
    <row r="391" spans="4:7" ht="14.25" customHeight="1">
      <c r="D391" s="21"/>
      <c r="G391" s="14"/>
    </row>
    <row r="392" spans="4:7" ht="14.25" customHeight="1">
      <c r="D392" s="21"/>
      <c r="G392" s="14"/>
    </row>
    <row r="393" spans="4:7" ht="14.25" customHeight="1">
      <c r="D393" s="21"/>
      <c r="G393" s="14"/>
    </row>
    <row r="394" spans="4:7" ht="14.25" customHeight="1">
      <c r="D394" s="21"/>
      <c r="G394" s="14"/>
    </row>
    <row r="395" spans="4:7" ht="14.25" customHeight="1">
      <c r="D395" s="21"/>
      <c r="G395" s="14"/>
    </row>
    <row r="396" spans="4:7" ht="14.25" customHeight="1">
      <c r="D396" s="21"/>
      <c r="G396" s="14"/>
    </row>
    <row r="397" spans="4:7" ht="14.25" customHeight="1">
      <c r="D397" s="21"/>
      <c r="G397" s="14"/>
    </row>
    <row r="398" spans="4:7" ht="14.25" customHeight="1">
      <c r="D398" s="21"/>
      <c r="G398" s="14"/>
    </row>
    <row r="399" spans="4:7" ht="14.25" customHeight="1">
      <c r="D399" s="21"/>
      <c r="G399" s="14"/>
    </row>
    <row r="400" spans="4:7" ht="14.25" customHeight="1">
      <c r="D400" s="21"/>
      <c r="G400" s="14"/>
    </row>
    <row r="401" spans="4:7" ht="14.25" customHeight="1">
      <c r="D401" s="21"/>
      <c r="G401" s="14"/>
    </row>
    <row r="402" spans="4:7" ht="14.25" customHeight="1">
      <c r="D402" s="21"/>
      <c r="G402" s="14"/>
    </row>
    <row r="403" spans="4:7" ht="14.25" customHeight="1">
      <c r="D403" s="21"/>
      <c r="G403" s="14"/>
    </row>
    <row r="404" spans="4:7" ht="14.25" customHeight="1">
      <c r="D404" s="21"/>
      <c r="G404" s="14"/>
    </row>
    <row r="405" spans="4:7" ht="14.25" customHeight="1">
      <c r="D405" s="21"/>
      <c r="G405" s="14"/>
    </row>
    <row r="406" spans="4:7" ht="14.25" customHeight="1">
      <c r="D406" s="21"/>
      <c r="G406" s="14"/>
    </row>
    <row r="407" spans="4:7" ht="14.25" customHeight="1">
      <c r="D407" s="21"/>
      <c r="G407" s="14"/>
    </row>
    <row r="408" spans="4:7" ht="14.25" customHeight="1">
      <c r="D408" s="21"/>
      <c r="G408" s="14"/>
    </row>
    <row r="409" spans="4:7" ht="14.25" customHeight="1">
      <c r="D409" s="21"/>
      <c r="G409" s="14"/>
    </row>
    <row r="410" spans="4:7" ht="14.25" customHeight="1">
      <c r="D410" s="21"/>
      <c r="G410" s="14"/>
    </row>
    <row r="411" spans="4:7" ht="14.25" customHeight="1">
      <c r="D411" s="21"/>
      <c r="G411" s="14"/>
    </row>
    <row r="412" spans="4:7" ht="14.25" customHeight="1">
      <c r="D412" s="21"/>
      <c r="G412" s="14"/>
    </row>
    <row r="413" spans="4:7" ht="14.25" customHeight="1">
      <c r="D413" s="21"/>
      <c r="G413" s="14"/>
    </row>
    <row r="414" spans="4:7" ht="14.25" customHeight="1">
      <c r="D414" s="21"/>
      <c r="G414" s="14"/>
    </row>
    <row r="415" spans="4:7" ht="14.25" customHeight="1">
      <c r="D415" s="21"/>
      <c r="G415" s="14"/>
    </row>
    <row r="416" spans="4:7" ht="14.25" customHeight="1">
      <c r="D416" s="21"/>
      <c r="G416" s="14"/>
    </row>
    <row r="417" spans="4:7" ht="14.25" customHeight="1">
      <c r="D417" s="21"/>
      <c r="G417" s="14"/>
    </row>
    <row r="418" spans="4:7" ht="14.25" customHeight="1">
      <c r="D418" s="21"/>
      <c r="G418" s="14"/>
    </row>
    <row r="419" spans="4:7" ht="14.25" customHeight="1">
      <c r="D419" s="21"/>
      <c r="G419" s="14"/>
    </row>
    <row r="420" spans="4:7" ht="14.25" customHeight="1">
      <c r="D420" s="21"/>
      <c r="G420" s="14"/>
    </row>
    <row r="421" spans="4:7" ht="14.25" customHeight="1">
      <c r="D421" s="21"/>
      <c r="G421" s="14"/>
    </row>
    <row r="422" spans="4:7" ht="14.25" customHeight="1">
      <c r="D422" s="21"/>
      <c r="G422" s="14"/>
    </row>
    <row r="423" spans="4:7" ht="14.25" customHeight="1">
      <c r="D423" s="21"/>
      <c r="G423" s="14"/>
    </row>
    <row r="424" spans="4:7" ht="14.25" customHeight="1">
      <c r="D424" s="21"/>
      <c r="G424" s="14"/>
    </row>
    <row r="425" spans="4:7" ht="14.25" customHeight="1">
      <c r="D425" s="21"/>
      <c r="G425" s="14"/>
    </row>
    <row r="426" spans="4:7" ht="14.25" customHeight="1">
      <c r="D426" s="21"/>
      <c r="G426" s="14"/>
    </row>
    <row r="427" spans="4:7" ht="14.25" customHeight="1">
      <c r="D427" s="21"/>
      <c r="G427" s="14"/>
    </row>
    <row r="428" spans="4:7" ht="14.25" customHeight="1">
      <c r="D428" s="21"/>
      <c r="G428" s="14"/>
    </row>
    <row r="429" spans="4:7" ht="14.25" customHeight="1">
      <c r="D429" s="21"/>
      <c r="G429" s="14"/>
    </row>
    <row r="430" spans="4:7" ht="14.25" customHeight="1">
      <c r="D430" s="21"/>
      <c r="G430" s="14"/>
    </row>
    <row r="431" spans="4:7" ht="14.25" customHeight="1">
      <c r="D431" s="21"/>
      <c r="G431" s="14"/>
    </row>
    <row r="432" spans="4:7" ht="14.25" customHeight="1">
      <c r="D432" s="21"/>
      <c r="G432" s="14"/>
    </row>
    <row r="433" spans="4:7" ht="14.25" customHeight="1">
      <c r="D433" s="21"/>
      <c r="G433" s="14"/>
    </row>
    <row r="434" spans="4:7" ht="14.25" customHeight="1">
      <c r="D434" s="21"/>
      <c r="G434" s="14"/>
    </row>
    <row r="435" spans="4:7" ht="14.25" customHeight="1">
      <c r="D435" s="21"/>
      <c r="G435" s="14"/>
    </row>
    <row r="436" spans="4:7" ht="14.25" customHeight="1">
      <c r="D436" s="21"/>
      <c r="G436" s="14"/>
    </row>
    <row r="437" spans="4:7" ht="14.25" customHeight="1">
      <c r="D437" s="21"/>
      <c r="G437" s="14"/>
    </row>
    <row r="438" spans="4:7" ht="14.25" customHeight="1">
      <c r="D438" s="21"/>
      <c r="G438" s="14"/>
    </row>
    <row r="439" spans="4:7" ht="14.25" customHeight="1">
      <c r="D439" s="21"/>
      <c r="G439" s="14"/>
    </row>
    <row r="440" spans="4:7" ht="14.25" customHeight="1">
      <c r="D440" s="21"/>
      <c r="G440" s="14"/>
    </row>
    <row r="441" spans="4:7" ht="14.25" customHeight="1">
      <c r="D441" s="21"/>
      <c r="G441" s="14"/>
    </row>
    <row r="442" spans="4:7" ht="14.25" customHeight="1">
      <c r="D442" s="21"/>
      <c r="G442" s="14"/>
    </row>
    <row r="443" spans="4:7" ht="14.25" customHeight="1">
      <c r="D443" s="21"/>
      <c r="G443" s="14"/>
    </row>
    <row r="444" spans="4:7" ht="14.25" customHeight="1">
      <c r="D444" s="21"/>
      <c r="G444" s="14"/>
    </row>
    <row r="445" spans="4:7" ht="14.25" customHeight="1">
      <c r="D445" s="21"/>
      <c r="G445" s="14"/>
    </row>
    <row r="446" spans="4:7" ht="14.25" customHeight="1">
      <c r="D446" s="21"/>
      <c r="G446" s="14"/>
    </row>
    <row r="447" spans="4:7" ht="14.25" customHeight="1">
      <c r="D447" s="21"/>
      <c r="G447" s="14"/>
    </row>
    <row r="448" spans="4:7" ht="14.25" customHeight="1">
      <c r="D448" s="21"/>
      <c r="G448" s="14"/>
    </row>
    <row r="449" spans="4:7" ht="14.25" customHeight="1">
      <c r="D449" s="21"/>
      <c r="G449" s="14"/>
    </row>
    <row r="450" spans="4:7" ht="14.25" customHeight="1">
      <c r="D450" s="21"/>
      <c r="G450" s="14"/>
    </row>
    <row r="451" spans="4:7" ht="14.25" customHeight="1">
      <c r="D451" s="21"/>
      <c r="G451" s="14"/>
    </row>
    <row r="452" spans="4:7" ht="14.25" customHeight="1">
      <c r="D452" s="21"/>
      <c r="G452" s="14"/>
    </row>
    <row r="453" spans="4:7" ht="14.25" customHeight="1">
      <c r="D453" s="21"/>
      <c r="G453" s="14"/>
    </row>
    <row r="454" spans="4:7" ht="14.25" customHeight="1">
      <c r="D454" s="21"/>
      <c r="G454" s="14"/>
    </row>
    <row r="455" spans="4:7" ht="14.25" customHeight="1">
      <c r="D455" s="21"/>
      <c r="G455" s="14"/>
    </row>
    <row r="456" spans="4:7" ht="14.25" customHeight="1">
      <c r="D456" s="21"/>
      <c r="G456" s="14"/>
    </row>
    <row r="457" spans="4:7" ht="14.25" customHeight="1">
      <c r="D457" s="21"/>
      <c r="G457" s="14"/>
    </row>
    <row r="458" spans="4:7" ht="14.25" customHeight="1">
      <c r="D458" s="21"/>
      <c r="G458" s="14"/>
    </row>
    <row r="459" spans="4:7" ht="14.25" customHeight="1">
      <c r="D459" s="21"/>
      <c r="G459" s="14"/>
    </row>
    <row r="460" spans="4:7" ht="14.25" customHeight="1">
      <c r="D460" s="21"/>
      <c r="G460" s="14"/>
    </row>
    <row r="461" spans="4:7" ht="14.25" customHeight="1">
      <c r="D461" s="21"/>
      <c r="G461" s="14"/>
    </row>
    <row r="462" spans="4:7" ht="14.25" customHeight="1">
      <c r="D462" s="21"/>
      <c r="G462" s="14"/>
    </row>
    <row r="463" spans="4:7" ht="14.25" customHeight="1">
      <c r="D463" s="21"/>
      <c r="G463" s="14"/>
    </row>
    <row r="464" spans="4:7" ht="14.25" customHeight="1">
      <c r="D464" s="21"/>
      <c r="G464" s="14"/>
    </row>
    <row r="465" spans="4:7" ht="14.25" customHeight="1">
      <c r="D465" s="21"/>
      <c r="G465" s="14"/>
    </row>
    <row r="466" spans="4:7" ht="14.25" customHeight="1">
      <c r="D466" s="21"/>
      <c r="G466" s="14"/>
    </row>
    <row r="467" spans="4:7" ht="14.25" customHeight="1">
      <c r="D467" s="21"/>
      <c r="G467" s="14"/>
    </row>
    <row r="468" spans="4:7" ht="14.25" customHeight="1">
      <c r="D468" s="21"/>
      <c r="G468" s="14"/>
    </row>
    <row r="469" spans="4:7" ht="14.25" customHeight="1">
      <c r="D469" s="21"/>
      <c r="G469" s="14"/>
    </row>
    <row r="470" spans="4:7" ht="14.25" customHeight="1">
      <c r="D470" s="21"/>
      <c r="G470" s="14"/>
    </row>
    <row r="471" spans="4:7" ht="14.25" customHeight="1">
      <c r="D471" s="21"/>
      <c r="G471" s="14"/>
    </row>
    <row r="472" spans="4:7" ht="14.25" customHeight="1">
      <c r="D472" s="21"/>
      <c r="G472" s="14"/>
    </row>
    <row r="473" spans="4:7" ht="14.25" customHeight="1">
      <c r="D473" s="21"/>
      <c r="G473" s="14"/>
    </row>
    <row r="474" spans="4:7" ht="14.25" customHeight="1">
      <c r="D474" s="21"/>
      <c r="G474" s="14"/>
    </row>
    <row r="475" spans="4:7" ht="14.25" customHeight="1">
      <c r="D475" s="21"/>
      <c r="G475" s="14"/>
    </row>
    <row r="476" spans="4:7" ht="14.25" customHeight="1">
      <c r="D476" s="21"/>
      <c r="G476" s="14"/>
    </row>
    <row r="477" spans="4:7" ht="14.25" customHeight="1">
      <c r="D477" s="21"/>
      <c r="G477" s="14"/>
    </row>
    <row r="478" spans="4:7" ht="14.25" customHeight="1">
      <c r="D478" s="21"/>
      <c r="G478" s="14"/>
    </row>
    <row r="479" spans="4:7" ht="14.25" customHeight="1">
      <c r="D479" s="21"/>
      <c r="G479" s="14"/>
    </row>
    <row r="480" spans="4:7" ht="14.25" customHeight="1">
      <c r="D480" s="21"/>
      <c r="G480" s="14"/>
    </row>
    <row r="481" spans="4:7" ht="14.25" customHeight="1">
      <c r="D481" s="21"/>
      <c r="G481" s="14"/>
    </row>
    <row r="482" spans="4:7" ht="14.25" customHeight="1">
      <c r="D482" s="21"/>
      <c r="G482" s="14"/>
    </row>
    <row r="483" spans="4:7" ht="14.25" customHeight="1">
      <c r="D483" s="21"/>
      <c r="G483" s="14"/>
    </row>
    <row r="484" spans="4:7" ht="14.25" customHeight="1">
      <c r="D484" s="21"/>
      <c r="G484" s="14"/>
    </row>
    <row r="485" spans="4:7" ht="14.25" customHeight="1">
      <c r="D485" s="21"/>
      <c r="G485" s="14"/>
    </row>
    <row r="486" spans="4:7" ht="14.25" customHeight="1">
      <c r="D486" s="21"/>
      <c r="G486" s="14"/>
    </row>
    <row r="487" spans="4:7" ht="14.25" customHeight="1">
      <c r="D487" s="21"/>
      <c r="G487" s="14"/>
    </row>
    <row r="488" spans="4:7" ht="14.25" customHeight="1">
      <c r="D488" s="21"/>
      <c r="G488" s="14"/>
    </row>
    <row r="489" spans="4:7" ht="14.25" customHeight="1">
      <c r="D489" s="21"/>
      <c r="G489" s="14"/>
    </row>
    <row r="490" spans="4:7" ht="14.25" customHeight="1">
      <c r="D490" s="21"/>
      <c r="G490" s="14"/>
    </row>
    <row r="491" spans="4:7" ht="14.25" customHeight="1">
      <c r="D491" s="21"/>
      <c r="G491" s="14"/>
    </row>
    <row r="492" spans="4:7" ht="14.25" customHeight="1">
      <c r="D492" s="21"/>
      <c r="G492" s="14"/>
    </row>
    <row r="493" spans="4:7" ht="14.25" customHeight="1">
      <c r="D493" s="21"/>
      <c r="G493" s="14"/>
    </row>
    <row r="494" spans="4:7" ht="14.25" customHeight="1">
      <c r="D494" s="21"/>
      <c r="G494" s="14"/>
    </row>
    <row r="495" spans="4:7" ht="14.25" customHeight="1">
      <c r="D495" s="21"/>
      <c r="G495" s="14"/>
    </row>
    <row r="496" spans="4:7" ht="14.25" customHeight="1">
      <c r="D496" s="21"/>
      <c r="G496" s="14"/>
    </row>
    <row r="497" spans="4:7" ht="14.25" customHeight="1">
      <c r="D497" s="21"/>
      <c r="G497" s="14"/>
    </row>
    <row r="498" spans="4:7" ht="14.25" customHeight="1">
      <c r="D498" s="21"/>
      <c r="G498" s="14"/>
    </row>
    <row r="499" spans="4:7" ht="14.25" customHeight="1">
      <c r="D499" s="21"/>
      <c r="G499" s="14"/>
    </row>
    <row r="500" spans="4:7" ht="14.25" customHeight="1">
      <c r="D500" s="21"/>
      <c r="G500" s="14"/>
    </row>
    <row r="501" spans="4:7" ht="14.25" customHeight="1">
      <c r="D501" s="21"/>
      <c r="G501" s="14"/>
    </row>
    <row r="502" spans="4:7" ht="14.25" customHeight="1">
      <c r="D502" s="21"/>
      <c r="G502" s="14"/>
    </row>
    <row r="503" spans="4:7" ht="14.25" customHeight="1">
      <c r="D503" s="21"/>
      <c r="G503" s="14"/>
    </row>
    <row r="504" spans="4:7" ht="14.25" customHeight="1">
      <c r="D504" s="21"/>
      <c r="G504" s="14"/>
    </row>
    <row r="505" spans="4:7" ht="14.25" customHeight="1">
      <c r="D505" s="21"/>
      <c r="G505" s="14"/>
    </row>
    <row r="506" spans="4:7" ht="14.25" customHeight="1">
      <c r="D506" s="21"/>
      <c r="G506" s="14"/>
    </row>
    <row r="507" spans="4:7" ht="14.25" customHeight="1">
      <c r="D507" s="21"/>
      <c r="G507" s="14"/>
    </row>
    <row r="508" spans="4:7" ht="14.25" customHeight="1">
      <c r="D508" s="21"/>
      <c r="G508" s="14"/>
    </row>
    <row r="509" spans="4:7" ht="14.25" customHeight="1">
      <c r="D509" s="21"/>
      <c r="G509" s="14"/>
    </row>
    <row r="510" spans="4:7" ht="14.25" customHeight="1">
      <c r="D510" s="21"/>
      <c r="G510" s="14"/>
    </row>
    <row r="511" spans="4:7" ht="14.25" customHeight="1">
      <c r="D511" s="21"/>
      <c r="G511" s="14"/>
    </row>
    <row r="512" spans="4:7" ht="14.25" customHeight="1">
      <c r="D512" s="21"/>
      <c r="G512" s="14"/>
    </row>
    <row r="513" spans="4:7" ht="14.25" customHeight="1">
      <c r="D513" s="21"/>
      <c r="G513" s="14"/>
    </row>
    <row r="514" spans="4:7" ht="14.25" customHeight="1">
      <c r="D514" s="21"/>
      <c r="G514" s="14"/>
    </row>
    <row r="515" spans="4:7" ht="14.25" customHeight="1">
      <c r="D515" s="21"/>
      <c r="G515" s="14"/>
    </row>
    <row r="516" spans="4:7" ht="14.25" customHeight="1">
      <c r="D516" s="21"/>
      <c r="G516" s="14"/>
    </row>
    <row r="517" spans="4:7" ht="14.25" customHeight="1">
      <c r="D517" s="21"/>
      <c r="G517" s="14"/>
    </row>
    <row r="518" spans="4:7" ht="14.25" customHeight="1">
      <c r="D518" s="21"/>
      <c r="G518" s="14"/>
    </row>
    <row r="519" spans="4:7" ht="14.25" customHeight="1">
      <c r="D519" s="21"/>
      <c r="G519" s="14"/>
    </row>
    <row r="520" spans="4:7" ht="14.25" customHeight="1">
      <c r="D520" s="21"/>
      <c r="G520" s="14"/>
    </row>
    <row r="521" spans="4:7" ht="14.25" customHeight="1">
      <c r="D521" s="21"/>
      <c r="G521" s="14"/>
    </row>
    <row r="522" spans="4:7" ht="14.25" customHeight="1">
      <c r="D522" s="21"/>
      <c r="G522" s="14"/>
    </row>
    <row r="523" spans="4:7" ht="14.25" customHeight="1">
      <c r="D523" s="21"/>
      <c r="G523" s="14"/>
    </row>
    <row r="524" spans="4:7" ht="14.25" customHeight="1">
      <c r="D524" s="21"/>
      <c r="G524" s="14"/>
    </row>
    <row r="525" spans="4:7" ht="14.25" customHeight="1">
      <c r="D525" s="21"/>
      <c r="G525" s="14"/>
    </row>
    <row r="526" spans="4:7" ht="14.25" customHeight="1">
      <c r="D526" s="21"/>
      <c r="G526" s="14"/>
    </row>
    <row r="527" spans="4:7" ht="14.25" customHeight="1">
      <c r="D527" s="21"/>
      <c r="G527" s="14"/>
    </row>
    <row r="528" spans="4:7" ht="14.25" customHeight="1">
      <c r="D528" s="21"/>
      <c r="G528" s="14"/>
    </row>
    <row r="529" spans="4:7" ht="14.25" customHeight="1">
      <c r="D529" s="21"/>
      <c r="G529" s="14"/>
    </row>
    <row r="530" spans="4:7" ht="14.25" customHeight="1">
      <c r="D530" s="21"/>
      <c r="G530" s="14"/>
    </row>
    <row r="531" spans="4:7" ht="14.25" customHeight="1">
      <c r="D531" s="21"/>
      <c r="G531" s="14"/>
    </row>
    <row r="532" spans="4:7" ht="14.25" customHeight="1">
      <c r="D532" s="21"/>
      <c r="G532" s="14"/>
    </row>
    <row r="533" spans="4:7" ht="14.25" customHeight="1">
      <c r="D533" s="21"/>
      <c r="G533" s="14"/>
    </row>
    <row r="534" spans="4:7" ht="14.25" customHeight="1">
      <c r="D534" s="21"/>
      <c r="G534" s="14"/>
    </row>
    <row r="535" spans="4:7" ht="14.25" customHeight="1">
      <c r="D535" s="21"/>
      <c r="G535" s="14"/>
    </row>
    <row r="536" spans="4:7" ht="14.25" customHeight="1">
      <c r="D536" s="21"/>
      <c r="G536" s="14"/>
    </row>
    <row r="537" spans="4:7" ht="14.25" customHeight="1">
      <c r="D537" s="21"/>
      <c r="G537" s="14"/>
    </row>
    <row r="538" spans="4:7" ht="14.25" customHeight="1">
      <c r="D538" s="21"/>
      <c r="G538" s="14"/>
    </row>
    <row r="539" spans="4:7" ht="14.25" customHeight="1">
      <c r="D539" s="21"/>
      <c r="G539" s="14"/>
    </row>
    <row r="540" spans="4:7" ht="14.25" customHeight="1">
      <c r="D540" s="21"/>
      <c r="G540" s="14"/>
    </row>
    <row r="541" spans="4:7" ht="14.25" customHeight="1">
      <c r="D541" s="21"/>
      <c r="G541" s="14"/>
    </row>
    <row r="542" spans="4:7" ht="14.25" customHeight="1">
      <c r="D542" s="21"/>
      <c r="G542" s="14"/>
    </row>
    <row r="543" spans="4:7" ht="14.25" customHeight="1">
      <c r="D543" s="21"/>
      <c r="G543" s="14"/>
    </row>
    <row r="544" spans="4:7" ht="14.25" customHeight="1">
      <c r="D544" s="21"/>
      <c r="G544" s="14"/>
    </row>
    <row r="545" spans="4:7" ht="14.25" customHeight="1">
      <c r="D545" s="21"/>
      <c r="G545" s="14"/>
    </row>
    <row r="546" spans="4:7" ht="14.25" customHeight="1">
      <c r="D546" s="21"/>
      <c r="G546" s="14"/>
    </row>
    <row r="547" spans="4:7" ht="14.25" customHeight="1">
      <c r="D547" s="21"/>
      <c r="G547" s="14"/>
    </row>
    <row r="548" spans="4:7" ht="14.25" customHeight="1">
      <c r="D548" s="21"/>
      <c r="G548" s="14"/>
    </row>
    <row r="549" spans="4:7" ht="14.25" customHeight="1">
      <c r="D549" s="21"/>
      <c r="G549" s="14"/>
    </row>
    <row r="550" spans="4:7" ht="14.25" customHeight="1">
      <c r="D550" s="21"/>
      <c r="G550" s="14"/>
    </row>
    <row r="551" spans="4:7" ht="14.25" customHeight="1">
      <c r="D551" s="21"/>
      <c r="G551" s="14"/>
    </row>
    <row r="552" spans="4:7" ht="14.25" customHeight="1">
      <c r="D552" s="21"/>
      <c r="G552" s="14"/>
    </row>
    <row r="553" spans="4:7" ht="14.25" customHeight="1">
      <c r="D553" s="21"/>
      <c r="G553" s="14"/>
    </row>
    <row r="554" spans="4:7" ht="14.25" customHeight="1">
      <c r="D554" s="21"/>
      <c r="G554" s="14"/>
    </row>
    <row r="555" spans="4:7" ht="14.25" customHeight="1">
      <c r="D555" s="21"/>
      <c r="G555" s="14"/>
    </row>
    <row r="556" spans="4:7" ht="14.25" customHeight="1">
      <c r="D556" s="21"/>
      <c r="G556" s="14"/>
    </row>
    <row r="557" spans="4:7" ht="14.25" customHeight="1">
      <c r="D557" s="21"/>
      <c r="G557" s="14"/>
    </row>
    <row r="558" spans="4:7" ht="14.25" customHeight="1">
      <c r="D558" s="21"/>
      <c r="G558" s="14"/>
    </row>
    <row r="559" spans="4:7" ht="14.25" customHeight="1">
      <c r="D559" s="21"/>
      <c r="G559" s="14"/>
    </row>
    <row r="560" spans="4:7" ht="14.25" customHeight="1">
      <c r="D560" s="21"/>
      <c r="G560" s="14"/>
    </row>
    <row r="561" spans="4:7" ht="14.25" customHeight="1">
      <c r="D561" s="21"/>
      <c r="G561" s="14"/>
    </row>
    <row r="562" spans="4:7" ht="14.25" customHeight="1">
      <c r="D562" s="21"/>
      <c r="G562" s="14"/>
    </row>
    <row r="563" spans="4:7" ht="14.25" customHeight="1">
      <c r="D563" s="21"/>
      <c r="G563" s="14"/>
    </row>
    <row r="564" spans="4:7" ht="14.25" customHeight="1">
      <c r="D564" s="21"/>
      <c r="G564" s="14"/>
    </row>
    <row r="565" spans="4:7" ht="14.25" customHeight="1">
      <c r="D565" s="21"/>
      <c r="G565" s="14"/>
    </row>
    <row r="566" spans="4:7" ht="14.25" customHeight="1">
      <c r="D566" s="21"/>
      <c r="G566" s="14"/>
    </row>
    <row r="567" spans="4:7" ht="14.25" customHeight="1">
      <c r="D567" s="21"/>
      <c r="G567" s="14"/>
    </row>
    <row r="568" spans="4:7" ht="14.25" customHeight="1">
      <c r="D568" s="21"/>
      <c r="G568" s="14"/>
    </row>
    <row r="569" spans="4:7" ht="14.25" customHeight="1">
      <c r="D569" s="21"/>
      <c r="G569" s="14"/>
    </row>
    <row r="570" spans="4:7" ht="14.25" customHeight="1">
      <c r="D570" s="21"/>
      <c r="G570" s="14"/>
    </row>
    <row r="571" spans="4:7" ht="14.25" customHeight="1">
      <c r="D571" s="21"/>
      <c r="G571" s="14"/>
    </row>
    <row r="572" spans="4:7" ht="14.25" customHeight="1">
      <c r="D572" s="21"/>
      <c r="G572" s="14"/>
    </row>
    <row r="573" spans="4:7" ht="14.25" customHeight="1">
      <c r="D573" s="21"/>
      <c r="G573" s="14"/>
    </row>
    <row r="574" spans="4:7" ht="14.25" customHeight="1">
      <c r="D574" s="21"/>
      <c r="G574" s="14"/>
    </row>
    <row r="575" spans="4:7" ht="14.25" customHeight="1">
      <c r="D575" s="21"/>
      <c r="G575" s="14"/>
    </row>
    <row r="576" spans="4:7" ht="14.25" customHeight="1">
      <c r="D576" s="21"/>
      <c r="G576" s="14"/>
    </row>
    <row r="577" spans="4:7" ht="14.25" customHeight="1">
      <c r="D577" s="21"/>
      <c r="G577" s="14"/>
    </row>
    <row r="578" spans="4:7" ht="14.25" customHeight="1">
      <c r="D578" s="21"/>
      <c r="G578" s="14"/>
    </row>
    <row r="579" spans="4:7" ht="14.25" customHeight="1">
      <c r="D579" s="21"/>
      <c r="G579" s="14"/>
    </row>
    <row r="580" spans="4:7" ht="14.25" customHeight="1">
      <c r="D580" s="21"/>
      <c r="G580" s="14"/>
    </row>
    <row r="581" spans="4:7" ht="14.25" customHeight="1">
      <c r="D581" s="21"/>
      <c r="G581" s="14"/>
    </row>
    <row r="582" spans="4:7" ht="14.25" customHeight="1">
      <c r="D582" s="21"/>
      <c r="G582" s="14"/>
    </row>
    <row r="583" spans="4:7" ht="14.25" customHeight="1">
      <c r="D583" s="21"/>
      <c r="G583" s="14"/>
    </row>
    <row r="584" spans="4:7" ht="14.25" customHeight="1">
      <c r="D584" s="21"/>
      <c r="G584" s="14"/>
    </row>
    <row r="585" spans="4:7" ht="14.25" customHeight="1">
      <c r="D585" s="21"/>
      <c r="G585" s="14"/>
    </row>
    <row r="586" spans="4:7" ht="14.25" customHeight="1">
      <c r="D586" s="21"/>
      <c r="G586" s="14"/>
    </row>
    <row r="587" spans="4:7" ht="14.25" customHeight="1">
      <c r="D587" s="21"/>
      <c r="G587" s="14"/>
    </row>
    <row r="588" spans="4:7" ht="14.25" customHeight="1">
      <c r="D588" s="21"/>
      <c r="G588" s="14"/>
    </row>
    <row r="589" spans="4:7" ht="14.25" customHeight="1">
      <c r="D589" s="21"/>
      <c r="G589" s="14"/>
    </row>
    <row r="590" spans="4:7" ht="14.25" customHeight="1">
      <c r="D590" s="21"/>
      <c r="G590" s="14"/>
    </row>
    <row r="591" spans="4:7" ht="14.25" customHeight="1">
      <c r="D591" s="21"/>
      <c r="G591" s="14"/>
    </row>
    <row r="592" spans="4:7" ht="14.25" customHeight="1">
      <c r="D592" s="21"/>
      <c r="G592" s="14"/>
    </row>
    <row r="593" spans="4:7" ht="14.25" customHeight="1">
      <c r="D593" s="21"/>
      <c r="G593" s="14"/>
    </row>
    <row r="594" spans="4:7" ht="14.25" customHeight="1">
      <c r="D594" s="21"/>
      <c r="G594" s="14"/>
    </row>
    <row r="595" spans="4:7" ht="14.25" customHeight="1">
      <c r="D595" s="21"/>
      <c r="G595" s="14"/>
    </row>
    <row r="596" spans="4:7" ht="14.25" customHeight="1">
      <c r="D596" s="21"/>
      <c r="G596" s="14"/>
    </row>
    <row r="597" spans="4:7" ht="14.25" customHeight="1">
      <c r="D597" s="21"/>
      <c r="G597" s="14"/>
    </row>
    <row r="598" spans="4:7" ht="14.25" customHeight="1">
      <c r="D598" s="21"/>
      <c r="G598" s="14"/>
    </row>
    <row r="599" spans="4:7" ht="14.25" customHeight="1">
      <c r="D599" s="21"/>
      <c r="G599" s="14"/>
    </row>
    <row r="600" spans="4:7" ht="14.25" customHeight="1">
      <c r="D600" s="21"/>
      <c r="G600" s="14"/>
    </row>
    <row r="601" spans="4:7" ht="14.25" customHeight="1">
      <c r="D601" s="21"/>
      <c r="G601" s="14"/>
    </row>
    <row r="602" spans="4:7" ht="14.25" customHeight="1">
      <c r="D602" s="21"/>
      <c r="G602" s="14"/>
    </row>
    <row r="603" spans="4:7" ht="14.25" customHeight="1">
      <c r="D603" s="21"/>
      <c r="G603" s="14"/>
    </row>
    <row r="604" spans="4:7" ht="14.25" customHeight="1">
      <c r="D604" s="21"/>
      <c r="G604" s="14"/>
    </row>
    <row r="605" spans="4:7" ht="14.25" customHeight="1">
      <c r="D605" s="21"/>
      <c r="G605" s="14"/>
    </row>
    <row r="606" spans="4:7" ht="14.25" customHeight="1">
      <c r="D606" s="21"/>
      <c r="G606" s="14"/>
    </row>
    <row r="607" spans="4:7" ht="14.25" customHeight="1">
      <c r="D607" s="21"/>
      <c r="G607" s="14"/>
    </row>
    <row r="608" spans="4:7" ht="14.25" customHeight="1">
      <c r="D608" s="21"/>
      <c r="G608" s="14"/>
    </row>
    <row r="609" spans="4:7" ht="14.25" customHeight="1">
      <c r="D609" s="21"/>
      <c r="G609" s="14"/>
    </row>
    <row r="610" spans="4:7" ht="14.25" customHeight="1">
      <c r="D610" s="21"/>
      <c r="G610" s="14"/>
    </row>
    <row r="611" spans="4:7" ht="14.25" customHeight="1">
      <c r="D611" s="21"/>
      <c r="G611" s="14"/>
    </row>
    <row r="612" spans="4:7" ht="14.25" customHeight="1">
      <c r="D612" s="21"/>
      <c r="G612" s="14"/>
    </row>
    <row r="613" spans="4:7" ht="14.25" customHeight="1">
      <c r="D613" s="21"/>
      <c r="G613" s="14"/>
    </row>
    <row r="614" spans="4:7" ht="14.25" customHeight="1">
      <c r="D614" s="21"/>
      <c r="G614" s="14"/>
    </row>
    <row r="615" spans="4:7" ht="14.25" customHeight="1">
      <c r="D615" s="21"/>
      <c r="G615" s="14"/>
    </row>
    <row r="616" spans="4:7" ht="14.25" customHeight="1">
      <c r="D616" s="21"/>
      <c r="G616" s="14"/>
    </row>
    <row r="617" spans="4:7" ht="14.25" customHeight="1">
      <c r="D617" s="21"/>
      <c r="G617" s="14"/>
    </row>
    <row r="618" spans="4:7" ht="14.25" customHeight="1">
      <c r="D618" s="21"/>
      <c r="G618" s="14"/>
    </row>
    <row r="619" spans="4:7" ht="14.25" customHeight="1">
      <c r="D619" s="21"/>
      <c r="G619" s="14"/>
    </row>
    <row r="620" spans="4:7" ht="14.25" customHeight="1">
      <c r="D620" s="21"/>
      <c r="G620" s="14"/>
    </row>
    <row r="621" spans="4:7" ht="14.25" customHeight="1">
      <c r="D621" s="21"/>
      <c r="G621" s="14"/>
    </row>
    <row r="622" spans="4:7" ht="14.25" customHeight="1">
      <c r="D622" s="21"/>
      <c r="G622" s="14"/>
    </row>
    <row r="623" spans="4:7" ht="14.25" customHeight="1">
      <c r="D623" s="21"/>
      <c r="G623" s="14"/>
    </row>
    <row r="624" spans="4:7" ht="14.25" customHeight="1">
      <c r="D624" s="21"/>
      <c r="G624" s="14"/>
    </row>
    <row r="625" spans="4:7" ht="14.25" customHeight="1">
      <c r="D625" s="21"/>
      <c r="G625" s="14"/>
    </row>
    <row r="626" spans="4:7" ht="14.25" customHeight="1">
      <c r="D626" s="21"/>
      <c r="G626" s="14"/>
    </row>
    <row r="627" spans="4:7" ht="14.25" customHeight="1">
      <c r="D627" s="21"/>
      <c r="G627" s="14"/>
    </row>
    <row r="628" spans="4:7" ht="14.25" customHeight="1">
      <c r="D628" s="21"/>
      <c r="G628" s="14"/>
    </row>
    <row r="629" spans="4:7" ht="14.25" customHeight="1">
      <c r="D629" s="21"/>
      <c r="G629" s="14"/>
    </row>
    <row r="630" spans="4:7" ht="14.25" customHeight="1">
      <c r="D630" s="21"/>
      <c r="G630" s="14"/>
    </row>
    <row r="631" spans="4:7" ht="14.25" customHeight="1">
      <c r="D631" s="21"/>
      <c r="G631" s="14"/>
    </row>
    <row r="632" spans="4:7" ht="14.25" customHeight="1">
      <c r="D632" s="21"/>
      <c r="G632" s="14"/>
    </row>
    <row r="633" spans="4:7" ht="14.25" customHeight="1">
      <c r="D633" s="21"/>
      <c r="G633" s="14"/>
    </row>
    <row r="634" spans="4:7" ht="14.25" customHeight="1">
      <c r="D634" s="21"/>
      <c r="G634" s="14"/>
    </row>
    <row r="635" spans="4:7" ht="14.25" customHeight="1">
      <c r="D635" s="21"/>
      <c r="G635" s="14"/>
    </row>
    <row r="636" spans="4:7" ht="14.25" customHeight="1">
      <c r="D636" s="21"/>
      <c r="G636" s="14"/>
    </row>
    <row r="637" spans="4:7" ht="14.25" customHeight="1">
      <c r="D637" s="21"/>
      <c r="G637" s="14"/>
    </row>
    <row r="638" spans="4:7" ht="14.25" customHeight="1">
      <c r="D638" s="21"/>
      <c r="G638" s="14"/>
    </row>
    <row r="639" spans="4:7" ht="14.25" customHeight="1">
      <c r="D639" s="21"/>
      <c r="G639" s="14"/>
    </row>
    <row r="640" spans="4:7" ht="14.25" customHeight="1">
      <c r="D640" s="21"/>
      <c r="G640" s="14"/>
    </row>
    <row r="641" spans="4:7" ht="14.25" customHeight="1">
      <c r="D641" s="21"/>
      <c r="G641" s="14"/>
    </row>
    <row r="642" spans="4:7" ht="14.25" customHeight="1">
      <c r="D642" s="21"/>
      <c r="G642" s="14"/>
    </row>
    <row r="643" spans="4:7" ht="14.25" customHeight="1">
      <c r="D643" s="21"/>
      <c r="G643" s="14"/>
    </row>
    <row r="644" spans="4:7" ht="14.25" customHeight="1">
      <c r="D644" s="21"/>
      <c r="G644" s="14"/>
    </row>
    <row r="645" spans="4:7" ht="14.25" customHeight="1">
      <c r="D645" s="21"/>
      <c r="G645" s="14"/>
    </row>
    <row r="646" spans="4:7" ht="14.25" customHeight="1">
      <c r="D646" s="21"/>
      <c r="G646" s="14"/>
    </row>
    <row r="647" spans="4:7" ht="14.25" customHeight="1">
      <c r="D647" s="21"/>
      <c r="G647" s="14"/>
    </row>
    <row r="648" spans="4:7" ht="14.25" customHeight="1">
      <c r="D648" s="21"/>
      <c r="G648" s="14"/>
    </row>
    <row r="649" spans="4:7" ht="14.25" customHeight="1">
      <c r="D649" s="21"/>
      <c r="G649" s="14"/>
    </row>
    <row r="650" spans="4:7" ht="14.25" customHeight="1">
      <c r="D650" s="21"/>
      <c r="G650" s="14"/>
    </row>
    <row r="651" spans="4:7" ht="14.25" customHeight="1">
      <c r="D651" s="21"/>
      <c r="G651" s="14"/>
    </row>
    <row r="652" spans="4:7" ht="14.25" customHeight="1">
      <c r="D652" s="21"/>
      <c r="G652" s="14"/>
    </row>
    <row r="653" spans="4:7" ht="14.25" customHeight="1">
      <c r="D653" s="21"/>
      <c r="G653" s="14"/>
    </row>
    <row r="654" spans="4:7" ht="14.25" customHeight="1">
      <c r="D654" s="21"/>
      <c r="G654" s="14"/>
    </row>
    <row r="655" spans="4:7" ht="14.25" customHeight="1">
      <c r="D655" s="21"/>
      <c r="G655" s="14"/>
    </row>
    <row r="656" spans="4:7" ht="14.25" customHeight="1">
      <c r="D656" s="21"/>
      <c r="G656" s="14"/>
    </row>
    <row r="657" spans="4:7" ht="14.25" customHeight="1">
      <c r="D657" s="21"/>
      <c r="G657" s="14"/>
    </row>
    <row r="658" spans="4:7" ht="14.25" customHeight="1">
      <c r="D658" s="21"/>
      <c r="G658" s="14"/>
    </row>
    <row r="659" spans="4:7" ht="14.25" customHeight="1">
      <c r="D659" s="21"/>
      <c r="G659" s="14"/>
    </row>
    <row r="660" spans="4:7" ht="14.25" customHeight="1">
      <c r="D660" s="21"/>
      <c r="G660" s="14"/>
    </row>
    <row r="661" spans="4:7" ht="14.25" customHeight="1">
      <c r="D661" s="21"/>
      <c r="G661" s="14"/>
    </row>
    <row r="662" spans="4:7" ht="14.25" customHeight="1">
      <c r="D662" s="21"/>
      <c r="G662" s="14"/>
    </row>
    <row r="663" spans="4:7" ht="14.25" customHeight="1">
      <c r="D663" s="21"/>
      <c r="G663" s="14"/>
    </row>
    <row r="664" spans="4:7" ht="14.25" customHeight="1">
      <c r="D664" s="21"/>
      <c r="G664" s="14"/>
    </row>
    <row r="665" spans="4:7" ht="14.25" customHeight="1">
      <c r="D665" s="21"/>
      <c r="G665" s="14"/>
    </row>
    <row r="666" spans="4:7" ht="14.25" customHeight="1">
      <c r="D666" s="21"/>
      <c r="G666" s="14"/>
    </row>
    <row r="667" spans="4:7" ht="14.25" customHeight="1">
      <c r="D667" s="21"/>
      <c r="G667" s="14"/>
    </row>
    <row r="668" spans="4:7" ht="14.25" customHeight="1">
      <c r="D668" s="21"/>
      <c r="G668" s="14"/>
    </row>
    <row r="669" spans="4:7" ht="14.25" customHeight="1">
      <c r="D669" s="21"/>
      <c r="G669" s="14"/>
    </row>
    <row r="670" spans="4:7" ht="14.25" customHeight="1">
      <c r="D670" s="21"/>
      <c r="G670" s="14"/>
    </row>
    <row r="671" spans="4:7" ht="14.25" customHeight="1">
      <c r="D671" s="21"/>
      <c r="G671" s="14"/>
    </row>
    <row r="672" spans="4:7" ht="14.25" customHeight="1">
      <c r="D672" s="21"/>
      <c r="G672" s="14"/>
    </row>
    <row r="673" spans="4:7" ht="14.25" customHeight="1">
      <c r="D673" s="21"/>
      <c r="G673" s="14"/>
    </row>
    <row r="674" spans="4:7" ht="14.25" customHeight="1">
      <c r="D674" s="21"/>
      <c r="G674" s="14"/>
    </row>
    <row r="675" spans="4:7" ht="14.25" customHeight="1">
      <c r="D675" s="21"/>
      <c r="G675" s="14"/>
    </row>
    <row r="676" spans="4:7" ht="14.25" customHeight="1">
      <c r="D676" s="21"/>
      <c r="G676" s="14"/>
    </row>
    <row r="677" spans="4:7" ht="14.25" customHeight="1">
      <c r="D677" s="21"/>
      <c r="G677" s="14"/>
    </row>
    <row r="678" spans="4:7" ht="14.25" customHeight="1">
      <c r="D678" s="21"/>
      <c r="G678" s="14"/>
    </row>
    <row r="679" spans="4:7" ht="14.25" customHeight="1">
      <c r="D679" s="21"/>
      <c r="G679" s="14"/>
    </row>
    <row r="680" spans="4:7" ht="14.25" customHeight="1">
      <c r="D680" s="21"/>
      <c r="G680" s="14"/>
    </row>
    <row r="681" spans="4:7" ht="14.25" customHeight="1">
      <c r="D681" s="21"/>
      <c r="G681" s="14"/>
    </row>
    <row r="682" spans="4:7" ht="14.25" customHeight="1">
      <c r="D682" s="21"/>
      <c r="G682" s="14"/>
    </row>
    <row r="683" spans="4:7" ht="14.25" customHeight="1">
      <c r="D683" s="21"/>
      <c r="G683" s="14"/>
    </row>
    <row r="684" spans="4:7" ht="14.25" customHeight="1">
      <c r="D684" s="21"/>
      <c r="G684" s="14"/>
    </row>
    <row r="685" spans="4:7" ht="14.25" customHeight="1">
      <c r="D685" s="21"/>
      <c r="G685" s="14"/>
    </row>
    <row r="686" spans="4:7" ht="14.25" customHeight="1">
      <c r="D686" s="21"/>
      <c r="G686" s="14"/>
    </row>
    <row r="687" spans="4:7" ht="14.25" customHeight="1">
      <c r="D687" s="21"/>
      <c r="G687" s="14"/>
    </row>
    <row r="688" spans="4:7" ht="14.25" customHeight="1">
      <c r="D688" s="21"/>
      <c r="G688" s="14"/>
    </row>
    <row r="689" spans="4:7" ht="14.25" customHeight="1">
      <c r="D689" s="21"/>
      <c r="G689" s="14"/>
    </row>
    <row r="690" spans="4:7" ht="14.25" customHeight="1">
      <c r="D690" s="21"/>
      <c r="G690" s="14"/>
    </row>
    <row r="691" spans="4:7" ht="14.25" customHeight="1">
      <c r="D691" s="21"/>
      <c r="G691" s="14"/>
    </row>
    <row r="692" spans="4:7" ht="14.25" customHeight="1">
      <c r="D692" s="21"/>
      <c r="G692" s="14"/>
    </row>
    <row r="693" spans="4:7" ht="14.25" customHeight="1">
      <c r="D693" s="21"/>
      <c r="G693" s="14"/>
    </row>
    <row r="694" spans="4:7" ht="14.25" customHeight="1">
      <c r="D694" s="21"/>
      <c r="G694" s="14"/>
    </row>
    <row r="695" spans="4:7" ht="14.25" customHeight="1">
      <c r="D695" s="21"/>
      <c r="G695" s="14"/>
    </row>
    <row r="696" spans="4:7" ht="14.25" customHeight="1">
      <c r="D696" s="21"/>
      <c r="G696" s="14"/>
    </row>
    <row r="697" spans="4:7" ht="14.25" customHeight="1">
      <c r="D697" s="21"/>
      <c r="G697" s="14"/>
    </row>
    <row r="698" spans="4:7" ht="14.25" customHeight="1">
      <c r="D698" s="21"/>
      <c r="G698" s="14"/>
    </row>
    <row r="699" spans="4:7" ht="14.25" customHeight="1">
      <c r="D699" s="21"/>
      <c r="G699" s="14"/>
    </row>
    <row r="700" spans="4:7" ht="14.25" customHeight="1">
      <c r="D700" s="21"/>
      <c r="G700" s="14"/>
    </row>
    <row r="701" spans="4:7" ht="14.25" customHeight="1">
      <c r="D701" s="21"/>
      <c r="G701" s="14"/>
    </row>
    <row r="702" spans="4:7" ht="14.25" customHeight="1">
      <c r="D702" s="21"/>
      <c r="G702" s="14"/>
    </row>
    <row r="703" spans="4:7" ht="14.25" customHeight="1">
      <c r="D703" s="21"/>
      <c r="G703" s="14"/>
    </row>
    <row r="704" spans="4:7" ht="14.25" customHeight="1">
      <c r="D704" s="21"/>
      <c r="G704" s="14"/>
    </row>
    <row r="705" spans="4:7" ht="14.25" customHeight="1">
      <c r="D705" s="21"/>
      <c r="G705" s="14"/>
    </row>
    <row r="706" spans="4:7" ht="14.25" customHeight="1">
      <c r="D706" s="21"/>
      <c r="G706" s="14"/>
    </row>
    <row r="707" spans="4:7" ht="14.25" customHeight="1">
      <c r="D707" s="21"/>
      <c r="G707" s="14"/>
    </row>
    <row r="708" spans="4:7" ht="14.25" customHeight="1">
      <c r="D708" s="21"/>
      <c r="G708" s="14"/>
    </row>
    <row r="709" spans="4:7" ht="14.25" customHeight="1">
      <c r="D709" s="21"/>
      <c r="G709" s="14"/>
    </row>
    <row r="710" spans="4:7" ht="14.25" customHeight="1">
      <c r="D710" s="21"/>
      <c r="G710" s="14"/>
    </row>
    <row r="711" spans="4:7" ht="14.25" customHeight="1">
      <c r="D711" s="21"/>
      <c r="G711" s="14"/>
    </row>
    <row r="712" spans="4:7" ht="14.25" customHeight="1">
      <c r="D712" s="21"/>
      <c r="G712" s="14"/>
    </row>
    <row r="713" spans="4:7" ht="14.25" customHeight="1">
      <c r="D713" s="21"/>
      <c r="G713" s="14"/>
    </row>
    <row r="714" spans="4:7" ht="14.25" customHeight="1">
      <c r="D714" s="21"/>
      <c r="G714" s="14"/>
    </row>
    <row r="715" spans="4:7" ht="14.25" customHeight="1">
      <c r="D715" s="21"/>
      <c r="G715" s="14"/>
    </row>
    <row r="716" spans="4:7" ht="14.25" customHeight="1">
      <c r="D716" s="21"/>
      <c r="G716" s="14"/>
    </row>
    <row r="717" spans="4:7" ht="14.25" customHeight="1">
      <c r="D717" s="21"/>
      <c r="G717" s="14"/>
    </row>
    <row r="718" spans="4:7" ht="14.25" customHeight="1">
      <c r="D718" s="21"/>
      <c r="G718" s="14"/>
    </row>
    <row r="719" spans="4:7" ht="14.25" customHeight="1">
      <c r="D719" s="21"/>
      <c r="G719" s="14"/>
    </row>
    <row r="720" spans="4:7" ht="14.25" customHeight="1">
      <c r="D720" s="21"/>
      <c r="G720" s="14"/>
    </row>
    <row r="721" spans="4:7" ht="14.25" customHeight="1">
      <c r="D721" s="21"/>
      <c r="G721" s="14"/>
    </row>
    <row r="722" spans="4:7" ht="14.25" customHeight="1">
      <c r="D722" s="21"/>
      <c r="G722" s="14"/>
    </row>
    <row r="723" spans="4:7" ht="14.25" customHeight="1">
      <c r="D723" s="21"/>
      <c r="G723" s="14"/>
    </row>
    <row r="724" spans="4:7" ht="14.25" customHeight="1">
      <c r="D724" s="21"/>
      <c r="G724" s="14"/>
    </row>
    <row r="725" spans="4:7" ht="14.25" customHeight="1">
      <c r="D725" s="21"/>
      <c r="G725" s="14"/>
    </row>
    <row r="726" spans="4:7" ht="14.25" customHeight="1">
      <c r="D726" s="21"/>
      <c r="G726" s="14"/>
    </row>
    <row r="727" spans="4:7" ht="14.25" customHeight="1">
      <c r="D727" s="21"/>
      <c r="G727" s="14"/>
    </row>
    <row r="728" spans="4:7" ht="14.25" customHeight="1">
      <c r="D728" s="21"/>
      <c r="G728" s="14"/>
    </row>
    <row r="729" spans="4:7" ht="14.25" customHeight="1">
      <c r="D729" s="21"/>
      <c r="G729" s="14"/>
    </row>
    <row r="730" spans="4:7" ht="14.25" customHeight="1">
      <c r="D730" s="21"/>
      <c r="G730" s="14"/>
    </row>
    <row r="731" spans="4:7" ht="14.25" customHeight="1">
      <c r="D731" s="21"/>
      <c r="G731" s="14"/>
    </row>
    <row r="732" spans="4:7" ht="14.25" customHeight="1">
      <c r="D732" s="21"/>
      <c r="G732" s="14"/>
    </row>
    <row r="733" spans="4:7" ht="14.25" customHeight="1">
      <c r="D733" s="21"/>
      <c r="G733" s="14"/>
    </row>
    <row r="734" spans="4:7" ht="14.25" customHeight="1">
      <c r="D734" s="21"/>
      <c r="G734" s="14"/>
    </row>
    <row r="735" spans="4:7" ht="14.25" customHeight="1">
      <c r="D735" s="21"/>
      <c r="G735" s="14"/>
    </row>
    <row r="736" spans="4:7" ht="14.25" customHeight="1">
      <c r="D736" s="21"/>
      <c r="G736" s="14"/>
    </row>
    <row r="737" spans="4:7" ht="14.25" customHeight="1">
      <c r="D737" s="21"/>
      <c r="G737" s="14"/>
    </row>
    <row r="738" spans="4:7" ht="14.25" customHeight="1">
      <c r="D738" s="21"/>
      <c r="G738" s="14"/>
    </row>
    <row r="739" spans="4:7" ht="14.25" customHeight="1">
      <c r="D739" s="21"/>
      <c r="G739" s="14"/>
    </row>
    <row r="740" spans="4:7" ht="14.25" customHeight="1">
      <c r="D740" s="21"/>
      <c r="G740" s="14"/>
    </row>
    <row r="741" spans="4:7" ht="14.25" customHeight="1">
      <c r="D741" s="21"/>
      <c r="G741" s="14"/>
    </row>
    <row r="742" spans="4:7" ht="14.25" customHeight="1">
      <c r="D742" s="21"/>
      <c r="G742" s="14"/>
    </row>
    <row r="743" spans="4:7" ht="14.25" customHeight="1">
      <c r="D743" s="21"/>
      <c r="G743" s="14"/>
    </row>
    <row r="744" spans="4:7" ht="14.25" customHeight="1">
      <c r="D744" s="21"/>
      <c r="G744" s="14"/>
    </row>
    <row r="745" spans="4:7" ht="14.25" customHeight="1">
      <c r="D745" s="21"/>
      <c r="G745" s="14"/>
    </row>
    <row r="746" spans="4:7" ht="14.25" customHeight="1">
      <c r="D746" s="21"/>
      <c r="G746" s="14"/>
    </row>
    <row r="747" spans="4:7" ht="14.25" customHeight="1">
      <c r="D747" s="21"/>
      <c r="G747" s="14"/>
    </row>
    <row r="748" spans="4:7" ht="14.25" customHeight="1">
      <c r="D748" s="21"/>
      <c r="G748" s="14"/>
    </row>
    <row r="749" spans="4:7" ht="14.25" customHeight="1">
      <c r="D749" s="21"/>
      <c r="G749" s="14"/>
    </row>
    <row r="750" spans="4:7" ht="14.25" customHeight="1">
      <c r="D750" s="21"/>
      <c r="G750" s="14"/>
    </row>
    <row r="751" spans="4:7" ht="14.25" customHeight="1">
      <c r="D751" s="21"/>
      <c r="G751" s="14"/>
    </row>
    <row r="752" spans="4:7" ht="14.25" customHeight="1">
      <c r="D752" s="21"/>
      <c r="G752" s="14"/>
    </row>
    <row r="753" spans="4:7" ht="14.25" customHeight="1">
      <c r="D753" s="21"/>
      <c r="G753" s="14"/>
    </row>
    <row r="754" spans="4:7" ht="14.25" customHeight="1">
      <c r="D754" s="21"/>
      <c r="G754" s="14"/>
    </row>
    <row r="755" spans="4:7" ht="14.25" customHeight="1">
      <c r="D755" s="21"/>
      <c r="G755" s="14"/>
    </row>
    <row r="756" spans="4:7" ht="14.25" customHeight="1">
      <c r="D756" s="21"/>
      <c r="G756" s="14"/>
    </row>
    <row r="757" spans="4:7" ht="14.25" customHeight="1">
      <c r="D757" s="21"/>
      <c r="G757" s="14"/>
    </row>
    <row r="758" spans="4:7" ht="14.25" customHeight="1">
      <c r="D758" s="21"/>
      <c r="G758" s="14"/>
    </row>
    <row r="759" spans="4:7" ht="14.25" customHeight="1">
      <c r="D759" s="21"/>
      <c r="G759" s="14"/>
    </row>
    <row r="760" spans="4:7" ht="14.25" customHeight="1">
      <c r="D760" s="21"/>
      <c r="G760" s="14"/>
    </row>
    <row r="761" spans="4:7" ht="14.25" customHeight="1">
      <c r="D761" s="21"/>
      <c r="G761" s="14"/>
    </row>
    <row r="762" spans="4:7" ht="14.25" customHeight="1">
      <c r="D762" s="21"/>
      <c r="G762" s="14"/>
    </row>
    <row r="763" spans="4:7" ht="14.25" customHeight="1">
      <c r="D763" s="21"/>
      <c r="G763" s="14"/>
    </row>
    <row r="764" spans="4:7" ht="14.25" customHeight="1">
      <c r="D764" s="21"/>
      <c r="G764" s="14"/>
    </row>
    <row r="765" spans="4:7" ht="14.25" customHeight="1">
      <c r="D765" s="21"/>
      <c r="G765" s="14"/>
    </row>
    <row r="766" spans="4:7" ht="14.25" customHeight="1">
      <c r="D766" s="21"/>
      <c r="G766" s="14"/>
    </row>
    <row r="767" spans="4:7" ht="14.25" customHeight="1">
      <c r="D767" s="21"/>
      <c r="G767" s="14"/>
    </row>
    <row r="768" spans="4:7" ht="14.25" customHeight="1">
      <c r="D768" s="21"/>
      <c r="G768" s="14"/>
    </row>
    <row r="769" spans="4:7" ht="14.25" customHeight="1">
      <c r="D769" s="21"/>
      <c r="G769" s="14"/>
    </row>
    <row r="770" spans="4:7" ht="14.25" customHeight="1">
      <c r="D770" s="21"/>
      <c r="G770" s="14"/>
    </row>
    <row r="771" spans="4:7" ht="14.25" customHeight="1">
      <c r="D771" s="21"/>
      <c r="G771" s="14"/>
    </row>
    <row r="772" spans="4:7" ht="14.25" customHeight="1">
      <c r="D772" s="21"/>
      <c r="G772" s="14"/>
    </row>
    <row r="773" spans="4:7" ht="14.25" customHeight="1">
      <c r="D773" s="21"/>
      <c r="G773" s="14"/>
    </row>
    <row r="774" spans="4:7" ht="14.25" customHeight="1">
      <c r="D774" s="21"/>
      <c r="G774" s="14"/>
    </row>
    <row r="775" spans="4:7" ht="14.25" customHeight="1">
      <c r="D775" s="21"/>
      <c r="G775" s="14"/>
    </row>
    <row r="776" spans="4:7" ht="14.25" customHeight="1">
      <c r="D776" s="21"/>
      <c r="G776" s="14"/>
    </row>
    <row r="777" spans="4:7" ht="14.25" customHeight="1">
      <c r="D777" s="21"/>
      <c r="G777" s="14"/>
    </row>
    <row r="778" spans="4:7" ht="14.25" customHeight="1">
      <c r="D778" s="21"/>
      <c r="G778" s="14"/>
    </row>
    <row r="779" spans="4:7" ht="14.25" customHeight="1">
      <c r="D779" s="21"/>
      <c r="G779" s="14"/>
    </row>
    <row r="780" spans="4:7" ht="14.25" customHeight="1">
      <c r="D780" s="21"/>
      <c r="G780" s="14"/>
    </row>
    <row r="781" spans="4:7" ht="14.25" customHeight="1">
      <c r="D781" s="21"/>
      <c r="G781" s="14"/>
    </row>
    <row r="782" spans="4:7" ht="14.25" customHeight="1">
      <c r="D782" s="21"/>
      <c r="G782" s="14"/>
    </row>
    <row r="783" spans="4:7" ht="14.25" customHeight="1">
      <c r="D783" s="21"/>
      <c r="G783" s="14"/>
    </row>
    <row r="784" spans="4:7" ht="14.25" customHeight="1">
      <c r="D784" s="21"/>
      <c r="G784" s="14"/>
    </row>
    <row r="785" spans="4:7" ht="14.25" customHeight="1">
      <c r="D785" s="21"/>
      <c r="G785" s="14"/>
    </row>
    <row r="786" spans="4:7" ht="14.25" customHeight="1">
      <c r="D786" s="21"/>
      <c r="G786" s="14"/>
    </row>
    <row r="787" spans="4:7" ht="14.25" customHeight="1">
      <c r="D787" s="21"/>
      <c r="G787" s="14"/>
    </row>
    <row r="788" spans="4:7" ht="14.25" customHeight="1">
      <c r="D788" s="21"/>
      <c r="G788" s="14"/>
    </row>
    <row r="789" spans="4:7" ht="14.25" customHeight="1">
      <c r="D789" s="21"/>
      <c r="G789" s="14"/>
    </row>
    <row r="790" spans="4:7" ht="14.25" customHeight="1">
      <c r="D790" s="21"/>
      <c r="G790" s="14"/>
    </row>
    <row r="791" spans="4:7" ht="14.25" customHeight="1">
      <c r="D791" s="21"/>
      <c r="G791" s="14"/>
    </row>
    <row r="792" spans="4:7" ht="14.25" customHeight="1">
      <c r="D792" s="21"/>
      <c r="G792" s="14"/>
    </row>
    <row r="793" spans="4:7" ht="14.25" customHeight="1">
      <c r="D793" s="21"/>
      <c r="G793" s="14"/>
    </row>
    <row r="794" spans="4:7" ht="14.25" customHeight="1">
      <c r="D794" s="21"/>
      <c r="G794" s="14"/>
    </row>
    <row r="795" spans="4:7" ht="14.25" customHeight="1">
      <c r="D795" s="21"/>
      <c r="G795" s="14"/>
    </row>
    <row r="796" spans="4:7" ht="14.25" customHeight="1">
      <c r="D796" s="21"/>
      <c r="G796" s="14"/>
    </row>
    <row r="797" spans="4:7" ht="14.25" customHeight="1">
      <c r="D797" s="21"/>
      <c r="G797" s="14"/>
    </row>
    <row r="798" spans="4:7" ht="14.25" customHeight="1">
      <c r="D798" s="21"/>
      <c r="G798" s="14"/>
    </row>
    <row r="799" spans="4:7" ht="14.25" customHeight="1">
      <c r="D799" s="21"/>
      <c r="G799" s="14"/>
    </row>
    <row r="800" spans="4:7" ht="14.25" customHeight="1">
      <c r="D800" s="21"/>
      <c r="G800" s="14"/>
    </row>
    <row r="801" spans="4:7" ht="14.25" customHeight="1">
      <c r="D801" s="21"/>
      <c r="G801" s="14"/>
    </row>
    <row r="802" spans="4:7" ht="14.25" customHeight="1">
      <c r="D802" s="21"/>
      <c r="G802" s="14"/>
    </row>
    <row r="803" spans="4:7" ht="14.25" customHeight="1">
      <c r="D803" s="21"/>
      <c r="G803" s="14"/>
    </row>
    <row r="804" spans="4:7" ht="14.25" customHeight="1">
      <c r="D804" s="21"/>
      <c r="G804" s="14"/>
    </row>
    <row r="805" spans="4:7" ht="14.25" customHeight="1">
      <c r="D805" s="21"/>
      <c r="G805" s="14"/>
    </row>
    <row r="806" spans="4:7" ht="14.25" customHeight="1">
      <c r="D806" s="21"/>
      <c r="G806" s="14"/>
    </row>
    <row r="807" spans="4:7" ht="14.25" customHeight="1">
      <c r="D807" s="21"/>
      <c r="G807" s="14"/>
    </row>
    <row r="808" spans="4:7" ht="14.25" customHeight="1">
      <c r="D808" s="21"/>
      <c r="G808" s="14"/>
    </row>
    <row r="809" spans="4:7" ht="14.25" customHeight="1">
      <c r="D809" s="21"/>
      <c r="G809" s="14"/>
    </row>
    <row r="810" spans="4:7" ht="14.25" customHeight="1">
      <c r="D810" s="21"/>
      <c r="G810" s="14"/>
    </row>
    <row r="811" spans="4:7" ht="14.25" customHeight="1">
      <c r="D811" s="21"/>
      <c r="G811" s="14"/>
    </row>
    <row r="812" spans="4:7" ht="14.25" customHeight="1">
      <c r="D812" s="21"/>
      <c r="G812" s="14"/>
    </row>
    <row r="813" spans="4:7" ht="14.25" customHeight="1">
      <c r="D813" s="21"/>
      <c r="G813" s="14"/>
    </row>
    <row r="814" spans="4:7" ht="14.25" customHeight="1">
      <c r="D814" s="21"/>
      <c r="G814" s="14"/>
    </row>
    <row r="815" spans="4:7" ht="14.25" customHeight="1">
      <c r="D815" s="21"/>
      <c r="G815" s="14"/>
    </row>
    <row r="816" spans="4:7" ht="14.25" customHeight="1">
      <c r="D816" s="21"/>
      <c r="G816" s="14"/>
    </row>
    <row r="817" spans="4:7" ht="14.25" customHeight="1">
      <c r="D817" s="21"/>
      <c r="G817" s="14"/>
    </row>
    <row r="818" spans="4:7" ht="14.25" customHeight="1">
      <c r="D818" s="21"/>
      <c r="G818" s="14"/>
    </row>
    <row r="819" spans="4:7" ht="14.25" customHeight="1">
      <c r="D819" s="21"/>
      <c r="G819" s="14"/>
    </row>
    <row r="820" spans="4:7" ht="14.25" customHeight="1">
      <c r="D820" s="21"/>
      <c r="G820" s="14"/>
    </row>
    <row r="821" spans="4:7" ht="14.25" customHeight="1">
      <c r="D821" s="21"/>
      <c r="G821" s="14"/>
    </row>
    <row r="822" spans="4:7" ht="14.25" customHeight="1">
      <c r="D822" s="21"/>
      <c r="G822" s="14"/>
    </row>
    <row r="823" spans="4:7" ht="14.25" customHeight="1">
      <c r="D823" s="21"/>
      <c r="G823" s="14"/>
    </row>
    <row r="824" spans="4:7" ht="14.25" customHeight="1">
      <c r="D824" s="21"/>
      <c r="G824" s="14"/>
    </row>
    <row r="825" spans="4:7" ht="14.25" customHeight="1">
      <c r="D825" s="21"/>
      <c r="G825" s="14"/>
    </row>
    <row r="826" spans="4:7" ht="14.25" customHeight="1">
      <c r="D826" s="21"/>
      <c r="G826" s="14"/>
    </row>
    <row r="827" spans="4:7" ht="14.25" customHeight="1">
      <c r="D827" s="21"/>
      <c r="G827" s="14"/>
    </row>
    <row r="828" spans="4:7" ht="14.25" customHeight="1">
      <c r="D828" s="21"/>
      <c r="G828" s="14"/>
    </row>
    <row r="829" spans="4:7" ht="14.25" customHeight="1">
      <c r="D829" s="21"/>
      <c r="G829" s="14"/>
    </row>
    <row r="830" spans="4:7" ht="14.25" customHeight="1">
      <c r="D830" s="21"/>
      <c r="G830" s="14"/>
    </row>
    <row r="831" spans="4:7" ht="14.25" customHeight="1">
      <c r="D831" s="21"/>
      <c r="G831" s="14"/>
    </row>
    <row r="832" spans="4:7" ht="14.25" customHeight="1">
      <c r="D832" s="21"/>
      <c r="G832" s="14"/>
    </row>
    <row r="833" spans="4:7" ht="14.25" customHeight="1">
      <c r="D833" s="21"/>
      <c r="G833" s="14"/>
    </row>
    <row r="834" spans="4:7" ht="14.25" customHeight="1">
      <c r="D834" s="21"/>
      <c r="G834" s="14"/>
    </row>
    <row r="835" spans="4:7" ht="14.25" customHeight="1">
      <c r="D835" s="21"/>
      <c r="G835" s="14"/>
    </row>
    <row r="836" spans="4:7" ht="14.25" customHeight="1">
      <c r="D836" s="21"/>
      <c r="G836" s="14"/>
    </row>
    <row r="837" spans="4:7" ht="14.25" customHeight="1">
      <c r="D837" s="21"/>
      <c r="G837" s="14"/>
    </row>
    <row r="838" spans="4:7" ht="14.25" customHeight="1">
      <c r="D838" s="21"/>
      <c r="G838" s="14"/>
    </row>
    <row r="839" spans="4:7" ht="14.25" customHeight="1">
      <c r="D839" s="21"/>
      <c r="G839" s="14"/>
    </row>
    <row r="840" spans="4:7" ht="14.25" customHeight="1">
      <c r="D840" s="21"/>
      <c r="G840" s="14"/>
    </row>
    <row r="841" spans="4:7" ht="14.25" customHeight="1">
      <c r="D841" s="21"/>
      <c r="G841" s="14"/>
    </row>
    <row r="842" spans="4:7" ht="14.25" customHeight="1">
      <c r="D842" s="21"/>
      <c r="G842" s="14"/>
    </row>
    <row r="843" spans="4:7" ht="14.25" customHeight="1">
      <c r="D843" s="21"/>
      <c r="G843" s="14"/>
    </row>
    <row r="844" spans="4:7" ht="14.25" customHeight="1">
      <c r="D844" s="21"/>
      <c r="G844" s="14"/>
    </row>
    <row r="845" spans="4:7" ht="14.25" customHeight="1">
      <c r="D845" s="21"/>
      <c r="G845" s="14"/>
    </row>
    <row r="846" spans="4:7" ht="14.25" customHeight="1">
      <c r="D846" s="21"/>
      <c r="G846" s="14"/>
    </row>
    <row r="847" spans="4:7" ht="14.25" customHeight="1">
      <c r="D847" s="21"/>
      <c r="G847" s="14"/>
    </row>
    <row r="848" spans="4:7" ht="14.25" customHeight="1">
      <c r="D848" s="21"/>
      <c r="G848" s="14"/>
    </row>
    <row r="849" spans="4:7" ht="14.25" customHeight="1">
      <c r="D849" s="21"/>
      <c r="G849" s="14"/>
    </row>
    <row r="850" spans="4:7" ht="14.25" customHeight="1">
      <c r="D850" s="21"/>
      <c r="G850" s="14"/>
    </row>
    <row r="851" spans="4:7" ht="14.25" customHeight="1">
      <c r="D851" s="21"/>
      <c r="G851" s="14"/>
    </row>
    <row r="852" spans="4:7" ht="14.25" customHeight="1">
      <c r="D852" s="21"/>
      <c r="G852" s="14"/>
    </row>
    <row r="853" spans="4:7" ht="14.25" customHeight="1">
      <c r="D853" s="21"/>
      <c r="G853" s="14"/>
    </row>
    <row r="854" spans="4:7" ht="14.25" customHeight="1">
      <c r="D854" s="21"/>
      <c r="G854" s="14"/>
    </row>
    <row r="855" spans="4:7" ht="14.25" customHeight="1">
      <c r="D855" s="21"/>
      <c r="G855" s="14"/>
    </row>
    <row r="856" spans="4:7" ht="14.25" customHeight="1">
      <c r="D856" s="21"/>
      <c r="G856" s="14"/>
    </row>
    <row r="857" spans="4:7" ht="14.25" customHeight="1">
      <c r="D857" s="21"/>
      <c r="G857" s="14"/>
    </row>
    <row r="858" spans="4:7" ht="14.25" customHeight="1">
      <c r="D858" s="21"/>
      <c r="G858" s="14"/>
    </row>
    <row r="859" spans="4:7" ht="14.25" customHeight="1">
      <c r="D859" s="21"/>
      <c r="G859" s="14"/>
    </row>
    <row r="860" spans="4:7" ht="14.25" customHeight="1">
      <c r="D860" s="21"/>
      <c r="G860" s="14"/>
    </row>
    <row r="861" spans="4:7" ht="14.25" customHeight="1">
      <c r="D861" s="21"/>
      <c r="G861" s="14"/>
    </row>
    <row r="862" spans="4:7" ht="14.25" customHeight="1">
      <c r="D862" s="21"/>
      <c r="G862" s="14"/>
    </row>
    <row r="863" spans="4:7" ht="14.25" customHeight="1">
      <c r="D863" s="21"/>
      <c r="G863" s="14"/>
    </row>
    <row r="864" spans="4:7" ht="14.25" customHeight="1">
      <c r="D864" s="21"/>
      <c r="G864" s="14"/>
    </row>
    <row r="865" spans="4:7" ht="14.25" customHeight="1">
      <c r="D865" s="21"/>
      <c r="G865" s="14"/>
    </row>
    <row r="866" spans="4:7" ht="14.25" customHeight="1">
      <c r="D866" s="21"/>
      <c r="G866" s="14"/>
    </row>
    <row r="867" spans="4:7" ht="14.25" customHeight="1">
      <c r="D867" s="21"/>
      <c r="G867" s="14"/>
    </row>
    <row r="868" spans="4:7" ht="14.25" customHeight="1">
      <c r="D868" s="21"/>
      <c r="G868" s="14"/>
    </row>
    <row r="869" spans="4:7" ht="14.25" customHeight="1">
      <c r="D869" s="21"/>
      <c r="G869" s="14"/>
    </row>
    <row r="870" spans="4:7" ht="14.25" customHeight="1">
      <c r="D870" s="21"/>
      <c r="G870" s="14"/>
    </row>
    <row r="871" spans="4:7" ht="14.25" customHeight="1">
      <c r="D871" s="21"/>
      <c r="G871" s="14"/>
    </row>
    <row r="872" spans="4:7" ht="14.25" customHeight="1">
      <c r="D872" s="21"/>
      <c r="G872" s="14"/>
    </row>
    <row r="873" spans="4:7" ht="14.25" customHeight="1">
      <c r="D873" s="21"/>
      <c r="G873" s="14"/>
    </row>
    <row r="874" spans="4:7" ht="14.25" customHeight="1">
      <c r="D874" s="21"/>
      <c r="G874" s="14"/>
    </row>
    <row r="875" spans="4:7" ht="14.25" customHeight="1">
      <c r="D875" s="21"/>
      <c r="G875" s="14"/>
    </row>
    <row r="876" spans="4:7" ht="14.25" customHeight="1">
      <c r="D876" s="21"/>
      <c r="G876" s="14"/>
    </row>
    <row r="877" spans="4:7" ht="14.25" customHeight="1">
      <c r="D877" s="21"/>
      <c r="G877" s="14"/>
    </row>
    <row r="878" spans="4:7" ht="14.25" customHeight="1">
      <c r="D878" s="21"/>
      <c r="G878" s="14"/>
    </row>
    <row r="879" spans="4:7" ht="14.25" customHeight="1">
      <c r="D879" s="21"/>
      <c r="G879" s="14"/>
    </row>
    <row r="880" spans="4:7" ht="14.25" customHeight="1">
      <c r="D880" s="21"/>
      <c r="G880" s="14"/>
    </row>
    <row r="881" spans="4:7" ht="14.25" customHeight="1">
      <c r="D881" s="21"/>
      <c r="G881" s="14"/>
    </row>
    <row r="882" spans="4:7" ht="14.25" customHeight="1">
      <c r="D882" s="21"/>
      <c r="G882" s="14"/>
    </row>
    <row r="883" spans="4:7" ht="14.25" customHeight="1">
      <c r="D883" s="21"/>
      <c r="G883" s="14"/>
    </row>
    <row r="884" spans="4:7" ht="14.25" customHeight="1">
      <c r="D884" s="21"/>
      <c r="G884" s="14"/>
    </row>
    <row r="885" spans="4:7" ht="14.25" customHeight="1">
      <c r="D885" s="21"/>
      <c r="G885" s="14"/>
    </row>
    <row r="886" spans="4:7" ht="14.25" customHeight="1">
      <c r="D886" s="21"/>
      <c r="G886" s="14"/>
    </row>
    <row r="887" spans="4:7" ht="14.25" customHeight="1">
      <c r="D887" s="21"/>
      <c r="G887" s="14"/>
    </row>
    <row r="888" spans="4:7" ht="14.25" customHeight="1">
      <c r="D888" s="21"/>
      <c r="G888" s="14"/>
    </row>
    <row r="889" spans="4:7" ht="14.25" customHeight="1">
      <c r="D889" s="21"/>
      <c r="G889" s="14"/>
    </row>
    <row r="890" spans="4:7" ht="14.25" customHeight="1">
      <c r="D890" s="21"/>
      <c r="G890" s="14"/>
    </row>
    <row r="891" spans="4:7" ht="14.25" customHeight="1">
      <c r="D891" s="21"/>
      <c r="G891" s="14"/>
    </row>
    <row r="892" spans="4:7" ht="14.25" customHeight="1">
      <c r="D892" s="21"/>
      <c r="G892" s="14"/>
    </row>
    <row r="893" spans="4:7" ht="14.25" customHeight="1">
      <c r="D893" s="21"/>
      <c r="G893" s="14"/>
    </row>
    <row r="894" spans="4:7" ht="14.25" customHeight="1">
      <c r="D894" s="21"/>
      <c r="G894" s="14"/>
    </row>
    <row r="895" spans="4:7" ht="14.25" customHeight="1">
      <c r="D895" s="21"/>
      <c r="G895" s="14"/>
    </row>
    <row r="896" spans="4:7" ht="14.25" customHeight="1">
      <c r="D896" s="21"/>
      <c r="G896" s="14"/>
    </row>
    <row r="897" spans="4:7" ht="14.25" customHeight="1">
      <c r="D897" s="21"/>
      <c r="G897" s="14"/>
    </row>
    <row r="898" spans="4:7" ht="14.25" customHeight="1">
      <c r="D898" s="21"/>
      <c r="G898" s="14"/>
    </row>
    <row r="899" spans="4:7" ht="14.25" customHeight="1">
      <c r="D899" s="21"/>
      <c r="G899" s="14"/>
    </row>
    <row r="900" spans="4:7" ht="14.25" customHeight="1">
      <c r="D900" s="21"/>
      <c r="G900" s="14"/>
    </row>
    <row r="901" spans="4:7" ht="14.25" customHeight="1">
      <c r="D901" s="21"/>
      <c r="G901" s="14"/>
    </row>
    <row r="902" spans="4:7" ht="14.25" customHeight="1">
      <c r="D902" s="21"/>
      <c r="G902" s="14"/>
    </row>
    <row r="903" spans="4:7" ht="14.25" customHeight="1">
      <c r="D903" s="21"/>
      <c r="G903" s="14"/>
    </row>
    <row r="904" spans="4:7" ht="14.25" customHeight="1">
      <c r="D904" s="21"/>
      <c r="G904" s="14"/>
    </row>
    <row r="905" spans="4:7" ht="14.25" customHeight="1">
      <c r="D905" s="21"/>
      <c r="G905" s="14"/>
    </row>
    <row r="906" spans="4:7" ht="14.25" customHeight="1">
      <c r="D906" s="21"/>
      <c r="G906" s="14"/>
    </row>
    <row r="907" spans="4:7" ht="14.25" customHeight="1">
      <c r="D907" s="21"/>
      <c r="G907" s="14"/>
    </row>
    <row r="908" spans="4:7" ht="14.25" customHeight="1">
      <c r="D908" s="21"/>
      <c r="G908" s="14"/>
    </row>
    <row r="909" spans="4:7" ht="14.25" customHeight="1">
      <c r="D909" s="21"/>
      <c r="G909" s="14"/>
    </row>
    <row r="910" spans="4:7" ht="14.25" customHeight="1">
      <c r="D910" s="21"/>
      <c r="G910" s="14"/>
    </row>
    <row r="911" spans="4:7" ht="14.25" customHeight="1">
      <c r="D911" s="21"/>
      <c r="G911" s="14"/>
    </row>
    <row r="912" spans="4:7" ht="14.25" customHeight="1">
      <c r="D912" s="21"/>
      <c r="G912" s="14"/>
    </row>
    <row r="913" spans="4:7" ht="14.25" customHeight="1">
      <c r="D913" s="21"/>
      <c r="G913" s="14"/>
    </row>
    <row r="914" spans="4:7" ht="14.25" customHeight="1">
      <c r="D914" s="21"/>
      <c r="G914" s="14"/>
    </row>
    <row r="915" spans="4:7" ht="14.25" customHeight="1">
      <c r="D915" s="21"/>
      <c r="G915" s="14"/>
    </row>
    <row r="916" spans="4:7" ht="14.25" customHeight="1">
      <c r="D916" s="21"/>
      <c r="G916" s="14"/>
    </row>
    <row r="917" spans="4:7" ht="14.25" customHeight="1">
      <c r="D917" s="21"/>
      <c r="G917" s="14"/>
    </row>
    <row r="918" spans="4:7" ht="14.25" customHeight="1">
      <c r="D918" s="21"/>
      <c r="G918" s="14"/>
    </row>
    <row r="919" spans="4:7" ht="14.25" customHeight="1">
      <c r="D919" s="21"/>
      <c r="G919" s="14"/>
    </row>
    <row r="920" spans="4:7" ht="14.25" customHeight="1">
      <c r="D920" s="21"/>
      <c r="G920" s="14"/>
    </row>
    <row r="921" spans="4:7" ht="14.25" customHeight="1">
      <c r="D921" s="21"/>
      <c r="G921" s="14"/>
    </row>
    <row r="922" spans="4:7" ht="14.25" customHeight="1">
      <c r="D922" s="21"/>
      <c r="G922" s="14"/>
    </row>
    <row r="923" spans="4:7" ht="14.25" customHeight="1">
      <c r="D923" s="21"/>
      <c r="G923" s="14"/>
    </row>
    <row r="924" spans="4:7" ht="14.25" customHeight="1">
      <c r="D924" s="21"/>
      <c r="G924" s="14"/>
    </row>
    <row r="925" spans="4:7" ht="14.25" customHeight="1">
      <c r="D925" s="21"/>
      <c r="G925" s="14"/>
    </row>
    <row r="926" spans="4:7" ht="14.25" customHeight="1">
      <c r="D926" s="21"/>
      <c r="G926" s="14"/>
    </row>
    <row r="927" spans="4:7" ht="14.25" customHeight="1">
      <c r="D927" s="21"/>
      <c r="G927" s="14"/>
    </row>
    <row r="928" spans="4:7" ht="14.25" customHeight="1">
      <c r="D928" s="21"/>
      <c r="G928" s="14"/>
    </row>
    <row r="929" spans="4:7" ht="14.25" customHeight="1">
      <c r="D929" s="21"/>
      <c r="G929" s="14"/>
    </row>
    <row r="930" spans="4:7" ht="14.25" customHeight="1">
      <c r="D930" s="21"/>
      <c r="G930" s="14"/>
    </row>
    <row r="931" spans="4:7" ht="14.25" customHeight="1">
      <c r="D931" s="21"/>
      <c r="G931" s="14"/>
    </row>
    <row r="932" spans="4:7" ht="14.25" customHeight="1">
      <c r="D932" s="21"/>
      <c r="G932" s="14"/>
    </row>
    <row r="933" spans="4:7" ht="14.25" customHeight="1">
      <c r="D933" s="21"/>
      <c r="G933" s="14"/>
    </row>
    <row r="934" spans="4:7" ht="14.25" customHeight="1">
      <c r="D934" s="21"/>
      <c r="G934" s="14"/>
    </row>
    <row r="935" spans="4:7" ht="14.25" customHeight="1">
      <c r="D935" s="21"/>
      <c r="G935" s="14"/>
    </row>
    <row r="936" spans="4:7" ht="14.25" customHeight="1">
      <c r="D936" s="21"/>
      <c r="G936" s="14"/>
    </row>
    <row r="937" spans="4:7" ht="14.25" customHeight="1">
      <c r="D937" s="21"/>
      <c r="G937" s="14"/>
    </row>
    <row r="938" spans="4:7" ht="14.25" customHeight="1">
      <c r="D938" s="21"/>
      <c r="G938" s="14"/>
    </row>
    <row r="939" spans="4:7" ht="14.25" customHeight="1">
      <c r="D939" s="21"/>
      <c r="G939" s="14"/>
    </row>
    <row r="940" spans="4:7" ht="14.25" customHeight="1">
      <c r="D940" s="21"/>
      <c r="G940" s="14"/>
    </row>
    <row r="941" spans="4:7" ht="14.25" customHeight="1">
      <c r="D941" s="21"/>
      <c r="G941" s="14"/>
    </row>
    <row r="942" spans="4:7" ht="14.25" customHeight="1">
      <c r="D942" s="21"/>
      <c r="G942" s="14"/>
    </row>
    <row r="943" spans="4:7" ht="14.25" customHeight="1">
      <c r="D943" s="21"/>
      <c r="G943" s="14"/>
    </row>
    <row r="944" spans="4:7" ht="14.25" customHeight="1">
      <c r="D944" s="21"/>
      <c r="G944" s="14"/>
    </row>
    <row r="945" spans="4:7" ht="14.25" customHeight="1">
      <c r="D945" s="21"/>
      <c r="G945" s="14"/>
    </row>
    <row r="946" spans="4:7" ht="14.25" customHeight="1">
      <c r="D946" s="21"/>
      <c r="G946" s="14"/>
    </row>
    <row r="947" spans="4:7" ht="14.25" customHeight="1">
      <c r="D947" s="21"/>
      <c r="G947" s="14"/>
    </row>
    <row r="948" spans="4:7" ht="14.25" customHeight="1">
      <c r="D948" s="21"/>
      <c r="G948" s="14"/>
    </row>
    <row r="949" spans="4:7" ht="14.25" customHeight="1">
      <c r="D949" s="21"/>
      <c r="G949" s="14"/>
    </row>
    <row r="950" spans="4:7" ht="14.25" customHeight="1">
      <c r="D950" s="21"/>
      <c r="G950" s="14"/>
    </row>
    <row r="951" spans="4:7" ht="14.25" customHeight="1">
      <c r="D951" s="21"/>
      <c r="G951" s="14"/>
    </row>
    <row r="952" spans="4:7" ht="14.25" customHeight="1">
      <c r="D952" s="21"/>
      <c r="G952" s="14"/>
    </row>
    <row r="953" spans="4:7" ht="14.25" customHeight="1">
      <c r="D953" s="21"/>
      <c r="G953" s="14"/>
    </row>
    <row r="954" spans="4:7" ht="14.25" customHeight="1">
      <c r="D954" s="21"/>
      <c r="G954" s="14"/>
    </row>
    <row r="955" spans="4:7" ht="14.25" customHeight="1">
      <c r="D955" s="21"/>
      <c r="G955" s="14"/>
    </row>
    <row r="956" spans="4:7" ht="14.25" customHeight="1">
      <c r="D956" s="21"/>
      <c r="G956" s="14"/>
    </row>
    <row r="957" spans="4:7" ht="14.25" customHeight="1">
      <c r="D957" s="21"/>
      <c r="G957" s="14"/>
    </row>
    <row r="958" spans="4:7" ht="14.25" customHeight="1">
      <c r="D958" s="21"/>
      <c r="G958" s="14"/>
    </row>
    <row r="959" spans="4:7" ht="14.25" customHeight="1">
      <c r="D959" s="21"/>
      <c r="G959" s="14"/>
    </row>
    <row r="960" spans="4:7" ht="14.25" customHeight="1">
      <c r="D960" s="21"/>
      <c r="G960" s="14"/>
    </row>
    <row r="961" spans="4:7" ht="14.25" customHeight="1">
      <c r="D961" s="21"/>
      <c r="G961" s="14"/>
    </row>
    <row r="962" spans="4:7" ht="14.25" customHeight="1">
      <c r="D962" s="21"/>
      <c r="G962" s="14"/>
    </row>
    <row r="963" spans="4:7" ht="14.25" customHeight="1">
      <c r="D963" s="21"/>
      <c r="G963" s="14"/>
    </row>
    <row r="964" spans="4:7" ht="14.25" customHeight="1">
      <c r="D964" s="21"/>
      <c r="G964" s="14"/>
    </row>
    <row r="965" spans="4:7" ht="14.25" customHeight="1">
      <c r="D965" s="21"/>
      <c r="G965" s="14"/>
    </row>
    <row r="966" spans="4:7" ht="14.25" customHeight="1">
      <c r="D966" s="21"/>
      <c r="G966" s="14"/>
    </row>
    <row r="967" spans="4:7" ht="14.25" customHeight="1">
      <c r="D967" s="21"/>
      <c r="G967" s="14"/>
    </row>
    <row r="968" spans="4:7" ht="14.25" customHeight="1">
      <c r="D968" s="21"/>
      <c r="G968" s="14"/>
    </row>
    <row r="969" spans="4:7" ht="14.25" customHeight="1">
      <c r="D969" s="21"/>
      <c r="G969" s="14"/>
    </row>
    <row r="970" spans="4:7" ht="14.25" customHeight="1">
      <c r="D970" s="21"/>
      <c r="G970" s="14"/>
    </row>
    <row r="971" spans="4:7" ht="14.25" customHeight="1">
      <c r="D971" s="21"/>
      <c r="G971" s="14"/>
    </row>
    <row r="972" spans="4:7" ht="14.25" customHeight="1">
      <c r="D972" s="21"/>
      <c r="G972" s="14"/>
    </row>
    <row r="973" spans="4:7" ht="14.25" customHeight="1">
      <c r="D973" s="21"/>
      <c r="G973" s="14"/>
    </row>
    <row r="974" spans="4:7" ht="14.25" customHeight="1">
      <c r="D974" s="21"/>
      <c r="G974" s="14"/>
    </row>
    <row r="975" spans="4:7" ht="14.25" customHeight="1">
      <c r="D975" s="21"/>
      <c r="G975" s="14"/>
    </row>
    <row r="976" spans="4:7" ht="14.25" customHeight="1">
      <c r="D976" s="21"/>
      <c r="G976" s="14"/>
    </row>
    <row r="977" spans="4:7" ht="14.25" customHeight="1">
      <c r="D977" s="21"/>
      <c r="G977" s="14"/>
    </row>
    <row r="978" spans="4:7" ht="14.25" customHeight="1">
      <c r="D978" s="21"/>
      <c r="G978" s="14"/>
    </row>
    <row r="979" spans="4:7" ht="14.25" customHeight="1">
      <c r="D979" s="21"/>
      <c r="G979" s="14"/>
    </row>
    <row r="980" spans="4:7" ht="14.25" customHeight="1">
      <c r="D980" s="21"/>
      <c r="G980" s="14"/>
    </row>
    <row r="981" spans="4:7" ht="14.25" customHeight="1">
      <c r="D981" s="21"/>
      <c r="G981" s="14"/>
    </row>
    <row r="982" spans="4:7" ht="14.25" customHeight="1">
      <c r="D982" s="21"/>
      <c r="G982" s="14"/>
    </row>
    <row r="983" spans="4:7" ht="14.25" customHeight="1">
      <c r="D983" s="21"/>
      <c r="G983" s="14"/>
    </row>
    <row r="984" spans="4:7" ht="14.25" customHeight="1">
      <c r="D984" s="21"/>
      <c r="G984" s="14"/>
    </row>
    <row r="985" spans="4:7" ht="14.25" customHeight="1">
      <c r="D985" s="21"/>
      <c r="G985" s="14"/>
    </row>
    <row r="986" spans="4:7" ht="14.25" customHeight="1">
      <c r="D986" s="21"/>
      <c r="G986" s="14"/>
    </row>
    <row r="987" spans="4:7" ht="14.25" customHeight="1">
      <c r="D987" s="21"/>
      <c r="G987" s="14"/>
    </row>
    <row r="988" spans="4:7" ht="14.25" customHeight="1">
      <c r="D988" s="21"/>
      <c r="G988" s="14"/>
    </row>
    <row r="989" spans="4:7" ht="14.25" customHeight="1">
      <c r="D989" s="21"/>
      <c r="G989" s="14"/>
    </row>
    <row r="990" spans="4:7" ht="14.25" customHeight="1">
      <c r="D990" s="21"/>
      <c r="G990" s="14"/>
    </row>
    <row r="991" spans="4:7" ht="14.25" customHeight="1">
      <c r="D991" s="21"/>
      <c r="G991" s="14"/>
    </row>
    <row r="992" spans="4:7" ht="14.25" customHeight="1">
      <c r="D992" s="21"/>
      <c r="G992" s="14"/>
    </row>
    <row r="993" spans="4:7" ht="14.25" customHeight="1">
      <c r="D993" s="21"/>
      <c r="G993" s="14"/>
    </row>
    <row r="994" spans="4:7" ht="14.25" customHeight="1">
      <c r="D994" s="21"/>
      <c r="G994" s="14"/>
    </row>
    <row r="995" spans="4:7" ht="14.25" customHeight="1">
      <c r="D995" s="21"/>
      <c r="G995" s="14"/>
    </row>
    <row r="996" spans="4:7" ht="14.25" customHeight="1">
      <c r="D996" s="21"/>
      <c r="G996" s="14"/>
    </row>
    <row r="997" spans="4:7" ht="14.25" customHeight="1">
      <c r="D997" s="21"/>
      <c r="G997" s="14"/>
    </row>
    <row r="998" spans="4:7" ht="14.25" customHeight="1">
      <c r="D998" s="21"/>
      <c r="G998" s="14"/>
    </row>
    <row r="999" spans="4:7" ht="14.25" customHeight="1">
      <c r="D999" s="21"/>
      <c r="G999" s="14"/>
    </row>
    <row r="1000" spans="4:7" ht="14.25" customHeight="1">
      <c r="D1000" s="21"/>
      <c r="G1000" s="14"/>
    </row>
  </sheetData>
  <mergeCells count="24">
    <mergeCell ref="B63:C63"/>
    <mergeCell ref="F63:H63"/>
    <mergeCell ref="B64:C64"/>
    <mergeCell ref="F64:I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conditionalFormatting sqref="I11:I13 I15:I16 I18:I20 I22:I24 I26:I37 I39:I41 I43:I45 I47:I49 I51:I52 I54 I56:I58">
    <cfRule type="expression" dxfId="0" priority="18" stopIfTrue="1">
      <formula>I11&gt;=90%</formula>
    </cfRule>
  </conditionalFormatting>
  <dataValidations count="1">
    <dataValidation type="list" allowBlank="1" showErrorMessage="1" sqref="C11:C13 C15:C16 C18:C20 C22:C24 C26:C37 C39:C41 C43:C45 C47:C49 C51:C52 C54 C56:C58" xr:uid="{F1FBFF39-B343-4E08-A19B-CF1B0BEF935A}">
      <formula1>$T$11:$T$13</formula1>
    </dataValidation>
  </dataValidations>
  <hyperlinks>
    <hyperlink ref="B2" location="Resumen!A1" display="Resumen!A1" xr:uid="{81F78753-47E7-4973-AAA4-E318AED7A871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5C93-6C5E-439B-8991-CB631EFF4161}">
  <dimension ref="A1:AM1000"/>
  <sheetViews>
    <sheetView workbookViewId="0"/>
  </sheetViews>
  <sheetFormatPr baseColWidth="10" defaultRowHeight="15" customHeight="1"/>
  <cols>
    <col min="1" max="1" width="13" customWidth="1"/>
    <col min="2" max="2" width="9.7109375" customWidth="1"/>
    <col min="3" max="3" width="12.42578125" customWidth="1"/>
    <col min="4" max="4" width="15.5703125" customWidth="1"/>
    <col min="5" max="5" width="48" customWidth="1"/>
    <col min="6" max="6" width="28.5703125" customWidth="1"/>
    <col min="7" max="7" width="39" customWidth="1"/>
    <col min="8" max="8" width="24.28515625" customWidth="1"/>
    <col min="9" max="12" width="13" customWidth="1"/>
    <col min="13" max="13" width="23.7109375" customWidth="1"/>
    <col min="14" max="19" width="13" customWidth="1"/>
    <col min="20" max="20" width="13" hidden="1" customWidth="1"/>
    <col min="21" max="26" width="13" customWidth="1"/>
    <col min="27" max="1024" width="15.28515625" customWidth="1"/>
  </cols>
  <sheetData>
    <row r="1" spans="1:26" ht="14.25" customHeight="1">
      <c r="A1" s="21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26" ht="14.25" customHeight="1">
      <c r="A2" s="21"/>
      <c r="B2" s="151" t="s">
        <v>339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</row>
    <row r="3" spans="1:26" ht="14.25" customHeight="1">
      <c r="A3" s="21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</row>
    <row r="4" spans="1:26" ht="16.5" customHeight="1">
      <c r="A4" s="21"/>
      <c r="B4" s="158" t="s">
        <v>472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</row>
    <row r="5" spans="1:26" ht="21" customHeight="1">
      <c r="A5" s="21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</row>
    <row r="6" spans="1:26" ht="22.5" customHeight="1">
      <c r="A6" s="21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</row>
    <row r="7" spans="1:26" ht="14.25" customHeight="1">
      <c r="A7" s="21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</row>
    <row r="8" spans="1:26" ht="14.25" customHeight="1">
      <c r="A8" s="21"/>
      <c r="B8" s="61"/>
      <c r="C8" s="153" t="s">
        <v>62</v>
      </c>
      <c r="D8" s="154"/>
      <c r="E8" s="154"/>
      <c r="F8" s="154"/>
      <c r="G8" s="154"/>
      <c r="H8" s="155" t="s">
        <v>63</v>
      </c>
      <c r="I8" s="154"/>
      <c r="J8" s="153" t="s">
        <v>64</v>
      </c>
      <c r="K8" s="154"/>
      <c r="L8" s="154"/>
      <c r="M8" s="61"/>
      <c r="W8" s="26"/>
      <c r="X8" s="26"/>
      <c r="Y8" s="26"/>
      <c r="Z8" s="26"/>
    </row>
    <row r="9" spans="1:26" ht="46.5" customHeight="1">
      <c r="A9" s="21"/>
      <c r="B9" s="111" t="s">
        <v>65</v>
      </c>
      <c r="C9" s="111" t="s">
        <v>66</v>
      </c>
      <c r="D9" s="111" t="s">
        <v>67</v>
      </c>
      <c r="E9" s="111" t="s">
        <v>68</v>
      </c>
      <c r="F9" s="111" t="s">
        <v>69</v>
      </c>
      <c r="G9" s="111" t="s">
        <v>70</v>
      </c>
      <c r="H9" s="111" t="s">
        <v>71</v>
      </c>
      <c r="I9" s="111" t="s">
        <v>72</v>
      </c>
      <c r="J9" s="111" t="s">
        <v>73</v>
      </c>
      <c r="K9" s="111" t="s">
        <v>74</v>
      </c>
      <c r="L9" s="111" t="s">
        <v>75</v>
      </c>
      <c r="M9" s="111" t="s">
        <v>10</v>
      </c>
      <c r="W9" s="26"/>
      <c r="X9" s="26"/>
      <c r="Y9" s="26"/>
      <c r="Z9" s="26"/>
    </row>
    <row r="10" spans="1:26" ht="30.75" customHeight="1">
      <c r="A10" s="21"/>
      <c r="B10" s="125" t="s">
        <v>76</v>
      </c>
      <c r="C10" s="125"/>
      <c r="D10" s="125"/>
      <c r="E10" s="52" t="s">
        <v>77</v>
      </c>
      <c r="F10" s="156"/>
      <c r="G10" s="72"/>
      <c r="H10" s="72"/>
      <c r="I10" s="72"/>
      <c r="J10" s="72"/>
      <c r="K10" s="72"/>
      <c r="L10" s="72"/>
      <c r="M10" s="156"/>
      <c r="W10" s="36"/>
      <c r="X10" s="36"/>
      <c r="Y10" s="36"/>
      <c r="Z10" s="36"/>
    </row>
    <row r="11" spans="1:26" ht="28.5" customHeight="1">
      <c r="A11" s="21"/>
      <c r="B11" s="113" t="s">
        <v>341</v>
      </c>
      <c r="C11" s="114" t="s">
        <v>78</v>
      </c>
      <c r="D11" s="83" t="s">
        <v>79</v>
      </c>
      <c r="E11" s="43" t="s">
        <v>80</v>
      </c>
      <c r="F11" s="44" t="s">
        <v>81</v>
      </c>
      <c r="G11" s="44" t="s">
        <v>82</v>
      </c>
      <c r="H11" s="44" t="s">
        <v>83</v>
      </c>
      <c r="I11" s="92">
        <v>0</v>
      </c>
      <c r="J11" s="116" t="s">
        <v>342</v>
      </c>
      <c r="K11" s="117"/>
      <c r="L11" s="117"/>
      <c r="M11" s="61" t="s">
        <v>473</v>
      </c>
      <c r="T11" s="20" t="s">
        <v>84</v>
      </c>
    </row>
    <row r="12" spans="1:26" ht="27" customHeight="1">
      <c r="A12" s="21"/>
      <c r="B12" s="113" t="s">
        <v>341</v>
      </c>
      <c r="C12" s="114" t="s">
        <v>85</v>
      </c>
      <c r="D12" s="83" t="s">
        <v>265</v>
      </c>
      <c r="E12" s="43" t="s">
        <v>87</v>
      </c>
      <c r="F12" s="44" t="s">
        <v>81</v>
      </c>
      <c r="G12" s="44" t="s">
        <v>88</v>
      </c>
      <c r="H12" s="44" t="s">
        <v>89</v>
      </c>
      <c r="I12" s="92">
        <v>0</v>
      </c>
      <c r="J12" s="116" t="s">
        <v>342</v>
      </c>
      <c r="K12" s="117"/>
      <c r="L12" s="117"/>
      <c r="M12" s="61" t="s">
        <v>473</v>
      </c>
      <c r="T12" s="20" t="s">
        <v>78</v>
      </c>
    </row>
    <row r="13" spans="1:26" ht="42" customHeight="1">
      <c r="A13" s="21"/>
      <c r="B13" s="113" t="s">
        <v>341</v>
      </c>
      <c r="C13" s="114" t="s">
        <v>78</v>
      </c>
      <c r="D13" s="83" t="s">
        <v>267</v>
      </c>
      <c r="E13" s="43" t="s">
        <v>90</v>
      </c>
      <c r="F13" s="44" t="s">
        <v>81</v>
      </c>
      <c r="G13" s="44" t="s">
        <v>91</v>
      </c>
      <c r="H13" s="44" t="s">
        <v>92</v>
      </c>
      <c r="I13" s="92">
        <v>0</v>
      </c>
      <c r="J13" s="116" t="s">
        <v>342</v>
      </c>
      <c r="K13" s="117"/>
      <c r="L13" s="117"/>
      <c r="M13" s="61" t="s">
        <v>473</v>
      </c>
      <c r="T13" s="20" t="s">
        <v>85</v>
      </c>
    </row>
    <row r="14" spans="1:26" ht="27.75" customHeight="1">
      <c r="A14" s="21"/>
      <c r="B14" s="118"/>
      <c r="C14" s="118"/>
      <c r="D14" s="118"/>
      <c r="E14" s="52" t="s">
        <v>93</v>
      </c>
      <c r="F14" s="156"/>
      <c r="G14" s="72"/>
      <c r="H14" s="72"/>
      <c r="I14" s="72"/>
      <c r="J14" s="72"/>
      <c r="K14" s="72"/>
      <c r="L14" s="72"/>
      <c r="M14" s="156"/>
      <c r="W14" s="36"/>
      <c r="X14" s="36"/>
      <c r="Y14" s="36"/>
      <c r="Z14" s="36"/>
    </row>
    <row r="15" spans="1:26" ht="29.25" customHeight="1">
      <c r="A15" s="21"/>
      <c r="B15" s="113" t="s">
        <v>341</v>
      </c>
      <c r="C15" s="114" t="s">
        <v>85</v>
      </c>
      <c r="D15" s="83" t="s">
        <v>258</v>
      </c>
      <c r="E15" s="43" t="s">
        <v>94</v>
      </c>
      <c r="F15" s="44" t="s">
        <v>95</v>
      </c>
      <c r="G15" s="44" t="s">
        <v>96</v>
      </c>
      <c r="H15" s="44" t="s">
        <v>97</v>
      </c>
      <c r="I15" s="92">
        <v>0</v>
      </c>
      <c r="J15" s="116" t="s">
        <v>342</v>
      </c>
      <c r="K15" s="117"/>
      <c r="L15" s="117"/>
      <c r="M15" s="61" t="s">
        <v>473</v>
      </c>
    </row>
    <row r="16" spans="1:26" ht="35.25" customHeight="1">
      <c r="A16" s="21"/>
      <c r="B16" s="113" t="s">
        <v>341</v>
      </c>
      <c r="C16" s="114" t="s">
        <v>78</v>
      </c>
      <c r="D16" s="83" t="s">
        <v>267</v>
      </c>
      <c r="E16" s="43" t="s">
        <v>98</v>
      </c>
      <c r="F16" s="44" t="s">
        <v>95</v>
      </c>
      <c r="G16" s="44" t="s">
        <v>99</v>
      </c>
      <c r="H16" s="44" t="s">
        <v>100</v>
      </c>
      <c r="I16" s="92">
        <v>0</v>
      </c>
      <c r="J16" s="116" t="s">
        <v>342</v>
      </c>
      <c r="K16" s="117"/>
      <c r="L16" s="117"/>
      <c r="M16" s="61" t="s">
        <v>473</v>
      </c>
    </row>
    <row r="17" spans="1:13" ht="14.25" customHeight="1">
      <c r="A17" s="21"/>
      <c r="B17" s="119"/>
      <c r="C17" s="119"/>
      <c r="D17" s="119"/>
      <c r="E17" s="52" t="s">
        <v>101</v>
      </c>
      <c r="F17" s="157"/>
      <c r="G17" s="72"/>
      <c r="H17" s="72"/>
      <c r="I17" s="72"/>
      <c r="J17" s="72"/>
      <c r="K17" s="72"/>
      <c r="L17" s="72"/>
      <c r="M17" s="156"/>
    </row>
    <row r="18" spans="1:13" ht="30" customHeight="1">
      <c r="A18" s="21"/>
      <c r="B18" s="113" t="s">
        <v>341</v>
      </c>
      <c r="C18" s="114" t="s">
        <v>84</v>
      </c>
      <c r="D18" s="83" t="s">
        <v>235</v>
      </c>
      <c r="E18" s="43" t="s">
        <v>102</v>
      </c>
      <c r="F18" s="44" t="s">
        <v>103</v>
      </c>
      <c r="G18" s="44" t="s">
        <v>104</v>
      </c>
      <c r="H18" s="44" t="s">
        <v>105</v>
      </c>
      <c r="I18" s="92">
        <v>0</v>
      </c>
      <c r="J18" s="116" t="s">
        <v>342</v>
      </c>
      <c r="K18" s="117"/>
      <c r="L18" s="117"/>
      <c r="M18" s="61" t="s">
        <v>473</v>
      </c>
    </row>
    <row r="19" spans="1:13" ht="49.5" customHeight="1">
      <c r="A19" s="21"/>
      <c r="B19" s="113" t="s">
        <v>341</v>
      </c>
      <c r="C19" s="114" t="s">
        <v>78</v>
      </c>
      <c r="D19" s="83" t="s">
        <v>272</v>
      </c>
      <c r="E19" s="43" t="s">
        <v>106</v>
      </c>
      <c r="F19" s="44" t="s">
        <v>81</v>
      </c>
      <c r="G19" s="44" t="s">
        <v>346</v>
      </c>
      <c r="H19" s="44" t="s">
        <v>108</v>
      </c>
      <c r="I19" s="92">
        <v>0</v>
      </c>
      <c r="J19" s="116" t="s">
        <v>342</v>
      </c>
      <c r="K19" s="117"/>
      <c r="L19" s="117"/>
      <c r="M19" s="61" t="s">
        <v>473</v>
      </c>
    </row>
    <row r="20" spans="1:13" ht="34.5" customHeight="1">
      <c r="A20" s="21"/>
      <c r="B20" s="113" t="s">
        <v>341</v>
      </c>
      <c r="C20" s="114" t="s">
        <v>78</v>
      </c>
      <c r="D20" s="83" t="s">
        <v>272</v>
      </c>
      <c r="E20" s="43" t="s">
        <v>109</v>
      </c>
      <c r="F20" s="44" t="s">
        <v>81</v>
      </c>
      <c r="G20" s="44" t="s">
        <v>110</v>
      </c>
      <c r="H20" s="44" t="s">
        <v>111</v>
      </c>
      <c r="I20" s="92">
        <v>0</v>
      </c>
      <c r="J20" s="116" t="s">
        <v>342</v>
      </c>
      <c r="K20" s="117"/>
      <c r="L20" s="117"/>
      <c r="M20" s="61" t="s">
        <v>473</v>
      </c>
    </row>
    <row r="21" spans="1:13" ht="14.25" customHeight="1">
      <c r="A21" s="21"/>
      <c r="B21" s="119"/>
      <c r="C21" s="119"/>
      <c r="D21" s="119"/>
      <c r="E21" s="52" t="s">
        <v>112</v>
      </c>
      <c r="F21" s="157"/>
      <c r="G21" s="72"/>
      <c r="H21" s="72"/>
      <c r="I21" s="72"/>
      <c r="J21" s="72"/>
      <c r="K21" s="72"/>
      <c r="L21" s="72"/>
      <c r="M21" s="156"/>
    </row>
    <row r="22" spans="1:13" ht="28.5" customHeight="1">
      <c r="A22" s="21"/>
      <c r="B22" s="113" t="s">
        <v>341</v>
      </c>
      <c r="C22" s="114" t="s">
        <v>85</v>
      </c>
      <c r="D22" s="83" t="s">
        <v>235</v>
      </c>
      <c r="E22" s="43" t="s">
        <v>113</v>
      </c>
      <c r="F22" s="44" t="s">
        <v>103</v>
      </c>
      <c r="G22" s="44" t="s">
        <v>114</v>
      </c>
      <c r="H22" s="44" t="s">
        <v>115</v>
      </c>
      <c r="I22" s="92">
        <v>0</v>
      </c>
      <c r="J22" s="116" t="s">
        <v>342</v>
      </c>
      <c r="K22" s="117"/>
      <c r="L22" s="117"/>
      <c r="M22" s="61" t="s">
        <v>473</v>
      </c>
    </row>
    <row r="23" spans="1:13" ht="47.25" customHeight="1">
      <c r="A23" s="21"/>
      <c r="B23" s="1"/>
      <c r="C23" s="114" t="s">
        <v>84</v>
      </c>
      <c r="D23" s="83" t="s">
        <v>236</v>
      </c>
      <c r="E23" s="43" t="s">
        <v>116</v>
      </c>
      <c r="F23" s="44" t="s">
        <v>103</v>
      </c>
      <c r="G23" s="44" t="s">
        <v>117</v>
      </c>
      <c r="H23" s="44" t="s">
        <v>118</v>
      </c>
      <c r="I23" s="92">
        <v>0</v>
      </c>
      <c r="J23" s="116" t="s">
        <v>342</v>
      </c>
      <c r="K23" s="117"/>
      <c r="L23" s="117"/>
      <c r="M23" s="61" t="s">
        <v>473</v>
      </c>
    </row>
    <row r="24" spans="1:13" ht="51" customHeight="1">
      <c r="A24" s="21"/>
      <c r="B24" s="113" t="s">
        <v>341</v>
      </c>
      <c r="C24" s="114" t="s">
        <v>78</v>
      </c>
      <c r="D24" s="83" t="s">
        <v>236</v>
      </c>
      <c r="E24" s="43" t="s">
        <v>119</v>
      </c>
      <c r="F24" s="44" t="s">
        <v>103</v>
      </c>
      <c r="G24" s="44" t="s">
        <v>120</v>
      </c>
      <c r="H24" s="44" t="s">
        <v>121</v>
      </c>
      <c r="I24" s="92">
        <v>0</v>
      </c>
      <c r="J24" s="116" t="s">
        <v>342</v>
      </c>
      <c r="K24" s="117"/>
      <c r="L24" s="117"/>
      <c r="M24" s="61" t="s">
        <v>473</v>
      </c>
    </row>
    <row r="25" spans="1:13" ht="30" customHeight="1">
      <c r="A25" s="21"/>
      <c r="B25" s="125" t="s">
        <v>122</v>
      </c>
      <c r="C25" s="125"/>
      <c r="D25" s="125"/>
      <c r="E25" s="52" t="s">
        <v>77</v>
      </c>
      <c r="F25" s="157"/>
      <c r="G25" s="72"/>
      <c r="H25" s="72"/>
      <c r="I25" s="72"/>
      <c r="J25" s="72"/>
      <c r="K25" s="72"/>
      <c r="L25" s="72"/>
      <c r="M25" s="156"/>
    </row>
    <row r="26" spans="1:13" ht="48.75" customHeight="1">
      <c r="A26" s="21"/>
      <c r="B26" s="113" t="s">
        <v>341</v>
      </c>
      <c r="C26" s="114" t="s">
        <v>84</v>
      </c>
      <c r="D26" s="83" t="s">
        <v>237</v>
      </c>
      <c r="E26" s="43" t="s">
        <v>123</v>
      </c>
      <c r="F26" s="44" t="s">
        <v>103</v>
      </c>
      <c r="G26" s="44" t="s">
        <v>124</v>
      </c>
      <c r="H26" s="44" t="s">
        <v>125</v>
      </c>
      <c r="I26" s="92">
        <v>0</v>
      </c>
      <c r="J26" s="116" t="s">
        <v>342</v>
      </c>
      <c r="K26" s="117"/>
      <c r="L26" s="117"/>
      <c r="M26" s="61" t="s">
        <v>473</v>
      </c>
    </row>
    <row r="27" spans="1:13" ht="53.25" customHeight="1">
      <c r="A27" s="21"/>
      <c r="B27" s="113" t="s">
        <v>341</v>
      </c>
      <c r="C27" s="114" t="s">
        <v>78</v>
      </c>
      <c r="D27" s="83" t="s">
        <v>240</v>
      </c>
      <c r="E27" s="43" t="s">
        <v>126</v>
      </c>
      <c r="F27" s="44" t="s">
        <v>127</v>
      </c>
      <c r="G27" s="44" t="s">
        <v>128</v>
      </c>
      <c r="H27" s="44" t="s">
        <v>129</v>
      </c>
      <c r="I27" s="92">
        <v>0</v>
      </c>
      <c r="J27" s="116" t="s">
        <v>342</v>
      </c>
      <c r="K27" s="117"/>
      <c r="L27" s="117"/>
      <c r="M27" s="61" t="s">
        <v>473</v>
      </c>
    </row>
    <row r="28" spans="1:13" ht="52.5" customHeight="1">
      <c r="A28" s="21"/>
      <c r="B28" s="113" t="s">
        <v>341</v>
      </c>
      <c r="C28" s="114" t="s">
        <v>78</v>
      </c>
      <c r="D28" s="83" t="s">
        <v>240</v>
      </c>
      <c r="E28" s="43" t="s">
        <v>130</v>
      </c>
      <c r="F28" s="44" t="s">
        <v>127</v>
      </c>
      <c r="G28" s="44" t="s">
        <v>131</v>
      </c>
      <c r="H28" s="44" t="s">
        <v>132</v>
      </c>
      <c r="I28" s="92">
        <v>0</v>
      </c>
      <c r="J28" s="116" t="s">
        <v>342</v>
      </c>
      <c r="K28" s="117"/>
      <c r="L28" s="117"/>
      <c r="M28" s="61" t="s">
        <v>473</v>
      </c>
    </row>
    <row r="29" spans="1:13" ht="53.25" customHeight="1">
      <c r="A29" s="21"/>
      <c r="B29" s="113" t="s">
        <v>341</v>
      </c>
      <c r="C29" s="114" t="s">
        <v>85</v>
      </c>
      <c r="D29" s="83" t="s">
        <v>240</v>
      </c>
      <c r="E29" s="43" t="s">
        <v>351</v>
      </c>
      <c r="F29" s="44" t="s">
        <v>127</v>
      </c>
      <c r="G29" s="44" t="s">
        <v>134</v>
      </c>
      <c r="H29" s="44" t="s">
        <v>135</v>
      </c>
      <c r="I29" s="92">
        <v>0</v>
      </c>
      <c r="J29" s="116" t="s">
        <v>342</v>
      </c>
      <c r="K29" s="117"/>
      <c r="L29" s="117"/>
      <c r="M29" s="61" t="s">
        <v>473</v>
      </c>
    </row>
    <row r="30" spans="1:13" ht="22.5" customHeight="1">
      <c r="A30" s="21"/>
      <c r="B30" s="113" t="s">
        <v>341</v>
      </c>
      <c r="C30" s="114" t="s">
        <v>85</v>
      </c>
      <c r="D30" s="42">
        <v>45838</v>
      </c>
      <c r="E30" s="43" t="s">
        <v>136</v>
      </c>
      <c r="F30" s="44" t="s">
        <v>127</v>
      </c>
      <c r="G30" s="44" t="s">
        <v>352</v>
      </c>
      <c r="H30" s="44" t="s">
        <v>138</v>
      </c>
      <c r="I30" s="92">
        <v>0</v>
      </c>
      <c r="J30" s="116" t="s">
        <v>342</v>
      </c>
      <c r="K30" s="117"/>
      <c r="L30" s="117"/>
      <c r="M30" s="61" t="s">
        <v>473</v>
      </c>
    </row>
    <row r="31" spans="1:13" ht="29.25" customHeight="1">
      <c r="A31" s="21"/>
      <c r="B31" s="113" t="s">
        <v>341</v>
      </c>
      <c r="C31" s="114" t="s">
        <v>85</v>
      </c>
      <c r="D31" s="42">
        <v>45991</v>
      </c>
      <c r="E31" s="43" t="s">
        <v>139</v>
      </c>
      <c r="F31" s="44" t="s">
        <v>127</v>
      </c>
      <c r="G31" s="44" t="s">
        <v>353</v>
      </c>
      <c r="H31" s="44" t="s">
        <v>139</v>
      </c>
      <c r="I31" s="92">
        <v>0</v>
      </c>
      <c r="J31" s="116" t="s">
        <v>342</v>
      </c>
      <c r="K31" s="117"/>
      <c r="L31" s="117"/>
      <c r="M31" s="61" t="s">
        <v>473</v>
      </c>
    </row>
    <row r="32" spans="1:13" ht="24.75" customHeight="1">
      <c r="A32" s="21"/>
      <c r="B32" s="113" t="s">
        <v>341</v>
      </c>
      <c r="C32" s="114" t="s">
        <v>85</v>
      </c>
      <c r="D32" s="42">
        <v>46011</v>
      </c>
      <c r="E32" s="43" t="s">
        <v>141</v>
      </c>
      <c r="F32" s="44" t="s">
        <v>127</v>
      </c>
      <c r="G32" s="44" t="s">
        <v>244</v>
      </c>
      <c r="H32" s="44" t="s">
        <v>418</v>
      </c>
      <c r="I32" s="92">
        <v>0</v>
      </c>
      <c r="J32" s="116" t="s">
        <v>342</v>
      </c>
      <c r="K32" s="117"/>
      <c r="L32" s="117"/>
      <c r="M32" s="61" t="s">
        <v>473</v>
      </c>
    </row>
    <row r="33" spans="1:26" ht="48" customHeight="1">
      <c r="A33" s="21"/>
      <c r="B33" s="113" t="s">
        <v>341</v>
      </c>
      <c r="C33" s="114" t="s">
        <v>78</v>
      </c>
      <c r="D33" s="83" t="s">
        <v>246</v>
      </c>
      <c r="E33" s="43" t="s">
        <v>144</v>
      </c>
      <c r="F33" s="44" t="s">
        <v>103</v>
      </c>
      <c r="G33" s="44" t="s">
        <v>120</v>
      </c>
      <c r="H33" s="44" t="s">
        <v>145</v>
      </c>
      <c r="I33" s="92">
        <v>0</v>
      </c>
      <c r="J33" s="116" t="s">
        <v>342</v>
      </c>
      <c r="K33" s="117"/>
      <c r="L33" s="117"/>
      <c r="M33" s="61" t="s">
        <v>473</v>
      </c>
    </row>
    <row r="34" spans="1:26" ht="46.5" customHeight="1">
      <c r="A34" s="21"/>
      <c r="B34" s="113" t="s">
        <v>341</v>
      </c>
      <c r="C34" s="114" t="s">
        <v>78</v>
      </c>
      <c r="D34" s="83" t="s">
        <v>153</v>
      </c>
      <c r="E34" s="43" t="s">
        <v>146</v>
      </c>
      <c r="F34" s="44" t="s">
        <v>147</v>
      </c>
      <c r="G34" s="44" t="s">
        <v>148</v>
      </c>
      <c r="H34" s="44" t="s">
        <v>149</v>
      </c>
      <c r="I34" s="92">
        <v>0</v>
      </c>
      <c r="J34" s="116" t="s">
        <v>342</v>
      </c>
      <c r="K34" s="117"/>
      <c r="L34" s="117"/>
      <c r="M34" s="61" t="s">
        <v>473</v>
      </c>
    </row>
    <row r="35" spans="1:26" ht="51" customHeight="1">
      <c r="A35" s="21"/>
      <c r="B35" s="113" t="s">
        <v>341</v>
      </c>
      <c r="C35" s="114" t="s">
        <v>78</v>
      </c>
      <c r="D35" s="83" t="s">
        <v>153</v>
      </c>
      <c r="E35" s="43" t="s">
        <v>150</v>
      </c>
      <c r="F35" s="44" t="s">
        <v>147</v>
      </c>
      <c r="G35" s="44" t="s">
        <v>151</v>
      </c>
      <c r="H35" s="44" t="s">
        <v>152</v>
      </c>
      <c r="I35" s="92">
        <v>0</v>
      </c>
      <c r="J35" s="116" t="s">
        <v>342</v>
      </c>
      <c r="K35" s="117"/>
      <c r="L35" s="117"/>
      <c r="M35" s="61" t="s">
        <v>473</v>
      </c>
    </row>
    <row r="36" spans="1:26" ht="48.75" customHeight="1">
      <c r="A36" s="21"/>
      <c r="B36" s="113" t="s">
        <v>341</v>
      </c>
      <c r="C36" s="114" t="s">
        <v>78</v>
      </c>
      <c r="D36" s="83" t="s">
        <v>153</v>
      </c>
      <c r="E36" s="43" t="s">
        <v>154</v>
      </c>
      <c r="F36" s="44" t="s">
        <v>147</v>
      </c>
      <c r="G36" s="44" t="s">
        <v>155</v>
      </c>
      <c r="H36" s="44" t="s">
        <v>249</v>
      </c>
      <c r="I36" s="92">
        <v>0</v>
      </c>
      <c r="J36" s="116" t="s">
        <v>342</v>
      </c>
      <c r="K36" s="117"/>
      <c r="L36" s="117"/>
      <c r="M36" s="61" t="s">
        <v>473</v>
      </c>
    </row>
    <row r="37" spans="1:26" ht="45" customHeight="1">
      <c r="A37" s="21"/>
      <c r="B37" s="113" t="s">
        <v>341</v>
      </c>
      <c r="C37" s="114" t="s">
        <v>85</v>
      </c>
      <c r="D37" s="83" t="s">
        <v>280</v>
      </c>
      <c r="E37" s="43" t="s">
        <v>157</v>
      </c>
      <c r="F37" s="44" t="s">
        <v>158</v>
      </c>
      <c r="G37" s="44" t="s">
        <v>159</v>
      </c>
      <c r="H37" s="44" t="s">
        <v>160</v>
      </c>
      <c r="I37" s="92">
        <v>0</v>
      </c>
      <c r="J37" s="116" t="s">
        <v>342</v>
      </c>
      <c r="K37" s="117"/>
      <c r="L37" s="117"/>
      <c r="M37" s="61" t="s">
        <v>473</v>
      </c>
    </row>
    <row r="38" spans="1:26" ht="27.75" customHeight="1">
      <c r="A38" s="21"/>
      <c r="B38" s="118"/>
      <c r="C38" s="118"/>
      <c r="D38" s="118"/>
      <c r="E38" s="52" t="s">
        <v>93</v>
      </c>
      <c r="F38" s="156"/>
      <c r="G38" s="72"/>
      <c r="H38" s="72"/>
      <c r="I38" s="72"/>
      <c r="J38" s="72"/>
      <c r="K38" s="72"/>
      <c r="L38" s="72"/>
      <c r="M38" s="156"/>
      <c r="W38" s="36"/>
      <c r="X38" s="36"/>
      <c r="Y38" s="36"/>
      <c r="Z38" s="36"/>
    </row>
    <row r="39" spans="1:26" ht="42.75" customHeight="1">
      <c r="A39" s="21"/>
      <c r="B39" s="113" t="s">
        <v>356</v>
      </c>
      <c r="C39" s="114" t="s">
        <v>78</v>
      </c>
      <c r="D39" s="83" t="s">
        <v>253</v>
      </c>
      <c r="E39" s="43" t="s">
        <v>161</v>
      </c>
      <c r="F39" s="44" t="s">
        <v>127</v>
      </c>
      <c r="G39" s="44" t="s">
        <v>162</v>
      </c>
      <c r="H39" s="44" t="s">
        <v>163</v>
      </c>
      <c r="I39" s="92">
        <v>0</v>
      </c>
      <c r="J39" s="116" t="s">
        <v>342</v>
      </c>
      <c r="K39" s="117"/>
      <c r="L39" s="117"/>
      <c r="M39" s="61" t="s">
        <v>473</v>
      </c>
    </row>
    <row r="40" spans="1:26" ht="38.25" customHeight="1">
      <c r="A40" s="21"/>
      <c r="B40" s="113" t="s">
        <v>356</v>
      </c>
      <c r="C40" s="114" t="s">
        <v>78</v>
      </c>
      <c r="D40" s="83" t="s">
        <v>253</v>
      </c>
      <c r="E40" s="43" t="s">
        <v>164</v>
      </c>
      <c r="F40" s="44" t="s">
        <v>165</v>
      </c>
      <c r="G40" s="44" t="s">
        <v>166</v>
      </c>
      <c r="H40" s="44" t="s">
        <v>167</v>
      </c>
      <c r="I40" s="92">
        <v>0</v>
      </c>
      <c r="J40" s="116" t="s">
        <v>342</v>
      </c>
      <c r="K40" s="117"/>
      <c r="L40" s="117"/>
      <c r="M40" s="61" t="s">
        <v>473</v>
      </c>
    </row>
    <row r="41" spans="1:26" ht="26.25" customHeight="1">
      <c r="A41" s="21"/>
      <c r="B41" s="113" t="s">
        <v>356</v>
      </c>
      <c r="C41" s="114" t="s">
        <v>85</v>
      </c>
      <c r="D41" s="83" t="s">
        <v>255</v>
      </c>
      <c r="E41" s="43" t="s">
        <v>168</v>
      </c>
      <c r="F41" s="44" t="s">
        <v>169</v>
      </c>
      <c r="G41" s="44" t="s">
        <v>170</v>
      </c>
      <c r="H41" s="44" t="s">
        <v>171</v>
      </c>
      <c r="I41" s="92">
        <v>0</v>
      </c>
      <c r="J41" s="116" t="s">
        <v>342</v>
      </c>
      <c r="K41" s="117"/>
      <c r="L41" s="117"/>
      <c r="M41" s="61" t="s">
        <v>473</v>
      </c>
    </row>
    <row r="42" spans="1:26" ht="27.75" customHeight="1">
      <c r="A42" s="21"/>
      <c r="B42" s="118"/>
      <c r="C42" s="118"/>
      <c r="D42" s="118"/>
      <c r="E42" s="52" t="s">
        <v>101</v>
      </c>
      <c r="F42" s="156"/>
      <c r="G42" s="72"/>
      <c r="H42" s="72"/>
      <c r="I42" s="72"/>
      <c r="J42" s="72"/>
      <c r="K42" s="72"/>
      <c r="L42" s="72"/>
      <c r="M42" s="156"/>
      <c r="W42" s="36"/>
      <c r="X42" s="36"/>
      <c r="Y42" s="36"/>
      <c r="Z42" s="36"/>
    </row>
    <row r="43" spans="1:26" ht="45.75" customHeight="1">
      <c r="A43" s="21"/>
      <c r="B43" s="113" t="s">
        <v>356</v>
      </c>
      <c r="C43" s="114" t="s">
        <v>84</v>
      </c>
      <c r="D43" s="83" t="s">
        <v>172</v>
      </c>
      <c r="E43" s="43" t="s">
        <v>173</v>
      </c>
      <c r="F43" s="44" t="s">
        <v>174</v>
      </c>
      <c r="G43" s="44" t="s">
        <v>175</v>
      </c>
      <c r="H43" s="44" t="s">
        <v>176</v>
      </c>
      <c r="I43" s="92">
        <v>0</v>
      </c>
      <c r="J43" s="116" t="s">
        <v>342</v>
      </c>
      <c r="K43" s="117"/>
      <c r="L43" s="117"/>
      <c r="M43" s="61" t="s">
        <v>473</v>
      </c>
    </row>
    <row r="44" spans="1:26" ht="39.75" customHeight="1">
      <c r="A44" s="21"/>
      <c r="B44" s="113" t="s">
        <v>356</v>
      </c>
      <c r="C44" s="114" t="s">
        <v>84</v>
      </c>
      <c r="D44" s="83" t="s">
        <v>172</v>
      </c>
      <c r="E44" s="43" t="s">
        <v>177</v>
      </c>
      <c r="F44" s="44" t="s">
        <v>174</v>
      </c>
      <c r="G44" s="44" t="s">
        <v>178</v>
      </c>
      <c r="H44" s="44" t="s">
        <v>179</v>
      </c>
      <c r="I44" s="92">
        <v>0</v>
      </c>
      <c r="J44" s="116" t="s">
        <v>342</v>
      </c>
      <c r="K44" s="117"/>
      <c r="L44" s="117"/>
      <c r="M44" s="61" t="s">
        <v>473</v>
      </c>
    </row>
    <row r="45" spans="1:26" ht="39.75" customHeight="1">
      <c r="A45" s="21"/>
      <c r="B45" s="113" t="s">
        <v>356</v>
      </c>
      <c r="C45" s="114" t="s">
        <v>84</v>
      </c>
      <c r="D45" s="83" t="s">
        <v>180</v>
      </c>
      <c r="E45" s="43" t="s">
        <v>181</v>
      </c>
      <c r="F45" s="44" t="s">
        <v>174</v>
      </c>
      <c r="G45" s="44" t="s">
        <v>182</v>
      </c>
      <c r="H45" s="44" t="s">
        <v>183</v>
      </c>
      <c r="I45" s="92">
        <v>0</v>
      </c>
      <c r="J45" s="116" t="s">
        <v>342</v>
      </c>
      <c r="K45" s="117"/>
      <c r="L45" s="117"/>
      <c r="M45" s="61" t="s">
        <v>473</v>
      </c>
    </row>
    <row r="46" spans="1:26" ht="30" customHeight="1">
      <c r="A46" s="21"/>
      <c r="B46" s="125" t="s">
        <v>184</v>
      </c>
      <c r="C46" s="125"/>
      <c r="D46" s="125"/>
      <c r="E46" s="52" t="s">
        <v>77</v>
      </c>
      <c r="F46" s="157"/>
      <c r="G46" s="72"/>
      <c r="H46" s="72"/>
      <c r="I46" s="72"/>
      <c r="J46" s="72"/>
      <c r="K46" s="72"/>
      <c r="L46" s="72"/>
      <c r="M46" s="156"/>
    </row>
    <row r="47" spans="1:26" ht="53.25" customHeight="1">
      <c r="A47" s="21"/>
      <c r="B47" s="113" t="s">
        <v>341</v>
      </c>
      <c r="C47" s="114" t="s">
        <v>78</v>
      </c>
      <c r="D47" s="83" t="s">
        <v>240</v>
      </c>
      <c r="E47" s="43" t="s">
        <v>185</v>
      </c>
      <c r="F47" s="44" t="s">
        <v>186</v>
      </c>
      <c r="G47" s="44" t="s">
        <v>187</v>
      </c>
      <c r="H47" s="44" t="s">
        <v>360</v>
      </c>
      <c r="I47" s="92">
        <v>0</v>
      </c>
      <c r="J47" s="116" t="s">
        <v>342</v>
      </c>
      <c r="K47" s="117"/>
      <c r="L47" s="117"/>
      <c r="M47" s="61" t="s">
        <v>473</v>
      </c>
    </row>
    <row r="48" spans="1:26" ht="50.25" customHeight="1">
      <c r="A48" s="21"/>
      <c r="B48" s="113" t="s">
        <v>341</v>
      </c>
      <c r="C48" s="114" t="s">
        <v>85</v>
      </c>
      <c r="D48" s="83" t="s">
        <v>267</v>
      </c>
      <c r="E48" s="43" t="s">
        <v>189</v>
      </c>
      <c r="F48" s="44" t="s">
        <v>186</v>
      </c>
      <c r="G48" s="44" t="s">
        <v>190</v>
      </c>
      <c r="H48" s="44" t="s">
        <v>191</v>
      </c>
      <c r="I48" s="92">
        <v>0</v>
      </c>
      <c r="J48" s="116" t="s">
        <v>342</v>
      </c>
      <c r="K48" s="117"/>
      <c r="L48" s="117"/>
      <c r="M48" s="61" t="s">
        <v>473</v>
      </c>
    </row>
    <row r="49" spans="1:39" ht="38.25" customHeight="1">
      <c r="A49" s="21"/>
      <c r="B49" s="113" t="s">
        <v>341</v>
      </c>
      <c r="C49" s="114" t="s">
        <v>85</v>
      </c>
      <c r="D49" s="83" t="s">
        <v>258</v>
      </c>
      <c r="E49" s="43" t="s">
        <v>192</v>
      </c>
      <c r="F49" s="44" t="s">
        <v>186</v>
      </c>
      <c r="G49" s="44" t="s">
        <v>193</v>
      </c>
      <c r="H49" s="44" t="s">
        <v>194</v>
      </c>
      <c r="I49" s="92">
        <v>0</v>
      </c>
      <c r="J49" s="116" t="s">
        <v>342</v>
      </c>
      <c r="K49" s="117"/>
      <c r="L49" s="117"/>
      <c r="M49" s="61" t="s">
        <v>473</v>
      </c>
    </row>
    <row r="50" spans="1:39" ht="27.75" customHeight="1">
      <c r="A50" s="21"/>
      <c r="B50" s="118"/>
      <c r="C50" s="118"/>
      <c r="D50" s="118"/>
      <c r="E50" s="52" t="s">
        <v>93</v>
      </c>
      <c r="F50" s="156"/>
      <c r="G50" s="72"/>
      <c r="H50" s="72"/>
      <c r="I50" s="72"/>
      <c r="J50" s="72"/>
      <c r="K50" s="72"/>
      <c r="L50" s="72"/>
      <c r="M50" s="156"/>
      <c r="W50" s="36"/>
      <c r="X50" s="36"/>
      <c r="Y50" s="36"/>
      <c r="Z50" s="36"/>
    </row>
    <row r="51" spans="1:39" ht="51" customHeight="1">
      <c r="A51" s="21"/>
      <c r="B51" s="113" t="s">
        <v>356</v>
      </c>
      <c r="C51" s="114" t="s">
        <v>84</v>
      </c>
      <c r="D51" s="83" t="s">
        <v>258</v>
      </c>
      <c r="E51" s="43" t="s">
        <v>195</v>
      </c>
      <c r="F51" s="44" t="s">
        <v>196</v>
      </c>
      <c r="G51" s="44" t="s">
        <v>197</v>
      </c>
      <c r="H51" s="44" t="s">
        <v>198</v>
      </c>
      <c r="I51" s="92">
        <v>0</v>
      </c>
      <c r="J51" s="116" t="s">
        <v>342</v>
      </c>
      <c r="K51" s="117"/>
      <c r="L51" s="117"/>
      <c r="M51" s="61" t="s">
        <v>473</v>
      </c>
    </row>
    <row r="52" spans="1:39" ht="57" customHeight="1">
      <c r="A52" s="21"/>
      <c r="B52" s="113" t="s">
        <v>356</v>
      </c>
      <c r="C52" s="114" t="s">
        <v>84</v>
      </c>
      <c r="D52" s="83" t="s">
        <v>240</v>
      </c>
      <c r="E52" s="43" t="s">
        <v>200</v>
      </c>
      <c r="F52" s="44" t="s">
        <v>201</v>
      </c>
      <c r="G52" s="44" t="s">
        <v>202</v>
      </c>
      <c r="H52" s="44" t="s">
        <v>203</v>
      </c>
      <c r="I52" s="92">
        <v>0</v>
      </c>
      <c r="J52" s="116" t="s">
        <v>342</v>
      </c>
      <c r="K52" s="117"/>
      <c r="L52" s="117"/>
      <c r="M52" s="61" t="s">
        <v>473</v>
      </c>
    </row>
    <row r="53" spans="1:39" ht="27.75" customHeight="1">
      <c r="A53" s="21"/>
      <c r="B53" s="118"/>
      <c r="C53" s="118"/>
      <c r="D53" s="118"/>
      <c r="E53" s="52" t="s">
        <v>101</v>
      </c>
      <c r="F53" s="156"/>
      <c r="G53" s="72"/>
      <c r="H53" s="72"/>
      <c r="I53" s="72"/>
      <c r="J53" s="72"/>
      <c r="K53" s="72"/>
      <c r="L53" s="72"/>
      <c r="M53" s="156"/>
      <c r="W53" s="36"/>
      <c r="X53" s="36"/>
      <c r="Y53" s="36"/>
      <c r="Z53" s="36"/>
    </row>
    <row r="54" spans="1:39" ht="52.5" customHeight="1">
      <c r="A54" s="21"/>
      <c r="B54" s="113" t="s">
        <v>356</v>
      </c>
      <c r="C54" s="114" t="s">
        <v>85</v>
      </c>
      <c r="D54" s="83" t="s">
        <v>240</v>
      </c>
      <c r="E54" s="43" t="s">
        <v>204</v>
      </c>
      <c r="F54" s="44" t="s">
        <v>205</v>
      </c>
      <c r="G54" s="44" t="s">
        <v>206</v>
      </c>
      <c r="H54" s="44" t="s">
        <v>207</v>
      </c>
      <c r="I54" s="92">
        <v>0</v>
      </c>
      <c r="J54" s="116" t="s">
        <v>342</v>
      </c>
      <c r="K54" s="117"/>
      <c r="L54" s="117"/>
      <c r="M54" s="61" t="s">
        <v>473</v>
      </c>
    </row>
    <row r="55" spans="1:39" ht="30" customHeight="1">
      <c r="A55" s="21"/>
      <c r="B55" s="125" t="s">
        <v>208</v>
      </c>
      <c r="C55" s="125"/>
      <c r="D55" s="125"/>
      <c r="E55" s="52" t="s">
        <v>77</v>
      </c>
      <c r="F55" s="156"/>
      <c r="G55" s="72"/>
      <c r="H55" s="72"/>
      <c r="I55" s="72"/>
      <c r="J55" s="72"/>
      <c r="K55" s="72"/>
      <c r="L55" s="72"/>
      <c r="M55" s="156"/>
    </row>
    <row r="56" spans="1:39" ht="30" customHeight="1">
      <c r="A56" s="21"/>
      <c r="B56" s="113" t="s">
        <v>341</v>
      </c>
      <c r="C56" s="114" t="s">
        <v>85</v>
      </c>
      <c r="D56" s="83" t="s">
        <v>260</v>
      </c>
      <c r="E56" s="43" t="s">
        <v>209</v>
      </c>
      <c r="F56" s="44" t="s">
        <v>210</v>
      </c>
      <c r="G56" s="44" t="s">
        <v>211</v>
      </c>
      <c r="H56" s="44" t="s">
        <v>212</v>
      </c>
      <c r="I56" s="92">
        <v>0</v>
      </c>
      <c r="J56" s="116" t="s">
        <v>342</v>
      </c>
      <c r="K56" s="117"/>
      <c r="L56" s="117"/>
      <c r="M56" s="61" t="s">
        <v>473</v>
      </c>
    </row>
    <row r="57" spans="1:39" ht="30" customHeight="1">
      <c r="A57" s="21"/>
      <c r="B57" s="113" t="s">
        <v>341</v>
      </c>
      <c r="C57" s="114" t="s">
        <v>85</v>
      </c>
      <c r="D57" s="83" t="s">
        <v>287</v>
      </c>
      <c r="E57" s="43" t="s">
        <v>213</v>
      </c>
      <c r="F57" s="44" t="s">
        <v>210</v>
      </c>
      <c r="G57" s="44" t="s">
        <v>214</v>
      </c>
      <c r="H57" s="44" t="s">
        <v>363</v>
      </c>
      <c r="I57" s="92">
        <v>0</v>
      </c>
      <c r="J57" s="116" t="s">
        <v>342</v>
      </c>
      <c r="K57" s="117"/>
      <c r="L57" s="117"/>
      <c r="M57" s="61" t="s">
        <v>473</v>
      </c>
    </row>
    <row r="58" spans="1:39" ht="44.25" customHeight="1">
      <c r="A58" s="21"/>
      <c r="B58" s="113" t="s">
        <v>341</v>
      </c>
      <c r="C58" s="114" t="s">
        <v>78</v>
      </c>
      <c r="D58" s="83" t="s">
        <v>261</v>
      </c>
      <c r="E58" s="43" t="s">
        <v>217</v>
      </c>
      <c r="F58" s="44" t="s">
        <v>210</v>
      </c>
      <c r="G58" s="44" t="s">
        <v>218</v>
      </c>
      <c r="H58" s="44" t="s">
        <v>219</v>
      </c>
      <c r="I58" s="92">
        <v>0</v>
      </c>
      <c r="J58" s="116" t="s">
        <v>342</v>
      </c>
      <c r="K58" s="117"/>
      <c r="L58" s="117"/>
      <c r="M58" s="61" t="s">
        <v>473</v>
      </c>
    </row>
    <row r="59" spans="1:39" ht="14.25" customHeight="1">
      <c r="A59" s="21"/>
      <c r="C59" s="14"/>
      <c r="E59" s="14"/>
      <c r="G59" s="14"/>
      <c r="I59" s="14">
        <v>0</v>
      </c>
      <c r="K59" s="14"/>
      <c r="M59" s="14"/>
      <c r="W59" s="14"/>
      <c r="Y59" s="14"/>
      <c r="AA59" s="14"/>
      <c r="AC59" s="14"/>
      <c r="AE59" s="14"/>
      <c r="AG59" s="14"/>
      <c r="AI59" s="14"/>
      <c r="AK59" s="14"/>
      <c r="AM59" s="14"/>
    </row>
    <row r="60" spans="1:39" ht="14.25" customHeight="1">
      <c r="A60" s="21"/>
      <c r="C60" s="14"/>
      <c r="E60" s="14"/>
      <c r="AC60" s="14"/>
      <c r="AE60" s="14"/>
      <c r="AG60" s="14"/>
      <c r="AI60" s="14"/>
      <c r="AK60" s="14"/>
      <c r="AM60" s="14"/>
    </row>
    <row r="61" spans="1:39" ht="14.25" customHeight="1">
      <c r="A61" s="21"/>
      <c r="B61" s="127" t="s">
        <v>220</v>
      </c>
      <c r="C61" s="127"/>
      <c r="D61" s="63" t="s">
        <v>221</v>
      </c>
      <c r="E61" s="121" t="s">
        <v>222</v>
      </c>
    </row>
    <row r="62" spans="1:39" ht="14.25" customHeight="1">
      <c r="A62" s="21"/>
      <c r="B62" s="128" t="s">
        <v>223</v>
      </c>
      <c r="C62" s="128"/>
      <c r="D62" s="65">
        <v>0</v>
      </c>
      <c r="E62" s="122">
        <f>+D62/D66</f>
        <v>0</v>
      </c>
    </row>
    <row r="63" spans="1:39" ht="25.5" customHeight="1">
      <c r="A63" s="21"/>
      <c r="B63" s="129" t="s">
        <v>224</v>
      </c>
      <c r="C63" s="129"/>
      <c r="D63" s="65">
        <v>0</v>
      </c>
      <c r="E63" s="122">
        <f>+D63/D66</f>
        <v>0</v>
      </c>
    </row>
    <row r="64" spans="1:39" ht="20.25" customHeight="1">
      <c r="A64" s="21"/>
      <c r="B64" s="131" t="s">
        <v>225</v>
      </c>
      <c r="C64" s="131"/>
      <c r="D64" s="65">
        <v>0</v>
      </c>
      <c r="E64" s="122">
        <f>+D64/D66</f>
        <v>0</v>
      </c>
    </row>
    <row r="65" spans="1:7" ht="14.25" customHeight="1">
      <c r="A65" s="21"/>
      <c r="B65" s="132" t="s">
        <v>226</v>
      </c>
      <c r="C65" s="132"/>
      <c r="D65" s="65">
        <v>38</v>
      </c>
      <c r="E65" s="122">
        <f>+D65/D66</f>
        <v>1</v>
      </c>
    </row>
    <row r="66" spans="1:7" ht="14.25" customHeight="1">
      <c r="A66" s="21"/>
      <c r="B66" s="133" t="s">
        <v>227</v>
      </c>
      <c r="C66" s="133"/>
      <c r="D66" s="63">
        <v>38</v>
      </c>
      <c r="E66" s="123">
        <f>+D66/D66</f>
        <v>1</v>
      </c>
    </row>
    <row r="67" spans="1:7" ht="14.25" customHeight="1"/>
    <row r="68" spans="1:7" ht="14.25" customHeight="1"/>
    <row r="69" spans="1:7" ht="14.25" customHeight="1"/>
    <row r="70" spans="1:7" ht="14.25" customHeight="1"/>
    <row r="71" spans="1:7" ht="14.25" customHeight="1"/>
    <row r="72" spans="1:7" ht="14.25" customHeight="1"/>
    <row r="73" spans="1:7" ht="14.25" customHeight="1"/>
    <row r="74" spans="1:7" ht="14.25" customHeight="1"/>
    <row r="75" spans="1:7" ht="14.25" customHeight="1"/>
    <row r="76" spans="1:7" ht="14.25" customHeight="1"/>
    <row r="77" spans="1:7" ht="14.25" customHeight="1">
      <c r="G77" s="14"/>
    </row>
    <row r="78" spans="1:7" ht="14.25" customHeight="1">
      <c r="A78" s="21"/>
      <c r="D78" s="21"/>
      <c r="G78" s="14"/>
    </row>
    <row r="79" spans="1:7" ht="14.25" customHeight="1">
      <c r="A79" s="21"/>
      <c r="D79" s="21"/>
      <c r="G79" s="14"/>
    </row>
    <row r="80" spans="1:7" ht="14.25" customHeight="1">
      <c r="A80" s="21"/>
      <c r="D80" s="21"/>
      <c r="G80" s="14"/>
    </row>
    <row r="81" spans="1:7" ht="14.25" customHeight="1">
      <c r="A81" s="21"/>
      <c r="D81" s="21"/>
      <c r="G81" s="14"/>
    </row>
    <row r="82" spans="1:7" ht="14.25" customHeight="1">
      <c r="A82" s="21"/>
      <c r="D82" s="21"/>
      <c r="G82" s="14"/>
    </row>
    <row r="83" spans="1:7" ht="14.25" customHeight="1">
      <c r="A83" s="21"/>
      <c r="D83" s="21"/>
      <c r="G83" s="14"/>
    </row>
    <row r="84" spans="1:7" ht="14.25" customHeight="1">
      <c r="A84" s="21"/>
      <c r="D84" s="21"/>
      <c r="G84" s="14"/>
    </row>
    <row r="85" spans="1:7" ht="14.25" customHeight="1">
      <c r="A85" s="21"/>
      <c r="D85" s="21"/>
      <c r="G85" s="14"/>
    </row>
    <row r="86" spans="1:7" ht="14.25" customHeight="1">
      <c r="A86" s="21"/>
      <c r="D86" s="21"/>
      <c r="G86" s="14"/>
    </row>
    <row r="87" spans="1:7" ht="14.25" customHeight="1">
      <c r="A87" s="21"/>
      <c r="D87" s="21"/>
      <c r="G87" s="14"/>
    </row>
    <row r="88" spans="1:7" ht="14.25" customHeight="1">
      <c r="A88" s="21"/>
      <c r="D88" s="21"/>
      <c r="G88" s="14"/>
    </row>
    <row r="89" spans="1:7" ht="14.25" customHeight="1">
      <c r="A89" s="21"/>
      <c r="D89" s="21"/>
      <c r="G89" s="14"/>
    </row>
    <row r="90" spans="1:7" ht="14.25" customHeight="1">
      <c r="A90" s="21"/>
      <c r="D90" s="21"/>
      <c r="G90" s="14"/>
    </row>
    <row r="91" spans="1:7" ht="14.25" customHeight="1">
      <c r="A91" s="21"/>
      <c r="D91" s="21"/>
      <c r="G91" s="14"/>
    </row>
    <row r="92" spans="1:7" ht="14.25" customHeight="1">
      <c r="A92" s="21"/>
      <c r="D92" s="21"/>
      <c r="G92" s="14"/>
    </row>
    <row r="93" spans="1:7" ht="14.25" customHeight="1">
      <c r="A93" s="21"/>
      <c r="D93" s="21"/>
      <c r="G93" s="14"/>
    </row>
    <row r="94" spans="1:7" ht="14.25" customHeight="1">
      <c r="A94" s="21"/>
      <c r="D94" s="21"/>
      <c r="G94" s="14"/>
    </row>
    <row r="95" spans="1:7" ht="14.25" customHeight="1">
      <c r="A95" s="21"/>
      <c r="D95" s="21"/>
      <c r="G95" s="14"/>
    </row>
    <row r="96" spans="1:7" ht="14.25" customHeight="1">
      <c r="A96" s="21"/>
      <c r="D96" s="21"/>
      <c r="G96" s="14"/>
    </row>
    <row r="97" spans="1:7" ht="14.25" customHeight="1">
      <c r="A97" s="21"/>
      <c r="D97" s="21"/>
      <c r="G97" s="14"/>
    </row>
    <row r="98" spans="1:7" ht="14.25" customHeight="1">
      <c r="A98" s="21"/>
      <c r="D98" s="21"/>
      <c r="G98" s="14"/>
    </row>
    <row r="99" spans="1:7" ht="14.25" customHeight="1">
      <c r="A99" s="21"/>
      <c r="D99" s="21"/>
      <c r="G99" s="14"/>
    </row>
    <row r="100" spans="1:7" ht="14.25" customHeight="1">
      <c r="A100" s="21"/>
      <c r="D100" s="21"/>
      <c r="G100" s="14"/>
    </row>
    <row r="101" spans="1:7" ht="14.25" customHeight="1">
      <c r="A101" s="21"/>
      <c r="D101" s="21"/>
      <c r="G101" s="14"/>
    </row>
    <row r="102" spans="1:7" ht="14.25" customHeight="1">
      <c r="A102" s="21"/>
      <c r="D102" s="21"/>
      <c r="G102" s="14"/>
    </row>
    <row r="103" spans="1:7" ht="14.25" customHeight="1">
      <c r="A103" s="21"/>
      <c r="D103" s="21"/>
      <c r="G103" s="14"/>
    </row>
    <row r="104" spans="1:7" ht="14.25" customHeight="1">
      <c r="A104" s="21"/>
      <c r="D104" s="21"/>
      <c r="G104" s="14"/>
    </row>
    <row r="105" spans="1:7" ht="14.25" customHeight="1">
      <c r="A105" s="21"/>
      <c r="D105" s="21"/>
      <c r="G105" s="14"/>
    </row>
    <row r="106" spans="1:7" ht="14.25" customHeight="1">
      <c r="A106" s="21"/>
      <c r="D106" s="21"/>
      <c r="G106" s="14"/>
    </row>
    <row r="107" spans="1:7" ht="14.25" customHeight="1">
      <c r="A107" s="21"/>
      <c r="D107" s="21"/>
      <c r="G107" s="14"/>
    </row>
    <row r="108" spans="1:7" ht="14.25" customHeight="1">
      <c r="A108" s="21"/>
      <c r="D108" s="21"/>
      <c r="G108" s="14"/>
    </row>
    <row r="109" spans="1:7" ht="14.25" customHeight="1">
      <c r="A109" s="21"/>
      <c r="D109" s="21"/>
      <c r="G109" s="14"/>
    </row>
    <row r="110" spans="1:7" ht="14.25" customHeight="1">
      <c r="A110" s="21"/>
      <c r="D110" s="21"/>
      <c r="G110" s="14"/>
    </row>
    <row r="111" spans="1:7" ht="14.25" customHeight="1">
      <c r="A111" s="21"/>
      <c r="D111" s="21"/>
      <c r="G111" s="14"/>
    </row>
    <row r="112" spans="1:7" ht="14.25" customHeight="1">
      <c r="A112" s="21"/>
      <c r="D112" s="21"/>
      <c r="G112" s="14"/>
    </row>
    <row r="113" spans="1:7" ht="14.25" customHeight="1">
      <c r="A113" s="21"/>
      <c r="D113" s="21"/>
      <c r="G113" s="14"/>
    </row>
    <row r="114" spans="1:7" ht="14.25" customHeight="1">
      <c r="A114" s="21"/>
      <c r="D114" s="21"/>
      <c r="G114" s="14"/>
    </row>
    <row r="115" spans="1:7" ht="14.25" customHeight="1">
      <c r="A115" s="21"/>
      <c r="D115" s="21"/>
      <c r="G115" s="14"/>
    </row>
    <row r="116" spans="1:7" ht="14.25" customHeight="1">
      <c r="A116" s="21"/>
      <c r="D116" s="21"/>
      <c r="G116" s="14"/>
    </row>
    <row r="117" spans="1:7" ht="14.25" customHeight="1">
      <c r="A117" s="21"/>
      <c r="D117" s="21"/>
      <c r="G117" s="14"/>
    </row>
    <row r="118" spans="1:7" ht="14.25" customHeight="1">
      <c r="A118" s="21"/>
      <c r="D118" s="21"/>
      <c r="G118" s="14"/>
    </row>
    <row r="119" spans="1:7" ht="14.25" customHeight="1">
      <c r="A119" s="21"/>
      <c r="D119" s="21"/>
      <c r="G119" s="14"/>
    </row>
    <row r="120" spans="1:7" ht="14.25" customHeight="1">
      <c r="A120" s="21"/>
      <c r="D120" s="21"/>
      <c r="G120" s="14"/>
    </row>
    <row r="121" spans="1:7" ht="14.25" customHeight="1">
      <c r="A121" s="21"/>
      <c r="D121" s="21"/>
      <c r="G121" s="14"/>
    </row>
    <row r="122" spans="1:7" ht="14.25" customHeight="1">
      <c r="A122" s="21"/>
      <c r="D122" s="21"/>
      <c r="G122" s="14"/>
    </row>
    <row r="123" spans="1:7" ht="14.25" customHeight="1">
      <c r="A123" s="21"/>
      <c r="D123" s="21"/>
      <c r="G123" s="14"/>
    </row>
    <row r="124" spans="1:7" ht="14.25" customHeight="1">
      <c r="A124" s="21"/>
      <c r="D124" s="21"/>
      <c r="G124" s="14"/>
    </row>
    <row r="125" spans="1:7" ht="14.25" customHeight="1">
      <c r="A125" s="21"/>
      <c r="D125" s="21"/>
      <c r="G125" s="14"/>
    </row>
    <row r="126" spans="1:7" ht="14.25" customHeight="1">
      <c r="A126" s="21"/>
      <c r="D126" s="21"/>
      <c r="G126" s="14"/>
    </row>
    <row r="127" spans="1:7" ht="14.25" customHeight="1">
      <c r="A127" s="21"/>
      <c r="D127" s="21"/>
      <c r="G127" s="14"/>
    </row>
    <row r="128" spans="1:7" ht="14.25" customHeight="1">
      <c r="A128" s="21"/>
      <c r="D128" s="21"/>
      <c r="G128" s="14"/>
    </row>
    <row r="129" spans="1:7" ht="14.25" customHeight="1">
      <c r="A129" s="21"/>
      <c r="D129" s="21"/>
      <c r="G129" s="14"/>
    </row>
    <row r="130" spans="1:7" ht="14.25" customHeight="1">
      <c r="A130" s="21"/>
      <c r="D130" s="21"/>
      <c r="G130" s="14"/>
    </row>
    <row r="131" spans="1:7" ht="14.25" customHeight="1">
      <c r="A131" s="21"/>
      <c r="D131" s="21"/>
      <c r="G131" s="14"/>
    </row>
    <row r="132" spans="1:7" ht="14.25" customHeight="1">
      <c r="A132" s="21"/>
      <c r="D132" s="21"/>
      <c r="G132" s="14"/>
    </row>
    <row r="133" spans="1:7" ht="14.25" customHeight="1">
      <c r="A133" s="21"/>
      <c r="D133" s="21"/>
      <c r="G133" s="14"/>
    </row>
    <row r="134" spans="1:7" ht="14.25" customHeight="1">
      <c r="A134" s="21"/>
      <c r="D134" s="21"/>
      <c r="G134" s="14"/>
    </row>
    <row r="135" spans="1:7" ht="14.25" customHeight="1">
      <c r="A135" s="21"/>
      <c r="D135" s="21"/>
      <c r="G135" s="14"/>
    </row>
    <row r="136" spans="1:7" ht="14.25" customHeight="1">
      <c r="A136" s="21"/>
      <c r="D136" s="21"/>
      <c r="G136" s="14"/>
    </row>
    <row r="137" spans="1:7" ht="14.25" customHeight="1">
      <c r="A137" s="21"/>
      <c r="D137" s="21"/>
      <c r="G137" s="14"/>
    </row>
    <row r="138" spans="1:7" ht="14.25" customHeight="1">
      <c r="A138" s="21"/>
      <c r="D138" s="21"/>
      <c r="G138" s="14"/>
    </row>
    <row r="139" spans="1:7" ht="14.25" customHeight="1">
      <c r="A139" s="21"/>
      <c r="D139" s="21"/>
      <c r="G139" s="14"/>
    </row>
    <row r="140" spans="1:7" ht="14.25" customHeight="1">
      <c r="A140" s="21"/>
      <c r="D140" s="21"/>
      <c r="G140" s="14"/>
    </row>
    <row r="141" spans="1:7" ht="14.25" customHeight="1">
      <c r="A141" s="21"/>
      <c r="D141" s="21"/>
      <c r="G141" s="14"/>
    </row>
    <row r="142" spans="1:7" ht="14.25" customHeight="1">
      <c r="A142" s="21"/>
      <c r="D142" s="21"/>
      <c r="G142" s="14"/>
    </row>
    <row r="143" spans="1:7" ht="14.25" customHeight="1">
      <c r="A143" s="21"/>
      <c r="D143" s="21"/>
      <c r="G143" s="14"/>
    </row>
    <row r="144" spans="1:7" ht="14.25" customHeight="1">
      <c r="A144" s="21"/>
      <c r="D144" s="21"/>
      <c r="G144" s="14"/>
    </row>
    <row r="145" spans="1:7" ht="14.25" customHeight="1">
      <c r="A145" s="21"/>
      <c r="D145" s="21"/>
      <c r="G145" s="14"/>
    </row>
    <row r="146" spans="1:7" ht="14.25" customHeight="1">
      <c r="A146" s="21"/>
      <c r="D146" s="21"/>
      <c r="G146" s="14"/>
    </row>
    <row r="147" spans="1:7" ht="14.25" customHeight="1">
      <c r="A147" s="21"/>
      <c r="D147" s="21"/>
      <c r="G147" s="14"/>
    </row>
    <row r="148" spans="1:7" ht="14.25" customHeight="1">
      <c r="A148" s="21"/>
      <c r="D148" s="21"/>
      <c r="G148" s="14"/>
    </row>
    <row r="149" spans="1:7" ht="14.25" customHeight="1">
      <c r="A149" s="21"/>
      <c r="D149" s="21"/>
      <c r="G149" s="14"/>
    </row>
    <row r="150" spans="1:7" ht="14.25" customHeight="1">
      <c r="A150" s="21"/>
      <c r="D150" s="21"/>
      <c r="G150" s="14"/>
    </row>
    <row r="151" spans="1:7" ht="14.25" customHeight="1">
      <c r="A151" s="21"/>
      <c r="D151" s="21"/>
      <c r="G151" s="14"/>
    </row>
    <row r="152" spans="1:7" ht="14.25" customHeight="1">
      <c r="A152" s="21"/>
      <c r="D152" s="21"/>
      <c r="G152" s="14"/>
    </row>
    <row r="153" spans="1:7" ht="14.25" customHeight="1">
      <c r="A153" s="21"/>
      <c r="D153" s="21"/>
      <c r="G153" s="14"/>
    </row>
    <row r="154" spans="1:7" ht="14.25" customHeight="1">
      <c r="A154" s="21"/>
      <c r="D154" s="21"/>
      <c r="G154" s="14"/>
    </row>
    <row r="155" spans="1:7" ht="14.25" customHeight="1">
      <c r="A155" s="21"/>
      <c r="D155" s="21"/>
      <c r="G155" s="14"/>
    </row>
    <row r="156" spans="1:7" ht="14.25" customHeight="1">
      <c r="A156" s="21"/>
      <c r="D156" s="21"/>
      <c r="G156" s="14"/>
    </row>
    <row r="157" spans="1:7" ht="14.25" customHeight="1">
      <c r="A157" s="21"/>
      <c r="D157" s="21"/>
      <c r="G157" s="14"/>
    </row>
    <row r="158" spans="1:7" ht="14.25" customHeight="1">
      <c r="A158" s="21"/>
      <c r="D158" s="21"/>
      <c r="G158" s="14"/>
    </row>
    <row r="159" spans="1:7" ht="14.25" customHeight="1">
      <c r="A159" s="21"/>
      <c r="D159" s="21"/>
      <c r="G159" s="14"/>
    </row>
    <row r="160" spans="1:7" ht="14.25" customHeight="1">
      <c r="A160" s="21"/>
      <c r="D160" s="21"/>
      <c r="G160" s="14"/>
    </row>
    <row r="161" spans="1:7" ht="14.25" customHeight="1">
      <c r="A161" s="21"/>
      <c r="D161" s="21"/>
      <c r="G161" s="14"/>
    </row>
    <row r="162" spans="1:7" ht="14.25" customHeight="1">
      <c r="A162" s="21"/>
      <c r="D162" s="21"/>
      <c r="G162" s="14"/>
    </row>
    <row r="163" spans="1:7" ht="14.25" customHeight="1">
      <c r="A163" s="21"/>
      <c r="D163" s="21"/>
      <c r="G163" s="14"/>
    </row>
    <row r="164" spans="1:7" ht="14.25" customHeight="1">
      <c r="A164" s="21"/>
      <c r="D164" s="21"/>
      <c r="G164" s="14"/>
    </row>
    <row r="165" spans="1:7" ht="14.25" customHeight="1">
      <c r="A165" s="21"/>
      <c r="D165" s="21"/>
      <c r="G165" s="14"/>
    </row>
    <row r="166" spans="1:7" ht="14.25" customHeight="1">
      <c r="A166" s="21"/>
      <c r="D166" s="21"/>
      <c r="G166" s="14"/>
    </row>
    <row r="167" spans="1:7" ht="14.25" customHeight="1">
      <c r="A167" s="21"/>
      <c r="D167" s="21"/>
      <c r="G167" s="14"/>
    </row>
    <row r="168" spans="1:7" ht="14.25" customHeight="1">
      <c r="A168" s="21"/>
      <c r="D168" s="21"/>
      <c r="G168" s="14"/>
    </row>
    <row r="169" spans="1:7" ht="14.25" customHeight="1">
      <c r="A169" s="21"/>
      <c r="D169" s="21"/>
      <c r="G169" s="14"/>
    </row>
    <row r="170" spans="1:7" ht="14.25" customHeight="1">
      <c r="A170" s="21"/>
      <c r="D170" s="21"/>
      <c r="G170" s="14"/>
    </row>
    <row r="171" spans="1:7" ht="14.25" customHeight="1">
      <c r="A171" s="21"/>
      <c r="D171" s="21"/>
      <c r="G171" s="14"/>
    </row>
    <row r="172" spans="1:7" ht="14.25" customHeight="1">
      <c r="A172" s="21"/>
      <c r="D172" s="21"/>
      <c r="G172" s="14"/>
    </row>
    <row r="173" spans="1:7" ht="14.25" customHeight="1">
      <c r="A173" s="21"/>
      <c r="D173" s="21"/>
      <c r="G173" s="14"/>
    </row>
    <row r="174" spans="1:7" ht="14.25" customHeight="1">
      <c r="A174" s="21"/>
      <c r="D174" s="21"/>
      <c r="G174" s="14"/>
    </row>
    <row r="175" spans="1:7" ht="14.25" customHeight="1">
      <c r="A175" s="21"/>
      <c r="D175" s="21"/>
      <c r="G175" s="14"/>
    </row>
    <row r="176" spans="1:7" ht="14.25" customHeight="1">
      <c r="A176" s="21"/>
      <c r="D176" s="21"/>
      <c r="G176" s="14"/>
    </row>
    <row r="177" spans="1:7" ht="14.25" customHeight="1">
      <c r="A177" s="21"/>
      <c r="D177" s="21"/>
      <c r="G177" s="14"/>
    </row>
    <row r="178" spans="1:7" ht="14.25" customHeight="1">
      <c r="A178" s="21"/>
      <c r="D178" s="21"/>
      <c r="G178" s="14"/>
    </row>
    <row r="179" spans="1:7" ht="14.25" customHeight="1">
      <c r="A179" s="21"/>
      <c r="D179" s="21"/>
      <c r="G179" s="14"/>
    </row>
    <row r="180" spans="1:7" ht="14.25" customHeight="1">
      <c r="A180" s="21"/>
      <c r="D180" s="21"/>
      <c r="G180" s="14"/>
    </row>
    <row r="181" spans="1:7" ht="14.25" customHeight="1">
      <c r="A181" s="21"/>
      <c r="D181" s="21"/>
      <c r="G181" s="14"/>
    </row>
    <row r="182" spans="1:7" ht="14.25" customHeight="1">
      <c r="A182" s="21"/>
      <c r="D182" s="21"/>
      <c r="G182" s="14"/>
    </row>
    <row r="183" spans="1:7" ht="14.25" customHeight="1">
      <c r="A183" s="21"/>
      <c r="D183" s="21"/>
      <c r="G183" s="14"/>
    </row>
    <row r="184" spans="1:7" ht="14.25" customHeight="1">
      <c r="A184" s="21"/>
      <c r="D184" s="21"/>
      <c r="G184" s="14"/>
    </row>
    <row r="185" spans="1:7" ht="14.25" customHeight="1">
      <c r="A185" s="21"/>
      <c r="D185" s="21"/>
      <c r="G185" s="14"/>
    </row>
    <row r="186" spans="1:7" ht="14.25" customHeight="1">
      <c r="A186" s="21"/>
      <c r="D186" s="21"/>
      <c r="G186" s="14"/>
    </row>
    <row r="187" spans="1:7" ht="14.25" customHeight="1">
      <c r="A187" s="21"/>
      <c r="D187" s="21"/>
      <c r="G187" s="14"/>
    </row>
    <row r="188" spans="1:7" ht="14.25" customHeight="1">
      <c r="A188" s="21"/>
      <c r="D188" s="21"/>
      <c r="G188" s="14"/>
    </row>
    <row r="189" spans="1:7" ht="14.25" customHeight="1">
      <c r="A189" s="21"/>
      <c r="D189" s="21"/>
      <c r="G189" s="14"/>
    </row>
    <row r="190" spans="1:7" ht="14.25" customHeight="1">
      <c r="A190" s="21"/>
      <c r="D190" s="21"/>
      <c r="G190" s="14"/>
    </row>
    <row r="191" spans="1:7" ht="14.25" customHeight="1">
      <c r="A191" s="21"/>
      <c r="D191" s="21"/>
      <c r="G191" s="14"/>
    </row>
    <row r="192" spans="1:7" ht="14.25" customHeight="1">
      <c r="A192" s="21"/>
      <c r="D192" s="21"/>
      <c r="G192" s="14"/>
    </row>
    <row r="193" spans="1:7" ht="14.25" customHeight="1">
      <c r="A193" s="21"/>
      <c r="D193" s="21"/>
      <c r="G193" s="14"/>
    </row>
    <row r="194" spans="1:7" ht="14.25" customHeight="1">
      <c r="A194" s="21"/>
      <c r="D194" s="21"/>
      <c r="G194" s="14"/>
    </row>
    <row r="195" spans="1:7" ht="14.25" customHeight="1">
      <c r="A195" s="21"/>
      <c r="D195" s="21"/>
      <c r="G195" s="14"/>
    </row>
    <row r="196" spans="1:7" ht="14.25" customHeight="1">
      <c r="A196" s="21"/>
      <c r="D196" s="21"/>
      <c r="G196" s="14"/>
    </row>
    <row r="197" spans="1:7" ht="14.25" customHeight="1">
      <c r="A197" s="21"/>
      <c r="D197" s="21"/>
      <c r="G197" s="14"/>
    </row>
    <row r="198" spans="1:7" ht="14.25" customHeight="1">
      <c r="A198" s="21"/>
      <c r="D198" s="21"/>
      <c r="G198" s="14"/>
    </row>
    <row r="199" spans="1:7" ht="14.25" customHeight="1">
      <c r="A199" s="21"/>
      <c r="D199" s="21"/>
      <c r="G199" s="14"/>
    </row>
    <row r="200" spans="1:7" ht="14.25" customHeight="1">
      <c r="A200" s="21"/>
      <c r="D200" s="21"/>
      <c r="G200" s="14"/>
    </row>
    <row r="201" spans="1:7" ht="14.25" customHeight="1">
      <c r="A201" s="21"/>
      <c r="D201" s="21"/>
      <c r="G201" s="14"/>
    </row>
    <row r="202" spans="1:7" ht="14.25" customHeight="1">
      <c r="A202" s="21"/>
      <c r="D202" s="21"/>
      <c r="G202" s="14"/>
    </row>
    <row r="203" spans="1:7" ht="14.25" customHeight="1">
      <c r="A203" s="21"/>
      <c r="D203" s="21"/>
      <c r="G203" s="14"/>
    </row>
    <row r="204" spans="1:7" ht="14.25" customHeight="1">
      <c r="A204" s="21"/>
      <c r="D204" s="21"/>
      <c r="G204" s="14"/>
    </row>
    <row r="205" spans="1:7" ht="14.25" customHeight="1">
      <c r="A205" s="21"/>
      <c r="D205" s="21"/>
      <c r="G205" s="14"/>
    </row>
    <row r="206" spans="1:7" ht="14.25" customHeight="1">
      <c r="A206" s="21"/>
      <c r="D206" s="21"/>
      <c r="G206" s="14"/>
    </row>
    <row r="207" spans="1:7" ht="14.25" customHeight="1">
      <c r="A207" s="21"/>
      <c r="D207" s="21"/>
      <c r="G207" s="14"/>
    </row>
    <row r="208" spans="1:7" ht="14.25" customHeight="1">
      <c r="A208" s="21"/>
      <c r="D208" s="21"/>
      <c r="G208" s="14"/>
    </row>
    <row r="209" spans="1:7" ht="14.25" customHeight="1">
      <c r="A209" s="21"/>
      <c r="D209" s="21"/>
      <c r="G209" s="14"/>
    </row>
    <row r="210" spans="1:7" ht="14.25" customHeight="1">
      <c r="A210" s="21"/>
      <c r="D210" s="21"/>
      <c r="G210" s="14"/>
    </row>
    <row r="211" spans="1:7" ht="14.25" customHeight="1">
      <c r="A211" s="21"/>
      <c r="D211" s="21"/>
      <c r="G211" s="14"/>
    </row>
    <row r="212" spans="1:7" ht="14.25" customHeight="1">
      <c r="A212" s="21"/>
      <c r="D212" s="21"/>
      <c r="G212" s="14"/>
    </row>
    <row r="213" spans="1:7" ht="14.25" customHeight="1">
      <c r="A213" s="21"/>
      <c r="D213" s="21"/>
      <c r="G213" s="14"/>
    </row>
    <row r="214" spans="1:7" ht="14.25" customHeight="1">
      <c r="A214" s="21"/>
      <c r="D214" s="21"/>
      <c r="G214" s="14"/>
    </row>
    <row r="215" spans="1:7" ht="14.25" customHeight="1">
      <c r="A215" s="21"/>
      <c r="D215" s="21"/>
      <c r="G215" s="14"/>
    </row>
    <row r="216" spans="1:7" ht="14.25" customHeight="1">
      <c r="A216" s="21"/>
      <c r="D216" s="21"/>
      <c r="G216" s="14"/>
    </row>
    <row r="217" spans="1:7" ht="14.25" customHeight="1">
      <c r="A217" s="21"/>
      <c r="D217" s="21"/>
      <c r="G217" s="14"/>
    </row>
    <row r="218" spans="1:7" ht="14.25" customHeight="1">
      <c r="A218" s="21"/>
      <c r="D218" s="21"/>
      <c r="G218" s="14"/>
    </row>
    <row r="219" spans="1:7" ht="14.25" customHeight="1">
      <c r="A219" s="21"/>
      <c r="D219" s="21"/>
      <c r="G219" s="14"/>
    </row>
    <row r="220" spans="1:7" ht="14.25" customHeight="1">
      <c r="A220" s="21"/>
      <c r="D220" s="21"/>
      <c r="G220" s="14"/>
    </row>
    <row r="221" spans="1:7" ht="14.25" customHeight="1">
      <c r="A221" s="21"/>
      <c r="D221" s="21"/>
      <c r="G221" s="14"/>
    </row>
    <row r="222" spans="1:7" ht="14.25" customHeight="1">
      <c r="A222" s="21"/>
      <c r="D222" s="21"/>
      <c r="G222" s="14"/>
    </row>
    <row r="223" spans="1:7" ht="14.25" customHeight="1">
      <c r="A223" s="21"/>
      <c r="D223" s="21"/>
      <c r="G223" s="14"/>
    </row>
    <row r="224" spans="1:7" ht="14.25" customHeight="1">
      <c r="A224" s="21"/>
      <c r="D224" s="21"/>
      <c r="G224" s="14"/>
    </row>
    <row r="225" spans="1:7" ht="14.25" customHeight="1">
      <c r="A225" s="21"/>
      <c r="D225" s="21"/>
      <c r="G225" s="14"/>
    </row>
    <row r="226" spans="1:7" ht="14.25" customHeight="1">
      <c r="A226" s="21"/>
      <c r="D226" s="21"/>
      <c r="G226" s="14"/>
    </row>
    <row r="227" spans="1:7" ht="14.25" customHeight="1">
      <c r="A227" s="21"/>
      <c r="D227" s="21"/>
      <c r="G227" s="14"/>
    </row>
    <row r="228" spans="1:7" ht="14.25" customHeight="1">
      <c r="A228" s="21"/>
      <c r="D228" s="21"/>
      <c r="G228" s="14"/>
    </row>
    <row r="229" spans="1:7" ht="14.25" customHeight="1">
      <c r="A229" s="21"/>
      <c r="D229" s="21"/>
      <c r="G229" s="14"/>
    </row>
    <row r="230" spans="1:7" ht="14.25" customHeight="1">
      <c r="A230" s="21"/>
      <c r="D230" s="21"/>
      <c r="G230" s="14"/>
    </row>
    <row r="231" spans="1:7" ht="14.25" customHeight="1">
      <c r="A231" s="21"/>
      <c r="D231" s="21"/>
      <c r="G231" s="14"/>
    </row>
    <row r="232" spans="1:7" ht="14.25" customHeight="1">
      <c r="A232" s="21"/>
      <c r="D232" s="21"/>
      <c r="G232" s="14"/>
    </row>
    <row r="233" spans="1:7" ht="14.25" customHeight="1">
      <c r="A233" s="21"/>
      <c r="D233" s="21"/>
      <c r="G233" s="14"/>
    </row>
    <row r="234" spans="1:7" ht="14.25" customHeight="1">
      <c r="A234" s="21"/>
      <c r="D234" s="21"/>
      <c r="G234" s="14"/>
    </row>
    <row r="235" spans="1:7" ht="14.25" customHeight="1">
      <c r="A235" s="21"/>
      <c r="D235" s="21"/>
      <c r="G235" s="14"/>
    </row>
    <row r="236" spans="1:7" ht="14.25" customHeight="1">
      <c r="A236" s="21"/>
      <c r="D236" s="21"/>
      <c r="G236" s="14"/>
    </row>
    <row r="237" spans="1:7" ht="14.25" customHeight="1">
      <c r="A237" s="21"/>
      <c r="D237" s="21"/>
      <c r="G237" s="14"/>
    </row>
    <row r="238" spans="1:7" ht="14.25" customHeight="1">
      <c r="A238" s="21"/>
      <c r="D238" s="21"/>
      <c r="G238" s="14"/>
    </row>
    <row r="239" spans="1:7" ht="14.25" customHeight="1">
      <c r="A239" s="21"/>
      <c r="D239" s="21"/>
      <c r="G239" s="14"/>
    </row>
    <row r="240" spans="1:7" ht="14.25" customHeight="1">
      <c r="A240" s="21"/>
      <c r="D240" s="21"/>
      <c r="G240" s="14"/>
    </row>
    <row r="241" spans="1:7" ht="14.25" customHeight="1">
      <c r="A241" s="21"/>
      <c r="D241" s="21"/>
      <c r="G241" s="14"/>
    </row>
    <row r="242" spans="1:7" ht="14.25" customHeight="1">
      <c r="A242" s="21"/>
      <c r="D242" s="21"/>
      <c r="G242" s="14"/>
    </row>
    <row r="243" spans="1:7" ht="14.25" customHeight="1">
      <c r="A243" s="21"/>
      <c r="D243" s="21"/>
      <c r="G243" s="14"/>
    </row>
    <row r="244" spans="1:7" ht="14.25" customHeight="1">
      <c r="A244" s="21"/>
      <c r="D244" s="21"/>
      <c r="G244" s="14"/>
    </row>
    <row r="245" spans="1:7" ht="14.25" customHeight="1">
      <c r="A245" s="21"/>
      <c r="D245" s="21"/>
      <c r="G245" s="14"/>
    </row>
    <row r="246" spans="1:7" ht="14.25" customHeight="1">
      <c r="A246" s="21"/>
      <c r="D246" s="21"/>
      <c r="G246" s="14"/>
    </row>
    <row r="247" spans="1:7" ht="14.25" customHeight="1">
      <c r="A247" s="21"/>
      <c r="D247" s="21"/>
      <c r="G247" s="14"/>
    </row>
    <row r="248" spans="1:7" ht="14.25" customHeight="1">
      <c r="A248" s="21"/>
      <c r="D248" s="21"/>
      <c r="G248" s="14"/>
    </row>
    <row r="249" spans="1:7" ht="14.25" customHeight="1">
      <c r="A249" s="21"/>
      <c r="D249" s="21"/>
      <c r="G249" s="14"/>
    </row>
    <row r="250" spans="1:7" ht="14.25" customHeight="1">
      <c r="A250" s="21"/>
      <c r="D250" s="21"/>
      <c r="G250" s="14"/>
    </row>
    <row r="251" spans="1:7" ht="14.25" customHeight="1">
      <c r="A251" s="21"/>
      <c r="D251" s="21"/>
      <c r="G251" s="14"/>
    </row>
    <row r="252" spans="1:7" ht="14.25" customHeight="1">
      <c r="A252" s="21"/>
      <c r="D252" s="21"/>
      <c r="G252" s="14"/>
    </row>
    <row r="253" spans="1:7" ht="14.25" customHeight="1">
      <c r="A253" s="21"/>
      <c r="D253" s="21"/>
      <c r="G253" s="14"/>
    </row>
    <row r="254" spans="1:7" ht="14.25" customHeight="1">
      <c r="A254" s="21"/>
      <c r="D254" s="21"/>
      <c r="G254" s="14"/>
    </row>
    <row r="255" spans="1:7" ht="14.25" customHeight="1">
      <c r="A255" s="21"/>
      <c r="D255" s="21"/>
      <c r="G255" s="14"/>
    </row>
    <row r="256" spans="1:7" ht="14.25" customHeight="1">
      <c r="A256" s="21"/>
      <c r="D256" s="21"/>
      <c r="G256" s="14"/>
    </row>
    <row r="257" spans="1:7" ht="14.25" customHeight="1">
      <c r="A257" s="21"/>
      <c r="D257" s="21"/>
      <c r="G257" s="14"/>
    </row>
    <row r="258" spans="1:7" ht="14.25" customHeight="1">
      <c r="A258" s="21"/>
      <c r="D258" s="21"/>
      <c r="G258" s="14"/>
    </row>
    <row r="259" spans="1:7" ht="14.25" customHeight="1">
      <c r="A259" s="21"/>
      <c r="D259" s="21"/>
      <c r="G259" s="14"/>
    </row>
    <row r="260" spans="1:7" ht="14.25" customHeight="1">
      <c r="A260" s="21"/>
      <c r="D260" s="21"/>
      <c r="G260" s="14"/>
    </row>
    <row r="261" spans="1:7" ht="14.25" customHeight="1">
      <c r="A261" s="21"/>
      <c r="D261" s="21"/>
      <c r="G261" s="14"/>
    </row>
    <row r="262" spans="1:7" ht="14.25" customHeight="1">
      <c r="A262" s="21"/>
      <c r="D262" s="21"/>
      <c r="G262" s="14"/>
    </row>
    <row r="263" spans="1:7" ht="14.25" customHeight="1">
      <c r="A263" s="21"/>
      <c r="D263" s="21"/>
      <c r="G263" s="14"/>
    </row>
    <row r="264" spans="1:7" ht="14.25" customHeight="1">
      <c r="A264" s="21"/>
      <c r="D264" s="21"/>
      <c r="G264" s="14"/>
    </row>
    <row r="265" spans="1:7" ht="14.25" customHeight="1">
      <c r="A265" s="21"/>
      <c r="D265" s="21"/>
      <c r="G265" s="14"/>
    </row>
    <row r="266" spans="1:7" ht="14.25" customHeight="1">
      <c r="A266" s="21"/>
      <c r="D266" s="21"/>
      <c r="G266" s="14"/>
    </row>
    <row r="267" spans="1:7" ht="14.25" customHeight="1">
      <c r="A267" s="21"/>
      <c r="D267" s="21"/>
      <c r="G267" s="14"/>
    </row>
    <row r="268" spans="1:7" ht="14.25" customHeight="1">
      <c r="A268" s="21"/>
      <c r="D268" s="21"/>
      <c r="G268" s="14"/>
    </row>
    <row r="269" spans="1:7" ht="14.25" customHeight="1">
      <c r="A269" s="21"/>
      <c r="D269" s="21"/>
      <c r="G269" s="14"/>
    </row>
    <row r="270" spans="1:7" ht="14.25" customHeight="1">
      <c r="A270" s="21"/>
      <c r="D270" s="21"/>
      <c r="G270" s="14"/>
    </row>
    <row r="271" spans="1:7" ht="14.25" customHeight="1">
      <c r="A271" s="21"/>
      <c r="D271" s="21"/>
      <c r="G271" s="14"/>
    </row>
    <row r="272" spans="1:7" ht="14.25" customHeight="1">
      <c r="A272" s="21"/>
      <c r="D272" s="21"/>
      <c r="G272" s="14"/>
    </row>
    <row r="273" spans="1:7" ht="14.25" customHeight="1">
      <c r="A273" s="21"/>
      <c r="D273" s="21"/>
      <c r="G273" s="14"/>
    </row>
    <row r="274" spans="1:7" ht="14.25" customHeight="1">
      <c r="A274" s="21"/>
      <c r="D274" s="21"/>
      <c r="G274" s="14"/>
    </row>
    <row r="275" spans="1:7" ht="14.25" customHeight="1">
      <c r="A275" s="21"/>
      <c r="D275" s="21"/>
      <c r="G275" s="14"/>
    </row>
    <row r="276" spans="1:7" ht="14.25" customHeight="1">
      <c r="A276" s="21"/>
      <c r="D276" s="21"/>
      <c r="G276" s="14"/>
    </row>
    <row r="277" spans="1:7" ht="14.25" customHeight="1">
      <c r="A277" s="21"/>
      <c r="D277" s="21"/>
      <c r="G277" s="14"/>
    </row>
    <row r="278" spans="1:7" ht="14.25" customHeight="1">
      <c r="A278" s="21"/>
      <c r="D278" s="21"/>
      <c r="G278" s="14"/>
    </row>
    <row r="279" spans="1:7" ht="14.25" customHeight="1">
      <c r="A279" s="21"/>
      <c r="D279" s="21"/>
      <c r="G279" s="14"/>
    </row>
    <row r="280" spans="1:7" ht="14.25" customHeight="1">
      <c r="A280" s="21"/>
      <c r="D280" s="21"/>
      <c r="G280" s="14"/>
    </row>
    <row r="281" spans="1:7" ht="14.25" customHeight="1">
      <c r="A281" s="21"/>
      <c r="D281" s="21"/>
      <c r="G281" s="14"/>
    </row>
    <row r="282" spans="1:7" ht="14.25" customHeight="1">
      <c r="A282" s="21"/>
      <c r="D282" s="21"/>
      <c r="G282" s="14"/>
    </row>
    <row r="283" spans="1:7" ht="14.25" customHeight="1">
      <c r="A283" s="21"/>
      <c r="D283" s="21"/>
      <c r="G283" s="14"/>
    </row>
    <row r="284" spans="1:7" ht="14.25" customHeight="1">
      <c r="A284" s="21"/>
      <c r="D284" s="21"/>
      <c r="G284" s="14"/>
    </row>
    <row r="285" spans="1:7" ht="14.25" customHeight="1">
      <c r="A285" s="21"/>
      <c r="D285" s="21"/>
      <c r="G285" s="14"/>
    </row>
    <row r="286" spans="1:7" ht="14.25" customHeight="1">
      <c r="A286" s="21"/>
      <c r="D286" s="21"/>
      <c r="G286" s="14"/>
    </row>
    <row r="287" spans="1:7" ht="14.25" customHeight="1">
      <c r="A287" s="21"/>
      <c r="D287" s="21"/>
      <c r="G287" s="14"/>
    </row>
    <row r="288" spans="1:7" ht="14.25" customHeight="1">
      <c r="A288" s="21"/>
      <c r="D288" s="21"/>
      <c r="G288" s="14"/>
    </row>
    <row r="289" spans="1:7" ht="14.25" customHeight="1">
      <c r="A289" s="21"/>
      <c r="D289" s="21"/>
      <c r="G289" s="14"/>
    </row>
    <row r="290" spans="1:7" ht="14.25" customHeight="1">
      <c r="A290" s="21"/>
      <c r="D290" s="21"/>
      <c r="G290" s="14"/>
    </row>
    <row r="291" spans="1:7" ht="14.25" customHeight="1">
      <c r="A291" s="21"/>
      <c r="D291" s="21"/>
      <c r="G291" s="14"/>
    </row>
    <row r="292" spans="1:7" ht="14.25" customHeight="1">
      <c r="A292" s="21"/>
      <c r="D292" s="21"/>
      <c r="G292" s="14"/>
    </row>
    <row r="293" spans="1:7" ht="14.25" customHeight="1">
      <c r="A293" s="21"/>
      <c r="D293" s="21"/>
      <c r="G293" s="14"/>
    </row>
    <row r="294" spans="1:7" ht="14.25" customHeight="1">
      <c r="A294" s="21"/>
      <c r="D294" s="21"/>
      <c r="G294" s="14"/>
    </row>
    <row r="295" spans="1:7" ht="14.25" customHeight="1">
      <c r="A295" s="21"/>
      <c r="D295" s="21"/>
      <c r="G295" s="14"/>
    </row>
    <row r="296" spans="1:7" ht="14.25" customHeight="1">
      <c r="A296" s="21"/>
      <c r="D296" s="21"/>
      <c r="G296" s="14"/>
    </row>
    <row r="297" spans="1:7" ht="14.25" customHeight="1">
      <c r="A297" s="21"/>
      <c r="D297" s="21"/>
      <c r="G297" s="14"/>
    </row>
    <row r="298" spans="1:7" ht="14.25" customHeight="1">
      <c r="A298" s="21"/>
      <c r="D298" s="21"/>
      <c r="G298" s="14"/>
    </row>
    <row r="299" spans="1:7" ht="14.25" customHeight="1">
      <c r="A299" s="21"/>
      <c r="D299" s="21"/>
      <c r="G299" s="14"/>
    </row>
    <row r="300" spans="1:7" ht="14.25" customHeight="1">
      <c r="A300" s="21"/>
      <c r="D300" s="21"/>
      <c r="G300" s="14"/>
    </row>
    <row r="301" spans="1:7" ht="14.25" customHeight="1">
      <c r="A301" s="21"/>
      <c r="D301" s="21"/>
      <c r="G301" s="14"/>
    </row>
    <row r="302" spans="1:7" ht="14.25" customHeight="1">
      <c r="A302" s="21"/>
      <c r="D302" s="21"/>
      <c r="G302" s="14"/>
    </row>
    <row r="303" spans="1:7" ht="14.25" customHeight="1">
      <c r="A303" s="21"/>
      <c r="D303" s="21"/>
      <c r="G303" s="14"/>
    </row>
    <row r="304" spans="1:7" ht="14.25" customHeight="1">
      <c r="A304" s="21"/>
      <c r="D304" s="21"/>
      <c r="G304" s="14"/>
    </row>
    <row r="305" spans="1:7" ht="14.25" customHeight="1">
      <c r="A305" s="21"/>
      <c r="D305" s="21"/>
      <c r="G305" s="14"/>
    </row>
    <row r="306" spans="1:7" ht="14.25" customHeight="1">
      <c r="A306" s="21"/>
      <c r="D306" s="21"/>
      <c r="G306" s="14"/>
    </row>
    <row r="307" spans="1:7" ht="14.25" customHeight="1">
      <c r="A307" s="21"/>
      <c r="D307" s="21"/>
      <c r="G307" s="14"/>
    </row>
    <row r="308" spans="1:7" ht="14.25" customHeight="1">
      <c r="A308" s="21"/>
      <c r="D308" s="21"/>
      <c r="G308" s="14"/>
    </row>
    <row r="309" spans="1:7" ht="14.25" customHeight="1">
      <c r="A309" s="21"/>
      <c r="D309" s="21"/>
      <c r="G309" s="14"/>
    </row>
    <row r="310" spans="1:7" ht="14.25" customHeight="1">
      <c r="A310" s="21"/>
      <c r="D310" s="21"/>
      <c r="G310" s="14"/>
    </row>
    <row r="311" spans="1:7" ht="14.25" customHeight="1">
      <c r="A311" s="21"/>
      <c r="D311" s="21"/>
      <c r="G311" s="14"/>
    </row>
    <row r="312" spans="1:7" ht="14.25" customHeight="1">
      <c r="A312" s="21"/>
      <c r="D312" s="21"/>
      <c r="G312" s="14"/>
    </row>
    <row r="313" spans="1:7" ht="14.25" customHeight="1">
      <c r="A313" s="21"/>
      <c r="D313" s="21"/>
      <c r="G313" s="14"/>
    </row>
    <row r="314" spans="1:7" ht="14.25" customHeight="1">
      <c r="A314" s="21"/>
      <c r="D314" s="21"/>
      <c r="G314" s="14"/>
    </row>
    <row r="315" spans="1:7" ht="14.25" customHeight="1">
      <c r="A315" s="21"/>
      <c r="D315" s="21"/>
      <c r="G315" s="14"/>
    </row>
    <row r="316" spans="1:7" ht="14.25" customHeight="1">
      <c r="A316" s="21"/>
      <c r="D316" s="21"/>
      <c r="G316" s="14"/>
    </row>
    <row r="317" spans="1:7" ht="14.25" customHeight="1">
      <c r="A317" s="21"/>
      <c r="D317" s="21"/>
      <c r="G317" s="14"/>
    </row>
    <row r="318" spans="1:7" ht="14.25" customHeight="1">
      <c r="A318" s="21"/>
      <c r="D318" s="21"/>
      <c r="G318" s="14"/>
    </row>
    <row r="319" spans="1:7" ht="14.25" customHeight="1">
      <c r="A319" s="21"/>
      <c r="D319" s="21"/>
      <c r="G319" s="14"/>
    </row>
    <row r="320" spans="1:7" ht="14.25" customHeight="1">
      <c r="A320" s="21"/>
      <c r="D320" s="21"/>
      <c r="G320" s="14"/>
    </row>
    <row r="321" spans="1:7" ht="14.25" customHeight="1">
      <c r="A321" s="21"/>
      <c r="D321" s="21"/>
      <c r="G321" s="14"/>
    </row>
    <row r="322" spans="1:7" ht="14.25" customHeight="1">
      <c r="A322" s="21"/>
      <c r="D322" s="21"/>
      <c r="G322" s="14"/>
    </row>
    <row r="323" spans="1:7" ht="14.25" customHeight="1">
      <c r="A323" s="21"/>
      <c r="D323" s="21"/>
      <c r="G323" s="14"/>
    </row>
    <row r="324" spans="1:7" ht="14.25" customHeight="1">
      <c r="A324" s="21"/>
      <c r="D324" s="21"/>
      <c r="G324" s="14"/>
    </row>
    <row r="325" spans="1:7" ht="14.25" customHeight="1">
      <c r="A325" s="21"/>
      <c r="D325" s="21"/>
      <c r="G325" s="14"/>
    </row>
    <row r="326" spans="1:7" ht="14.25" customHeight="1">
      <c r="A326" s="21"/>
      <c r="D326" s="21"/>
      <c r="G326" s="14"/>
    </row>
    <row r="327" spans="1:7" ht="14.25" customHeight="1">
      <c r="A327" s="21"/>
      <c r="D327" s="21"/>
      <c r="G327" s="14"/>
    </row>
    <row r="328" spans="1:7" ht="14.25" customHeight="1">
      <c r="A328" s="21"/>
      <c r="D328" s="21"/>
      <c r="G328" s="14"/>
    </row>
    <row r="329" spans="1:7" ht="14.25" customHeight="1">
      <c r="A329" s="21"/>
      <c r="D329" s="21"/>
      <c r="G329" s="14"/>
    </row>
    <row r="330" spans="1:7" ht="14.25" customHeight="1">
      <c r="A330" s="21"/>
      <c r="D330" s="21"/>
      <c r="G330" s="14"/>
    </row>
    <row r="331" spans="1:7" ht="14.25" customHeight="1">
      <c r="A331" s="21"/>
      <c r="D331" s="21"/>
      <c r="G331" s="14"/>
    </row>
    <row r="332" spans="1:7" ht="14.25" customHeight="1">
      <c r="A332" s="21"/>
      <c r="D332" s="21"/>
      <c r="G332" s="14"/>
    </row>
    <row r="333" spans="1:7" ht="14.25" customHeight="1">
      <c r="A333" s="21"/>
      <c r="D333" s="21"/>
      <c r="G333" s="14"/>
    </row>
    <row r="334" spans="1:7" ht="14.25" customHeight="1">
      <c r="A334" s="21"/>
      <c r="D334" s="21"/>
      <c r="G334" s="14"/>
    </row>
    <row r="335" spans="1:7" ht="14.25" customHeight="1">
      <c r="A335" s="21"/>
      <c r="D335" s="21"/>
      <c r="G335" s="14"/>
    </row>
    <row r="336" spans="1:7" ht="14.25" customHeight="1">
      <c r="A336" s="21"/>
      <c r="D336" s="21"/>
      <c r="G336" s="14"/>
    </row>
    <row r="337" spans="1:7" ht="14.25" customHeight="1">
      <c r="A337" s="21"/>
      <c r="D337" s="21"/>
      <c r="G337" s="14"/>
    </row>
    <row r="338" spans="1:7" ht="14.25" customHeight="1">
      <c r="A338" s="21"/>
      <c r="D338" s="21"/>
      <c r="G338" s="14"/>
    </row>
    <row r="339" spans="1:7" ht="14.25" customHeight="1">
      <c r="A339" s="21"/>
      <c r="D339" s="21"/>
      <c r="G339" s="14"/>
    </row>
    <row r="340" spans="1:7" ht="14.25" customHeight="1">
      <c r="A340" s="21"/>
      <c r="D340" s="21"/>
      <c r="G340" s="14"/>
    </row>
    <row r="341" spans="1:7" ht="14.25" customHeight="1">
      <c r="A341" s="21"/>
      <c r="D341" s="21"/>
      <c r="G341" s="14"/>
    </row>
    <row r="342" spans="1:7" ht="14.25" customHeight="1">
      <c r="A342" s="21"/>
      <c r="D342" s="21"/>
      <c r="G342" s="14"/>
    </row>
    <row r="343" spans="1:7" ht="14.25" customHeight="1">
      <c r="A343" s="21"/>
      <c r="D343" s="21"/>
      <c r="G343" s="14"/>
    </row>
    <row r="344" spans="1:7" ht="14.25" customHeight="1">
      <c r="A344" s="21"/>
      <c r="D344" s="21"/>
      <c r="G344" s="14"/>
    </row>
    <row r="345" spans="1:7" ht="14.25" customHeight="1">
      <c r="A345" s="21"/>
      <c r="D345" s="21"/>
      <c r="G345" s="14"/>
    </row>
    <row r="346" spans="1:7" ht="14.25" customHeight="1">
      <c r="A346" s="21"/>
      <c r="D346" s="21"/>
      <c r="G346" s="14"/>
    </row>
    <row r="347" spans="1:7" ht="14.25" customHeight="1">
      <c r="A347" s="21"/>
      <c r="D347" s="21"/>
      <c r="G347" s="14"/>
    </row>
    <row r="348" spans="1:7" ht="14.25" customHeight="1">
      <c r="A348" s="21"/>
      <c r="D348" s="21"/>
      <c r="G348" s="14"/>
    </row>
    <row r="349" spans="1:7" ht="14.25" customHeight="1">
      <c r="A349" s="21"/>
      <c r="D349" s="21"/>
      <c r="G349" s="14"/>
    </row>
    <row r="350" spans="1:7" ht="14.25" customHeight="1">
      <c r="A350" s="21"/>
      <c r="D350" s="21"/>
      <c r="G350" s="14"/>
    </row>
    <row r="351" spans="1:7" ht="14.25" customHeight="1">
      <c r="A351" s="21"/>
      <c r="D351" s="21"/>
      <c r="G351" s="14"/>
    </row>
    <row r="352" spans="1:7" ht="14.25" customHeight="1">
      <c r="A352" s="21"/>
      <c r="D352" s="21"/>
      <c r="G352" s="14"/>
    </row>
    <row r="353" spans="1:7" ht="14.25" customHeight="1">
      <c r="A353" s="21"/>
      <c r="D353" s="21"/>
      <c r="G353" s="14"/>
    </row>
    <row r="354" spans="1:7" ht="14.25" customHeight="1">
      <c r="A354" s="21"/>
      <c r="D354" s="21"/>
      <c r="G354" s="14"/>
    </row>
    <row r="355" spans="1:7" ht="14.25" customHeight="1">
      <c r="A355" s="21"/>
      <c r="D355" s="21"/>
      <c r="G355" s="14"/>
    </row>
    <row r="356" spans="1:7" ht="14.25" customHeight="1">
      <c r="A356" s="21"/>
      <c r="D356" s="21"/>
      <c r="G356" s="14"/>
    </row>
    <row r="357" spans="1:7" ht="14.25" customHeight="1">
      <c r="A357" s="21"/>
      <c r="D357" s="21"/>
      <c r="G357" s="14"/>
    </row>
    <row r="358" spans="1:7" ht="14.25" customHeight="1">
      <c r="A358" s="21"/>
      <c r="D358" s="21"/>
      <c r="G358" s="14"/>
    </row>
    <row r="359" spans="1:7" ht="14.25" customHeight="1">
      <c r="A359" s="21"/>
      <c r="D359" s="21"/>
      <c r="G359" s="14"/>
    </row>
    <row r="360" spans="1:7" ht="14.25" customHeight="1">
      <c r="A360" s="21"/>
      <c r="D360" s="21"/>
      <c r="G360" s="14"/>
    </row>
    <row r="361" spans="1:7" ht="14.25" customHeight="1">
      <c r="A361" s="21"/>
      <c r="D361" s="21"/>
      <c r="G361" s="14"/>
    </row>
    <row r="362" spans="1:7" ht="14.25" customHeight="1">
      <c r="A362" s="21"/>
      <c r="D362" s="21"/>
      <c r="G362" s="14"/>
    </row>
    <row r="363" spans="1:7" ht="14.25" customHeight="1">
      <c r="A363" s="21"/>
      <c r="D363" s="21"/>
      <c r="G363" s="14"/>
    </row>
    <row r="364" spans="1:7" ht="14.25" customHeight="1">
      <c r="A364" s="21"/>
      <c r="D364" s="21"/>
      <c r="G364" s="14"/>
    </row>
    <row r="365" spans="1:7" ht="14.25" customHeight="1">
      <c r="A365" s="21"/>
      <c r="D365" s="21"/>
      <c r="G365" s="14"/>
    </row>
    <row r="366" spans="1:7" ht="14.25" customHeight="1">
      <c r="A366" s="21"/>
      <c r="D366" s="21"/>
      <c r="G366" s="14"/>
    </row>
    <row r="367" spans="1:7" ht="14.25" customHeight="1">
      <c r="A367" s="21"/>
      <c r="D367" s="21"/>
      <c r="G367" s="14"/>
    </row>
    <row r="368" spans="1:7" ht="14.25" customHeight="1">
      <c r="A368" s="21"/>
      <c r="D368" s="21"/>
      <c r="G368" s="14"/>
    </row>
    <row r="369" spans="1:7" ht="14.25" customHeight="1">
      <c r="A369" s="21"/>
      <c r="D369" s="21"/>
      <c r="G369" s="14"/>
    </row>
    <row r="370" spans="1:7" ht="14.25" customHeight="1">
      <c r="A370" s="21"/>
      <c r="D370" s="21"/>
      <c r="G370" s="14"/>
    </row>
    <row r="371" spans="1:7" ht="14.25" customHeight="1">
      <c r="A371" s="21"/>
      <c r="D371" s="21"/>
      <c r="G371" s="14"/>
    </row>
    <row r="372" spans="1:7" ht="14.25" customHeight="1">
      <c r="A372" s="21"/>
      <c r="D372" s="21"/>
      <c r="G372" s="14"/>
    </row>
    <row r="373" spans="1:7" ht="14.25" customHeight="1">
      <c r="A373" s="21"/>
      <c r="D373" s="21"/>
      <c r="G373" s="14"/>
    </row>
    <row r="374" spans="1:7" ht="14.25" customHeight="1">
      <c r="A374" s="21"/>
      <c r="D374" s="21"/>
      <c r="G374" s="14"/>
    </row>
    <row r="375" spans="1:7" ht="14.25" customHeight="1">
      <c r="A375" s="21"/>
      <c r="D375" s="21"/>
      <c r="G375" s="14"/>
    </row>
    <row r="376" spans="1:7" ht="14.25" customHeight="1">
      <c r="A376" s="21"/>
      <c r="D376" s="21"/>
      <c r="G376" s="14"/>
    </row>
    <row r="377" spans="1:7" ht="14.25" customHeight="1">
      <c r="A377" s="21"/>
      <c r="D377" s="21"/>
      <c r="G377" s="14"/>
    </row>
    <row r="378" spans="1:7" ht="14.25" customHeight="1">
      <c r="A378" s="21"/>
      <c r="D378" s="21"/>
      <c r="G378" s="14"/>
    </row>
    <row r="379" spans="1:7" ht="14.25" customHeight="1">
      <c r="A379" s="21"/>
      <c r="D379" s="21"/>
      <c r="G379" s="14"/>
    </row>
    <row r="380" spans="1:7" ht="14.25" customHeight="1">
      <c r="A380" s="21"/>
      <c r="D380" s="21"/>
      <c r="G380" s="14"/>
    </row>
    <row r="381" spans="1:7" ht="14.25" customHeight="1">
      <c r="A381" s="21"/>
      <c r="D381" s="21"/>
      <c r="G381" s="14"/>
    </row>
    <row r="382" spans="1:7" ht="14.25" customHeight="1">
      <c r="A382" s="21"/>
      <c r="D382" s="21"/>
      <c r="G382" s="14"/>
    </row>
    <row r="383" spans="1:7" ht="14.25" customHeight="1">
      <c r="A383" s="21"/>
      <c r="D383" s="21"/>
      <c r="G383" s="14"/>
    </row>
    <row r="384" spans="1:7" ht="14.25" customHeight="1">
      <c r="A384" s="21"/>
      <c r="D384" s="21"/>
      <c r="G384" s="14"/>
    </row>
    <row r="385" spans="1:7" ht="14.25" customHeight="1">
      <c r="A385" s="21"/>
      <c r="D385" s="21"/>
      <c r="G385" s="14"/>
    </row>
    <row r="386" spans="1:7" ht="14.25" customHeight="1">
      <c r="A386" s="21"/>
      <c r="D386" s="21"/>
      <c r="G386" s="14"/>
    </row>
    <row r="387" spans="1:7" ht="14.25" customHeight="1">
      <c r="A387" s="21"/>
      <c r="D387" s="21"/>
      <c r="G387" s="14"/>
    </row>
    <row r="388" spans="1:7" ht="14.25" customHeight="1">
      <c r="A388" s="21"/>
      <c r="D388" s="21"/>
      <c r="G388" s="14"/>
    </row>
    <row r="389" spans="1:7" ht="14.25" customHeight="1">
      <c r="A389" s="21"/>
      <c r="D389" s="21"/>
      <c r="G389" s="14"/>
    </row>
    <row r="390" spans="1:7" ht="14.25" customHeight="1">
      <c r="A390" s="21"/>
      <c r="D390" s="21"/>
      <c r="G390" s="14"/>
    </row>
    <row r="391" spans="1:7" ht="14.25" customHeight="1">
      <c r="A391" s="21"/>
      <c r="D391" s="21"/>
      <c r="G391" s="14"/>
    </row>
    <row r="392" spans="1:7" ht="14.25" customHeight="1">
      <c r="A392" s="21"/>
      <c r="D392" s="21"/>
      <c r="G392" s="14"/>
    </row>
    <row r="393" spans="1:7" ht="14.25" customHeight="1">
      <c r="A393" s="21"/>
      <c r="D393" s="21"/>
      <c r="G393" s="14"/>
    </row>
    <row r="394" spans="1:7" ht="14.25" customHeight="1">
      <c r="A394" s="21"/>
      <c r="D394" s="21"/>
      <c r="G394" s="14"/>
    </row>
    <row r="395" spans="1:7" ht="14.25" customHeight="1">
      <c r="A395" s="21"/>
      <c r="D395" s="21"/>
      <c r="G395" s="14"/>
    </row>
    <row r="396" spans="1:7" ht="14.25" customHeight="1">
      <c r="A396" s="21"/>
      <c r="D396" s="21"/>
      <c r="G396" s="14"/>
    </row>
    <row r="397" spans="1:7" ht="14.25" customHeight="1">
      <c r="A397" s="21"/>
      <c r="D397" s="21"/>
      <c r="G397" s="14"/>
    </row>
    <row r="398" spans="1:7" ht="14.25" customHeight="1">
      <c r="A398" s="21"/>
      <c r="D398" s="21"/>
      <c r="G398" s="14"/>
    </row>
    <row r="399" spans="1:7" ht="14.25" customHeight="1">
      <c r="A399" s="21"/>
      <c r="D399" s="21"/>
      <c r="G399" s="14"/>
    </row>
    <row r="400" spans="1:7" ht="14.25" customHeight="1">
      <c r="A400" s="21"/>
      <c r="D400" s="21"/>
      <c r="G400" s="14"/>
    </row>
    <row r="401" spans="1:7" ht="14.25" customHeight="1">
      <c r="A401" s="21"/>
      <c r="D401" s="21"/>
      <c r="G401" s="14"/>
    </row>
    <row r="402" spans="1:7" ht="14.25" customHeight="1">
      <c r="A402" s="21"/>
      <c r="D402" s="21"/>
      <c r="G402" s="14"/>
    </row>
    <row r="403" spans="1:7" ht="14.25" customHeight="1">
      <c r="A403" s="21"/>
      <c r="D403" s="21"/>
      <c r="G403" s="14"/>
    </row>
    <row r="404" spans="1:7" ht="14.25" customHeight="1">
      <c r="A404" s="21"/>
      <c r="D404" s="21"/>
      <c r="G404" s="14"/>
    </row>
    <row r="405" spans="1:7" ht="14.25" customHeight="1">
      <c r="A405" s="21"/>
      <c r="D405" s="21"/>
      <c r="G405" s="14"/>
    </row>
    <row r="406" spans="1:7" ht="14.25" customHeight="1">
      <c r="A406" s="21"/>
      <c r="D406" s="21"/>
      <c r="G406" s="14"/>
    </row>
    <row r="407" spans="1:7" ht="14.25" customHeight="1">
      <c r="A407" s="21"/>
      <c r="D407" s="21"/>
      <c r="G407" s="14"/>
    </row>
    <row r="408" spans="1:7" ht="14.25" customHeight="1">
      <c r="A408" s="21"/>
      <c r="D408" s="21"/>
      <c r="G408" s="14"/>
    </row>
    <row r="409" spans="1:7" ht="14.25" customHeight="1">
      <c r="A409" s="21"/>
      <c r="D409" s="21"/>
      <c r="G409" s="14"/>
    </row>
    <row r="410" spans="1:7" ht="14.25" customHeight="1">
      <c r="A410" s="21"/>
      <c r="D410" s="21"/>
      <c r="G410" s="14"/>
    </row>
    <row r="411" spans="1:7" ht="14.25" customHeight="1">
      <c r="A411" s="21"/>
      <c r="D411" s="21"/>
      <c r="G411" s="14"/>
    </row>
    <row r="412" spans="1:7" ht="14.25" customHeight="1">
      <c r="A412" s="21"/>
      <c r="D412" s="21"/>
      <c r="G412" s="14"/>
    </row>
    <row r="413" spans="1:7" ht="14.25" customHeight="1">
      <c r="A413" s="21"/>
      <c r="D413" s="21"/>
      <c r="G413" s="14"/>
    </row>
    <row r="414" spans="1:7" ht="14.25" customHeight="1">
      <c r="A414" s="21"/>
      <c r="D414" s="21"/>
      <c r="G414" s="14"/>
    </row>
    <row r="415" spans="1:7" ht="14.25" customHeight="1">
      <c r="A415" s="21"/>
      <c r="D415" s="21"/>
      <c r="G415" s="14"/>
    </row>
    <row r="416" spans="1:7" ht="14.25" customHeight="1">
      <c r="A416" s="21"/>
      <c r="D416" s="21"/>
      <c r="G416" s="14"/>
    </row>
    <row r="417" spans="1:7" ht="14.25" customHeight="1">
      <c r="A417" s="21"/>
      <c r="D417" s="21"/>
      <c r="G417" s="14"/>
    </row>
    <row r="418" spans="1:7" ht="14.25" customHeight="1">
      <c r="A418" s="21"/>
      <c r="D418" s="21"/>
      <c r="G418" s="14"/>
    </row>
    <row r="419" spans="1:7" ht="14.25" customHeight="1">
      <c r="A419" s="21"/>
      <c r="D419" s="21"/>
      <c r="G419" s="14"/>
    </row>
    <row r="420" spans="1:7" ht="14.25" customHeight="1">
      <c r="A420" s="21"/>
      <c r="D420" s="21"/>
      <c r="G420" s="14"/>
    </row>
    <row r="421" spans="1:7" ht="14.25" customHeight="1">
      <c r="A421" s="21"/>
      <c r="D421" s="21"/>
      <c r="G421" s="14"/>
    </row>
    <row r="422" spans="1:7" ht="14.25" customHeight="1">
      <c r="A422" s="21"/>
      <c r="D422" s="21"/>
      <c r="G422" s="14"/>
    </row>
    <row r="423" spans="1:7" ht="14.25" customHeight="1">
      <c r="A423" s="21"/>
      <c r="D423" s="21"/>
      <c r="G423" s="14"/>
    </row>
    <row r="424" spans="1:7" ht="14.25" customHeight="1">
      <c r="A424" s="21"/>
      <c r="D424" s="21"/>
      <c r="G424" s="14"/>
    </row>
    <row r="425" spans="1:7" ht="14.25" customHeight="1">
      <c r="A425" s="21"/>
      <c r="D425" s="21"/>
      <c r="G425" s="14"/>
    </row>
    <row r="426" spans="1:7" ht="14.25" customHeight="1">
      <c r="A426" s="21"/>
      <c r="D426" s="21"/>
      <c r="G426" s="14"/>
    </row>
    <row r="427" spans="1:7" ht="14.25" customHeight="1">
      <c r="A427" s="21"/>
      <c r="D427" s="21"/>
      <c r="G427" s="14"/>
    </row>
    <row r="428" spans="1:7" ht="14.25" customHeight="1">
      <c r="A428" s="21"/>
      <c r="D428" s="21"/>
      <c r="G428" s="14"/>
    </row>
    <row r="429" spans="1:7" ht="14.25" customHeight="1">
      <c r="A429" s="21"/>
      <c r="D429" s="21"/>
      <c r="G429" s="14"/>
    </row>
    <row r="430" spans="1:7" ht="14.25" customHeight="1">
      <c r="A430" s="21"/>
      <c r="D430" s="21"/>
      <c r="G430" s="14"/>
    </row>
    <row r="431" spans="1:7" ht="14.25" customHeight="1">
      <c r="A431" s="21"/>
      <c r="D431" s="21"/>
      <c r="G431" s="14"/>
    </row>
    <row r="432" spans="1:7" ht="14.25" customHeight="1">
      <c r="A432" s="21"/>
      <c r="D432" s="21"/>
      <c r="G432" s="14"/>
    </row>
    <row r="433" spans="1:7" ht="14.25" customHeight="1">
      <c r="A433" s="21"/>
      <c r="D433" s="21"/>
      <c r="G433" s="14"/>
    </row>
    <row r="434" spans="1:7" ht="14.25" customHeight="1">
      <c r="A434" s="21"/>
      <c r="D434" s="21"/>
      <c r="G434" s="14"/>
    </row>
    <row r="435" spans="1:7" ht="14.25" customHeight="1">
      <c r="A435" s="21"/>
      <c r="D435" s="21"/>
      <c r="G435" s="14"/>
    </row>
    <row r="436" spans="1:7" ht="14.25" customHeight="1">
      <c r="A436" s="21"/>
      <c r="D436" s="21"/>
      <c r="G436" s="14"/>
    </row>
    <row r="437" spans="1:7" ht="14.25" customHeight="1">
      <c r="A437" s="21"/>
      <c r="D437" s="21"/>
      <c r="G437" s="14"/>
    </row>
    <row r="438" spans="1:7" ht="14.25" customHeight="1">
      <c r="A438" s="21"/>
      <c r="D438" s="21"/>
      <c r="G438" s="14"/>
    </row>
    <row r="439" spans="1:7" ht="14.25" customHeight="1">
      <c r="A439" s="21"/>
      <c r="D439" s="21"/>
      <c r="G439" s="14"/>
    </row>
    <row r="440" spans="1:7" ht="14.25" customHeight="1">
      <c r="A440" s="21"/>
      <c r="D440" s="21"/>
      <c r="G440" s="14"/>
    </row>
    <row r="441" spans="1:7" ht="14.25" customHeight="1">
      <c r="A441" s="21"/>
      <c r="D441" s="21"/>
      <c r="G441" s="14"/>
    </row>
    <row r="442" spans="1:7" ht="14.25" customHeight="1">
      <c r="A442" s="21"/>
      <c r="D442" s="21"/>
      <c r="G442" s="14"/>
    </row>
    <row r="443" spans="1:7" ht="14.25" customHeight="1">
      <c r="A443" s="21"/>
      <c r="D443" s="21"/>
      <c r="G443" s="14"/>
    </row>
    <row r="444" spans="1:7" ht="14.25" customHeight="1">
      <c r="A444" s="21"/>
      <c r="D444" s="21"/>
      <c r="G444" s="14"/>
    </row>
    <row r="445" spans="1:7" ht="14.25" customHeight="1">
      <c r="A445" s="21"/>
      <c r="D445" s="21"/>
      <c r="G445" s="14"/>
    </row>
    <row r="446" spans="1:7" ht="14.25" customHeight="1">
      <c r="A446" s="21"/>
      <c r="D446" s="21"/>
      <c r="G446" s="14"/>
    </row>
    <row r="447" spans="1:7" ht="14.25" customHeight="1">
      <c r="A447" s="21"/>
      <c r="D447" s="21"/>
      <c r="G447" s="14"/>
    </row>
    <row r="448" spans="1:7" ht="14.25" customHeight="1">
      <c r="A448" s="21"/>
      <c r="D448" s="21"/>
      <c r="G448" s="14"/>
    </row>
    <row r="449" spans="1:7" ht="14.25" customHeight="1">
      <c r="A449" s="21"/>
      <c r="D449" s="21"/>
      <c r="G449" s="14"/>
    </row>
    <row r="450" spans="1:7" ht="14.25" customHeight="1">
      <c r="A450" s="21"/>
      <c r="D450" s="21"/>
      <c r="G450" s="14"/>
    </row>
    <row r="451" spans="1:7" ht="14.25" customHeight="1">
      <c r="A451" s="21"/>
      <c r="D451" s="21"/>
      <c r="G451" s="14"/>
    </row>
    <row r="452" spans="1:7" ht="14.25" customHeight="1">
      <c r="A452" s="21"/>
      <c r="D452" s="21"/>
      <c r="G452" s="14"/>
    </row>
    <row r="453" spans="1:7" ht="14.25" customHeight="1">
      <c r="A453" s="21"/>
      <c r="D453" s="21"/>
      <c r="G453" s="14"/>
    </row>
    <row r="454" spans="1:7" ht="14.25" customHeight="1">
      <c r="A454" s="21"/>
      <c r="D454" s="21"/>
      <c r="G454" s="14"/>
    </row>
    <row r="455" spans="1:7" ht="14.25" customHeight="1">
      <c r="A455" s="21"/>
      <c r="D455" s="21"/>
      <c r="G455" s="14"/>
    </row>
    <row r="456" spans="1:7" ht="14.25" customHeight="1">
      <c r="A456" s="21"/>
      <c r="D456" s="21"/>
      <c r="G456" s="14"/>
    </row>
    <row r="457" spans="1:7" ht="14.25" customHeight="1">
      <c r="A457" s="21"/>
      <c r="D457" s="21"/>
      <c r="G457" s="14"/>
    </row>
    <row r="458" spans="1:7" ht="14.25" customHeight="1">
      <c r="A458" s="21"/>
      <c r="D458" s="21"/>
      <c r="G458" s="14"/>
    </row>
    <row r="459" spans="1:7" ht="14.25" customHeight="1">
      <c r="A459" s="21"/>
      <c r="D459" s="21"/>
      <c r="G459" s="14"/>
    </row>
    <row r="460" spans="1:7" ht="14.25" customHeight="1">
      <c r="A460" s="21"/>
      <c r="D460" s="21"/>
      <c r="G460" s="14"/>
    </row>
    <row r="461" spans="1:7" ht="14.25" customHeight="1">
      <c r="A461" s="21"/>
      <c r="D461" s="21"/>
      <c r="G461" s="14"/>
    </row>
    <row r="462" spans="1:7" ht="14.25" customHeight="1">
      <c r="A462" s="21"/>
      <c r="D462" s="21"/>
      <c r="G462" s="14"/>
    </row>
    <row r="463" spans="1:7" ht="14.25" customHeight="1">
      <c r="A463" s="21"/>
      <c r="D463" s="21"/>
      <c r="G463" s="14"/>
    </row>
    <row r="464" spans="1:7" ht="14.25" customHeight="1">
      <c r="A464" s="21"/>
      <c r="D464" s="21"/>
      <c r="G464" s="14"/>
    </row>
    <row r="465" spans="1:7" ht="14.25" customHeight="1">
      <c r="A465" s="21"/>
      <c r="D465" s="21"/>
      <c r="G465" s="14"/>
    </row>
    <row r="466" spans="1:7" ht="14.25" customHeight="1">
      <c r="A466" s="21"/>
      <c r="D466" s="21"/>
      <c r="G466" s="14"/>
    </row>
    <row r="467" spans="1:7" ht="14.25" customHeight="1">
      <c r="A467" s="21"/>
      <c r="D467" s="21"/>
      <c r="G467" s="14"/>
    </row>
    <row r="468" spans="1:7" ht="14.25" customHeight="1">
      <c r="A468" s="21"/>
      <c r="D468" s="21"/>
      <c r="G468" s="14"/>
    </row>
    <row r="469" spans="1:7" ht="14.25" customHeight="1">
      <c r="A469" s="21"/>
      <c r="D469" s="21"/>
      <c r="G469" s="14"/>
    </row>
    <row r="470" spans="1:7" ht="14.25" customHeight="1">
      <c r="A470" s="21"/>
      <c r="D470" s="21"/>
      <c r="G470" s="14"/>
    </row>
    <row r="471" spans="1:7" ht="14.25" customHeight="1">
      <c r="A471" s="21"/>
      <c r="D471" s="21"/>
      <c r="G471" s="14"/>
    </row>
    <row r="472" spans="1:7" ht="14.25" customHeight="1">
      <c r="A472" s="21"/>
      <c r="D472" s="21"/>
      <c r="G472" s="14"/>
    </row>
    <row r="473" spans="1:7" ht="14.25" customHeight="1">
      <c r="A473" s="21"/>
      <c r="D473" s="21"/>
      <c r="G473" s="14"/>
    </row>
    <row r="474" spans="1:7" ht="14.25" customHeight="1">
      <c r="A474" s="21"/>
      <c r="D474" s="21"/>
      <c r="G474" s="14"/>
    </row>
    <row r="475" spans="1:7" ht="14.25" customHeight="1">
      <c r="A475" s="21"/>
      <c r="D475" s="21"/>
      <c r="G475" s="14"/>
    </row>
    <row r="476" spans="1:7" ht="14.25" customHeight="1">
      <c r="A476" s="21"/>
      <c r="D476" s="21"/>
      <c r="G476" s="14"/>
    </row>
    <row r="477" spans="1:7" ht="14.25" customHeight="1">
      <c r="A477" s="21"/>
      <c r="D477" s="21"/>
      <c r="G477" s="14"/>
    </row>
    <row r="478" spans="1:7" ht="14.25" customHeight="1">
      <c r="A478" s="21"/>
      <c r="D478" s="21"/>
      <c r="G478" s="14"/>
    </row>
    <row r="479" spans="1:7" ht="14.25" customHeight="1">
      <c r="A479" s="21"/>
      <c r="D479" s="21"/>
      <c r="G479" s="14"/>
    </row>
    <row r="480" spans="1:7" ht="14.25" customHeight="1">
      <c r="A480" s="21"/>
      <c r="D480" s="21"/>
      <c r="G480" s="14"/>
    </row>
    <row r="481" spans="1:7" ht="14.25" customHeight="1">
      <c r="A481" s="21"/>
      <c r="D481" s="21"/>
      <c r="G481" s="14"/>
    </row>
    <row r="482" spans="1:7" ht="14.25" customHeight="1">
      <c r="A482" s="21"/>
      <c r="D482" s="21"/>
      <c r="G482" s="14"/>
    </row>
    <row r="483" spans="1:7" ht="14.25" customHeight="1">
      <c r="A483" s="21"/>
      <c r="D483" s="21"/>
      <c r="G483" s="14"/>
    </row>
    <row r="484" spans="1:7" ht="14.25" customHeight="1">
      <c r="A484" s="21"/>
      <c r="D484" s="21"/>
      <c r="G484" s="14"/>
    </row>
    <row r="485" spans="1:7" ht="14.25" customHeight="1">
      <c r="A485" s="21"/>
      <c r="D485" s="21"/>
      <c r="G485" s="14"/>
    </row>
    <row r="486" spans="1:7" ht="14.25" customHeight="1">
      <c r="A486" s="21"/>
      <c r="D486" s="21"/>
      <c r="G486" s="14"/>
    </row>
    <row r="487" spans="1:7" ht="14.25" customHeight="1">
      <c r="A487" s="21"/>
      <c r="D487" s="21"/>
      <c r="G487" s="14"/>
    </row>
    <row r="488" spans="1:7" ht="14.25" customHeight="1">
      <c r="A488" s="21"/>
      <c r="D488" s="21"/>
      <c r="G488" s="14"/>
    </row>
    <row r="489" spans="1:7" ht="14.25" customHeight="1">
      <c r="A489" s="21"/>
      <c r="D489" s="21"/>
      <c r="G489" s="14"/>
    </row>
    <row r="490" spans="1:7" ht="14.25" customHeight="1">
      <c r="A490" s="21"/>
      <c r="D490" s="21"/>
      <c r="G490" s="14"/>
    </row>
    <row r="491" spans="1:7" ht="14.25" customHeight="1">
      <c r="A491" s="21"/>
      <c r="D491" s="21"/>
      <c r="G491" s="14"/>
    </row>
    <row r="492" spans="1:7" ht="14.25" customHeight="1">
      <c r="A492" s="21"/>
      <c r="D492" s="21"/>
      <c r="G492" s="14"/>
    </row>
    <row r="493" spans="1:7" ht="14.25" customHeight="1">
      <c r="A493" s="21"/>
      <c r="D493" s="21"/>
      <c r="G493" s="14"/>
    </row>
    <row r="494" spans="1:7" ht="14.25" customHeight="1">
      <c r="A494" s="21"/>
      <c r="D494" s="21"/>
      <c r="G494" s="14"/>
    </row>
    <row r="495" spans="1:7" ht="14.25" customHeight="1">
      <c r="A495" s="21"/>
      <c r="D495" s="21"/>
      <c r="G495" s="14"/>
    </row>
    <row r="496" spans="1:7" ht="14.25" customHeight="1">
      <c r="A496" s="21"/>
      <c r="D496" s="21"/>
      <c r="G496" s="14"/>
    </row>
    <row r="497" spans="1:7" ht="14.25" customHeight="1">
      <c r="A497" s="21"/>
      <c r="D497" s="21"/>
      <c r="G497" s="14"/>
    </row>
    <row r="498" spans="1:7" ht="14.25" customHeight="1">
      <c r="A498" s="21"/>
      <c r="D498" s="21"/>
      <c r="G498" s="14"/>
    </row>
    <row r="499" spans="1:7" ht="14.25" customHeight="1">
      <c r="A499" s="21"/>
      <c r="D499" s="21"/>
      <c r="G499" s="14"/>
    </row>
    <row r="500" spans="1:7" ht="14.25" customHeight="1">
      <c r="A500" s="21"/>
      <c r="D500" s="21"/>
      <c r="G500" s="14"/>
    </row>
    <row r="501" spans="1:7" ht="14.25" customHeight="1">
      <c r="A501" s="21"/>
      <c r="D501" s="21"/>
      <c r="G501" s="14"/>
    </row>
    <row r="502" spans="1:7" ht="14.25" customHeight="1">
      <c r="A502" s="21"/>
      <c r="D502" s="21"/>
      <c r="G502" s="14"/>
    </row>
    <row r="503" spans="1:7" ht="14.25" customHeight="1">
      <c r="A503" s="21"/>
      <c r="D503" s="21"/>
      <c r="G503" s="14"/>
    </row>
    <row r="504" spans="1:7" ht="14.25" customHeight="1">
      <c r="A504" s="21"/>
      <c r="D504" s="21"/>
      <c r="G504" s="14"/>
    </row>
    <row r="505" spans="1:7" ht="14.25" customHeight="1">
      <c r="A505" s="21"/>
      <c r="D505" s="21"/>
      <c r="G505" s="14"/>
    </row>
    <row r="506" spans="1:7" ht="14.25" customHeight="1">
      <c r="A506" s="21"/>
      <c r="D506" s="21"/>
      <c r="G506" s="14"/>
    </row>
    <row r="507" spans="1:7" ht="14.25" customHeight="1">
      <c r="A507" s="21"/>
      <c r="D507" s="21"/>
      <c r="G507" s="14"/>
    </row>
    <row r="508" spans="1:7" ht="14.25" customHeight="1">
      <c r="A508" s="21"/>
      <c r="D508" s="21"/>
      <c r="G508" s="14"/>
    </row>
    <row r="509" spans="1:7" ht="14.25" customHeight="1">
      <c r="A509" s="21"/>
      <c r="D509" s="21"/>
      <c r="G509" s="14"/>
    </row>
    <row r="510" spans="1:7" ht="14.25" customHeight="1">
      <c r="A510" s="21"/>
      <c r="D510" s="21"/>
      <c r="G510" s="14"/>
    </row>
    <row r="511" spans="1:7" ht="14.25" customHeight="1">
      <c r="A511" s="21"/>
      <c r="D511" s="21"/>
      <c r="G511" s="14"/>
    </row>
    <row r="512" spans="1:7" ht="14.25" customHeight="1">
      <c r="A512" s="21"/>
      <c r="D512" s="21"/>
      <c r="G512" s="14"/>
    </row>
    <row r="513" spans="1:7" ht="14.25" customHeight="1">
      <c r="A513" s="21"/>
      <c r="D513" s="21"/>
      <c r="G513" s="14"/>
    </row>
    <row r="514" spans="1:7" ht="14.25" customHeight="1">
      <c r="A514" s="21"/>
      <c r="D514" s="21"/>
      <c r="G514" s="14"/>
    </row>
    <row r="515" spans="1:7" ht="14.25" customHeight="1">
      <c r="A515" s="21"/>
      <c r="D515" s="21"/>
      <c r="G515" s="14"/>
    </row>
    <row r="516" spans="1:7" ht="14.25" customHeight="1">
      <c r="A516" s="21"/>
      <c r="D516" s="21"/>
      <c r="G516" s="14"/>
    </row>
    <row r="517" spans="1:7" ht="14.25" customHeight="1">
      <c r="A517" s="21"/>
      <c r="D517" s="21"/>
      <c r="G517" s="14"/>
    </row>
    <row r="518" spans="1:7" ht="14.25" customHeight="1">
      <c r="A518" s="21"/>
      <c r="D518" s="21"/>
      <c r="G518" s="14"/>
    </row>
    <row r="519" spans="1:7" ht="14.25" customHeight="1">
      <c r="A519" s="21"/>
      <c r="D519" s="21"/>
      <c r="G519" s="14"/>
    </row>
    <row r="520" spans="1:7" ht="14.25" customHeight="1">
      <c r="A520" s="21"/>
      <c r="D520" s="21"/>
      <c r="G520" s="14"/>
    </row>
    <row r="521" spans="1:7" ht="14.25" customHeight="1">
      <c r="A521" s="21"/>
      <c r="D521" s="21"/>
      <c r="G521" s="14"/>
    </row>
    <row r="522" spans="1:7" ht="14.25" customHeight="1">
      <c r="A522" s="21"/>
      <c r="D522" s="21"/>
      <c r="G522" s="14"/>
    </row>
    <row r="523" spans="1:7" ht="14.25" customHeight="1">
      <c r="A523" s="21"/>
      <c r="D523" s="21"/>
      <c r="G523" s="14"/>
    </row>
    <row r="524" spans="1:7" ht="14.25" customHeight="1">
      <c r="A524" s="21"/>
      <c r="D524" s="21"/>
      <c r="G524" s="14"/>
    </row>
    <row r="525" spans="1:7" ht="14.25" customHeight="1">
      <c r="A525" s="21"/>
      <c r="D525" s="21"/>
      <c r="G525" s="14"/>
    </row>
    <row r="526" spans="1:7" ht="14.25" customHeight="1">
      <c r="A526" s="21"/>
      <c r="D526" s="21"/>
      <c r="G526" s="14"/>
    </row>
    <row r="527" spans="1:7" ht="14.25" customHeight="1">
      <c r="A527" s="21"/>
      <c r="D527" s="21"/>
      <c r="G527" s="14"/>
    </row>
    <row r="528" spans="1:7" ht="14.25" customHeight="1">
      <c r="A528" s="21"/>
      <c r="D528" s="21"/>
      <c r="G528" s="14"/>
    </row>
    <row r="529" spans="1:7" ht="14.25" customHeight="1">
      <c r="A529" s="21"/>
      <c r="D529" s="21"/>
      <c r="G529" s="14"/>
    </row>
    <row r="530" spans="1:7" ht="14.25" customHeight="1">
      <c r="A530" s="21"/>
      <c r="D530" s="21"/>
      <c r="G530" s="14"/>
    </row>
    <row r="531" spans="1:7" ht="14.25" customHeight="1">
      <c r="A531" s="21"/>
      <c r="D531" s="21"/>
      <c r="G531" s="14"/>
    </row>
    <row r="532" spans="1:7" ht="14.25" customHeight="1">
      <c r="A532" s="21"/>
      <c r="D532" s="21"/>
      <c r="G532" s="14"/>
    </row>
    <row r="533" spans="1:7" ht="14.25" customHeight="1">
      <c r="A533" s="21"/>
      <c r="D533" s="21"/>
      <c r="G533" s="14"/>
    </row>
    <row r="534" spans="1:7" ht="14.25" customHeight="1">
      <c r="A534" s="21"/>
      <c r="D534" s="21"/>
      <c r="G534" s="14"/>
    </row>
    <row r="535" spans="1:7" ht="14.25" customHeight="1">
      <c r="A535" s="21"/>
      <c r="D535" s="21"/>
      <c r="G535" s="14"/>
    </row>
    <row r="536" spans="1:7" ht="14.25" customHeight="1">
      <c r="A536" s="21"/>
      <c r="D536" s="21"/>
      <c r="G536" s="14"/>
    </row>
    <row r="537" spans="1:7" ht="14.25" customHeight="1">
      <c r="A537" s="21"/>
      <c r="D537" s="21"/>
      <c r="G537" s="14"/>
    </row>
    <row r="538" spans="1:7" ht="14.25" customHeight="1">
      <c r="A538" s="21"/>
      <c r="D538" s="21"/>
      <c r="G538" s="14"/>
    </row>
    <row r="539" spans="1:7" ht="14.25" customHeight="1">
      <c r="A539" s="21"/>
      <c r="D539" s="21"/>
      <c r="G539" s="14"/>
    </row>
    <row r="540" spans="1:7" ht="14.25" customHeight="1">
      <c r="A540" s="21"/>
      <c r="D540" s="21"/>
      <c r="G540" s="14"/>
    </row>
    <row r="541" spans="1:7" ht="14.25" customHeight="1">
      <c r="A541" s="21"/>
      <c r="D541" s="21"/>
      <c r="G541" s="14"/>
    </row>
    <row r="542" spans="1:7" ht="14.25" customHeight="1">
      <c r="A542" s="21"/>
      <c r="D542" s="21"/>
      <c r="G542" s="14"/>
    </row>
    <row r="543" spans="1:7" ht="14.25" customHeight="1">
      <c r="A543" s="21"/>
      <c r="D543" s="21"/>
      <c r="G543" s="14"/>
    </row>
    <row r="544" spans="1:7" ht="14.25" customHeight="1">
      <c r="A544" s="21"/>
      <c r="D544" s="21"/>
      <c r="G544" s="14"/>
    </row>
    <row r="545" spans="1:7" ht="14.25" customHeight="1">
      <c r="A545" s="21"/>
      <c r="D545" s="21"/>
      <c r="G545" s="14"/>
    </row>
    <row r="546" spans="1:7" ht="14.25" customHeight="1">
      <c r="A546" s="21"/>
      <c r="D546" s="21"/>
      <c r="G546" s="14"/>
    </row>
    <row r="547" spans="1:7" ht="14.25" customHeight="1">
      <c r="A547" s="21"/>
      <c r="D547" s="21"/>
      <c r="G547" s="14"/>
    </row>
    <row r="548" spans="1:7" ht="14.25" customHeight="1">
      <c r="A548" s="21"/>
      <c r="D548" s="21"/>
      <c r="G548" s="14"/>
    </row>
    <row r="549" spans="1:7" ht="14.25" customHeight="1">
      <c r="A549" s="21"/>
      <c r="D549" s="21"/>
      <c r="G549" s="14"/>
    </row>
    <row r="550" spans="1:7" ht="14.25" customHeight="1">
      <c r="A550" s="21"/>
      <c r="D550" s="21"/>
      <c r="G550" s="14"/>
    </row>
    <row r="551" spans="1:7" ht="14.25" customHeight="1">
      <c r="A551" s="21"/>
      <c r="D551" s="21"/>
      <c r="G551" s="14"/>
    </row>
    <row r="552" spans="1:7" ht="14.25" customHeight="1">
      <c r="A552" s="21"/>
      <c r="D552" s="21"/>
      <c r="G552" s="14"/>
    </row>
    <row r="553" spans="1:7" ht="14.25" customHeight="1">
      <c r="A553" s="21"/>
      <c r="D553" s="21"/>
      <c r="G553" s="14"/>
    </row>
    <row r="554" spans="1:7" ht="14.25" customHeight="1">
      <c r="A554" s="21"/>
      <c r="D554" s="21"/>
      <c r="G554" s="14"/>
    </row>
    <row r="555" spans="1:7" ht="14.25" customHeight="1">
      <c r="A555" s="21"/>
      <c r="D555" s="21"/>
      <c r="G555" s="14"/>
    </row>
    <row r="556" spans="1:7" ht="14.25" customHeight="1">
      <c r="A556" s="21"/>
      <c r="D556" s="21"/>
      <c r="G556" s="14"/>
    </row>
    <row r="557" spans="1:7" ht="14.25" customHeight="1">
      <c r="A557" s="21"/>
      <c r="D557" s="21"/>
      <c r="G557" s="14"/>
    </row>
    <row r="558" spans="1:7" ht="14.25" customHeight="1">
      <c r="A558" s="21"/>
      <c r="D558" s="21"/>
      <c r="G558" s="14"/>
    </row>
    <row r="559" spans="1:7" ht="14.25" customHeight="1">
      <c r="A559" s="21"/>
      <c r="D559" s="21"/>
      <c r="G559" s="14"/>
    </row>
    <row r="560" spans="1:7" ht="14.25" customHeight="1">
      <c r="A560" s="21"/>
      <c r="D560" s="21"/>
      <c r="G560" s="14"/>
    </row>
    <row r="561" spans="1:7" ht="14.25" customHeight="1">
      <c r="A561" s="21"/>
      <c r="D561" s="21"/>
      <c r="G561" s="14"/>
    </row>
    <row r="562" spans="1:7" ht="14.25" customHeight="1">
      <c r="A562" s="21"/>
      <c r="D562" s="21"/>
      <c r="G562" s="14"/>
    </row>
    <row r="563" spans="1:7" ht="14.25" customHeight="1">
      <c r="A563" s="21"/>
      <c r="D563" s="21"/>
      <c r="G563" s="14"/>
    </row>
    <row r="564" spans="1:7" ht="14.25" customHeight="1">
      <c r="A564" s="21"/>
      <c r="D564" s="21"/>
      <c r="G564" s="14"/>
    </row>
    <row r="565" spans="1:7" ht="14.25" customHeight="1">
      <c r="A565" s="21"/>
      <c r="D565" s="21"/>
      <c r="G565" s="14"/>
    </row>
    <row r="566" spans="1:7" ht="14.25" customHeight="1">
      <c r="A566" s="21"/>
      <c r="D566" s="21"/>
      <c r="G566" s="14"/>
    </row>
    <row r="567" spans="1:7" ht="14.25" customHeight="1">
      <c r="A567" s="21"/>
      <c r="D567" s="21"/>
      <c r="G567" s="14"/>
    </row>
    <row r="568" spans="1:7" ht="14.25" customHeight="1">
      <c r="A568" s="21"/>
      <c r="D568" s="21"/>
      <c r="G568" s="14"/>
    </row>
    <row r="569" spans="1:7" ht="14.25" customHeight="1">
      <c r="A569" s="21"/>
      <c r="D569" s="21"/>
      <c r="G569" s="14"/>
    </row>
    <row r="570" spans="1:7" ht="14.25" customHeight="1">
      <c r="A570" s="21"/>
      <c r="D570" s="21"/>
      <c r="G570" s="14"/>
    </row>
    <row r="571" spans="1:7" ht="14.25" customHeight="1">
      <c r="A571" s="21"/>
      <c r="D571" s="21"/>
      <c r="G571" s="14"/>
    </row>
    <row r="572" spans="1:7" ht="14.25" customHeight="1">
      <c r="A572" s="21"/>
      <c r="D572" s="21"/>
      <c r="G572" s="14"/>
    </row>
    <row r="573" spans="1:7" ht="14.25" customHeight="1">
      <c r="A573" s="21"/>
      <c r="D573" s="21"/>
      <c r="G573" s="14"/>
    </row>
    <row r="574" spans="1:7" ht="14.25" customHeight="1">
      <c r="A574" s="21"/>
      <c r="D574" s="21"/>
      <c r="G574" s="14"/>
    </row>
    <row r="575" spans="1:7" ht="14.25" customHeight="1">
      <c r="A575" s="21"/>
      <c r="D575" s="21"/>
      <c r="G575" s="14"/>
    </row>
    <row r="576" spans="1:7" ht="14.25" customHeight="1">
      <c r="A576" s="21"/>
      <c r="D576" s="21"/>
      <c r="G576" s="14"/>
    </row>
    <row r="577" spans="1:7" ht="14.25" customHeight="1">
      <c r="A577" s="21"/>
      <c r="D577" s="21"/>
      <c r="G577" s="14"/>
    </row>
    <row r="578" spans="1:7" ht="14.25" customHeight="1">
      <c r="A578" s="21"/>
      <c r="D578" s="21"/>
      <c r="G578" s="14"/>
    </row>
    <row r="579" spans="1:7" ht="14.25" customHeight="1">
      <c r="A579" s="21"/>
      <c r="D579" s="21"/>
      <c r="G579" s="14"/>
    </row>
    <row r="580" spans="1:7" ht="14.25" customHeight="1">
      <c r="A580" s="21"/>
      <c r="D580" s="21"/>
      <c r="G580" s="14"/>
    </row>
    <row r="581" spans="1:7" ht="14.25" customHeight="1">
      <c r="A581" s="21"/>
      <c r="D581" s="21"/>
      <c r="G581" s="14"/>
    </row>
    <row r="582" spans="1:7" ht="14.25" customHeight="1">
      <c r="A582" s="21"/>
      <c r="D582" s="21"/>
      <c r="G582" s="14"/>
    </row>
    <row r="583" spans="1:7" ht="14.25" customHeight="1">
      <c r="A583" s="21"/>
      <c r="D583" s="21"/>
      <c r="G583" s="14"/>
    </row>
    <row r="584" spans="1:7" ht="14.25" customHeight="1">
      <c r="A584" s="21"/>
      <c r="D584" s="21"/>
      <c r="G584" s="14"/>
    </row>
    <row r="585" spans="1:7" ht="14.25" customHeight="1">
      <c r="A585" s="21"/>
      <c r="D585" s="21"/>
      <c r="G585" s="14"/>
    </row>
    <row r="586" spans="1:7" ht="14.25" customHeight="1">
      <c r="A586" s="21"/>
      <c r="D586" s="21"/>
      <c r="G586" s="14"/>
    </row>
    <row r="587" spans="1:7" ht="14.25" customHeight="1">
      <c r="A587" s="21"/>
      <c r="D587" s="21"/>
      <c r="G587" s="14"/>
    </row>
    <row r="588" spans="1:7" ht="14.25" customHeight="1">
      <c r="A588" s="21"/>
      <c r="D588" s="21"/>
      <c r="G588" s="14"/>
    </row>
    <row r="589" spans="1:7" ht="14.25" customHeight="1">
      <c r="A589" s="21"/>
      <c r="D589" s="21"/>
      <c r="G589" s="14"/>
    </row>
    <row r="590" spans="1:7" ht="14.25" customHeight="1">
      <c r="A590" s="21"/>
      <c r="D590" s="21"/>
      <c r="G590" s="14"/>
    </row>
    <row r="591" spans="1:7" ht="14.25" customHeight="1">
      <c r="A591" s="21"/>
      <c r="D591" s="21"/>
      <c r="G591" s="14"/>
    </row>
    <row r="592" spans="1:7" ht="14.25" customHeight="1">
      <c r="A592" s="21"/>
      <c r="D592" s="21"/>
      <c r="G592" s="14"/>
    </row>
    <row r="593" spans="1:7" ht="14.25" customHeight="1">
      <c r="A593" s="21"/>
      <c r="D593" s="21"/>
      <c r="G593" s="14"/>
    </row>
    <row r="594" spans="1:7" ht="14.25" customHeight="1">
      <c r="A594" s="21"/>
      <c r="D594" s="21"/>
      <c r="G594" s="14"/>
    </row>
    <row r="595" spans="1:7" ht="14.25" customHeight="1">
      <c r="A595" s="21"/>
      <c r="D595" s="21"/>
      <c r="G595" s="14"/>
    </row>
    <row r="596" spans="1:7" ht="14.25" customHeight="1">
      <c r="A596" s="21"/>
      <c r="D596" s="21"/>
      <c r="G596" s="14"/>
    </row>
    <row r="597" spans="1:7" ht="14.25" customHeight="1">
      <c r="A597" s="21"/>
      <c r="D597" s="21"/>
      <c r="G597" s="14"/>
    </row>
    <row r="598" spans="1:7" ht="14.25" customHeight="1">
      <c r="A598" s="21"/>
      <c r="D598" s="21"/>
      <c r="G598" s="14"/>
    </row>
    <row r="599" spans="1:7" ht="14.25" customHeight="1">
      <c r="A599" s="21"/>
      <c r="D599" s="21"/>
      <c r="G599" s="14"/>
    </row>
    <row r="600" spans="1:7" ht="14.25" customHeight="1">
      <c r="A600" s="21"/>
      <c r="D600" s="21"/>
      <c r="G600" s="14"/>
    </row>
    <row r="601" spans="1:7" ht="14.25" customHeight="1">
      <c r="A601" s="21"/>
      <c r="D601" s="21"/>
      <c r="G601" s="14"/>
    </row>
    <row r="602" spans="1:7" ht="14.25" customHeight="1">
      <c r="A602" s="21"/>
      <c r="D602" s="21"/>
      <c r="G602" s="14"/>
    </row>
    <row r="603" spans="1:7" ht="14.25" customHeight="1">
      <c r="A603" s="21"/>
      <c r="D603" s="21"/>
      <c r="G603" s="14"/>
    </row>
    <row r="604" spans="1:7" ht="14.25" customHeight="1">
      <c r="A604" s="21"/>
      <c r="D604" s="21"/>
      <c r="G604" s="14"/>
    </row>
    <row r="605" spans="1:7" ht="14.25" customHeight="1">
      <c r="A605" s="21"/>
      <c r="D605" s="21"/>
      <c r="G605" s="14"/>
    </row>
    <row r="606" spans="1:7" ht="14.25" customHeight="1">
      <c r="A606" s="21"/>
      <c r="D606" s="21"/>
      <c r="G606" s="14"/>
    </row>
    <row r="607" spans="1:7" ht="14.25" customHeight="1">
      <c r="A607" s="21"/>
      <c r="D607" s="21"/>
      <c r="G607" s="14"/>
    </row>
    <row r="608" spans="1:7" ht="14.25" customHeight="1">
      <c r="A608" s="21"/>
      <c r="D608" s="21"/>
      <c r="G608" s="14"/>
    </row>
    <row r="609" spans="1:7" ht="14.25" customHeight="1">
      <c r="A609" s="21"/>
      <c r="D609" s="21"/>
      <c r="G609" s="14"/>
    </row>
    <row r="610" spans="1:7" ht="14.25" customHeight="1">
      <c r="A610" s="21"/>
      <c r="D610" s="21"/>
      <c r="G610" s="14"/>
    </row>
    <row r="611" spans="1:7" ht="14.25" customHeight="1">
      <c r="A611" s="21"/>
      <c r="D611" s="21"/>
      <c r="G611" s="14"/>
    </row>
    <row r="612" spans="1:7" ht="14.25" customHeight="1">
      <c r="A612" s="21"/>
      <c r="D612" s="21"/>
      <c r="G612" s="14"/>
    </row>
    <row r="613" spans="1:7" ht="14.25" customHeight="1">
      <c r="A613" s="21"/>
      <c r="D613" s="21"/>
      <c r="G613" s="14"/>
    </row>
    <row r="614" spans="1:7" ht="14.25" customHeight="1">
      <c r="A614" s="21"/>
      <c r="D614" s="21"/>
      <c r="G614" s="14"/>
    </row>
    <row r="615" spans="1:7" ht="14.25" customHeight="1">
      <c r="A615" s="21"/>
      <c r="D615" s="21"/>
      <c r="G615" s="14"/>
    </row>
    <row r="616" spans="1:7" ht="14.25" customHeight="1">
      <c r="A616" s="21"/>
      <c r="D616" s="21"/>
      <c r="G616" s="14"/>
    </row>
    <row r="617" spans="1:7" ht="14.25" customHeight="1">
      <c r="A617" s="21"/>
      <c r="D617" s="21"/>
      <c r="G617" s="14"/>
    </row>
    <row r="618" spans="1:7" ht="14.25" customHeight="1">
      <c r="A618" s="21"/>
      <c r="D618" s="21"/>
      <c r="G618" s="14"/>
    </row>
    <row r="619" spans="1:7" ht="14.25" customHeight="1">
      <c r="A619" s="21"/>
      <c r="D619" s="21"/>
      <c r="G619" s="14"/>
    </row>
    <row r="620" spans="1:7" ht="14.25" customHeight="1">
      <c r="A620" s="21"/>
      <c r="D620" s="21"/>
      <c r="G620" s="14"/>
    </row>
    <row r="621" spans="1:7" ht="14.25" customHeight="1">
      <c r="A621" s="21"/>
      <c r="D621" s="21"/>
      <c r="G621" s="14"/>
    </row>
    <row r="622" spans="1:7" ht="14.25" customHeight="1">
      <c r="A622" s="21"/>
      <c r="D622" s="21"/>
      <c r="G622" s="14"/>
    </row>
    <row r="623" spans="1:7" ht="14.25" customHeight="1">
      <c r="A623" s="21"/>
      <c r="D623" s="21"/>
      <c r="G623" s="14"/>
    </row>
    <row r="624" spans="1:7" ht="14.25" customHeight="1">
      <c r="A624" s="21"/>
      <c r="D624" s="21"/>
      <c r="G624" s="14"/>
    </row>
    <row r="625" spans="1:7" ht="14.25" customHeight="1">
      <c r="A625" s="21"/>
      <c r="D625" s="21"/>
      <c r="G625" s="14"/>
    </row>
    <row r="626" spans="1:7" ht="14.25" customHeight="1">
      <c r="A626" s="21"/>
      <c r="D626" s="21"/>
      <c r="G626" s="14"/>
    </row>
    <row r="627" spans="1:7" ht="14.25" customHeight="1">
      <c r="A627" s="21"/>
      <c r="D627" s="21"/>
      <c r="G627" s="14"/>
    </row>
    <row r="628" spans="1:7" ht="14.25" customHeight="1">
      <c r="A628" s="21"/>
      <c r="D628" s="21"/>
      <c r="G628" s="14"/>
    </row>
    <row r="629" spans="1:7" ht="14.25" customHeight="1">
      <c r="A629" s="21"/>
      <c r="D629" s="21"/>
      <c r="G629" s="14"/>
    </row>
    <row r="630" spans="1:7" ht="14.25" customHeight="1">
      <c r="A630" s="21"/>
      <c r="D630" s="21"/>
      <c r="G630" s="14"/>
    </row>
    <row r="631" spans="1:7" ht="14.25" customHeight="1">
      <c r="A631" s="21"/>
      <c r="D631" s="21"/>
      <c r="G631" s="14"/>
    </row>
    <row r="632" spans="1:7" ht="14.25" customHeight="1">
      <c r="A632" s="21"/>
      <c r="D632" s="21"/>
      <c r="G632" s="14"/>
    </row>
    <row r="633" spans="1:7" ht="14.25" customHeight="1">
      <c r="A633" s="21"/>
      <c r="D633" s="21"/>
      <c r="G633" s="14"/>
    </row>
    <row r="634" spans="1:7" ht="14.25" customHeight="1">
      <c r="A634" s="21"/>
      <c r="D634" s="21"/>
      <c r="G634" s="14"/>
    </row>
    <row r="635" spans="1:7" ht="14.25" customHeight="1">
      <c r="A635" s="21"/>
      <c r="D635" s="21"/>
      <c r="G635" s="14"/>
    </row>
    <row r="636" spans="1:7" ht="14.25" customHeight="1">
      <c r="A636" s="21"/>
      <c r="D636" s="21"/>
      <c r="G636" s="14"/>
    </row>
    <row r="637" spans="1:7" ht="14.25" customHeight="1">
      <c r="A637" s="21"/>
      <c r="D637" s="21"/>
      <c r="G637" s="14"/>
    </row>
    <row r="638" spans="1:7" ht="14.25" customHeight="1">
      <c r="A638" s="21"/>
      <c r="D638" s="21"/>
      <c r="G638" s="14"/>
    </row>
    <row r="639" spans="1:7" ht="14.25" customHeight="1">
      <c r="A639" s="21"/>
      <c r="D639" s="21"/>
      <c r="G639" s="14"/>
    </row>
    <row r="640" spans="1:7" ht="14.25" customHeight="1">
      <c r="A640" s="21"/>
      <c r="D640" s="21"/>
      <c r="G640" s="14"/>
    </row>
    <row r="641" spans="1:7" ht="14.25" customHeight="1">
      <c r="A641" s="21"/>
      <c r="D641" s="21"/>
      <c r="G641" s="14"/>
    </row>
    <row r="642" spans="1:7" ht="14.25" customHeight="1">
      <c r="A642" s="21"/>
      <c r="D642" s="21"/>
      <c r="G642" s="14"/>
    </row>
    <row r="643" spans="1:7" ht="14.25" customHeight="1">
      <c r="A643" s="21"/>
      <c r="D643" s="21"/>
      <c r="G643" s="14"/>
    </row>
    <row r="644" spans="1:7" ht="14.25" customHeight="1">
      <c r="A644" s="21"/>
      <c r="D644" s="21"/>
      <c r="G644" s="14"/>
    </row>
    <row r="645" spans="1:7" ht="14.25" customHeight="1">
      <c r="A645" s="21"/>
      <c r="D645" s="21"/>
      <c r="G645" s="14"/>
    </row>
    <row r="646" spans="1:7" ht="14.25" customHeight="1">
      <c r="A646" s="21"/>
      <c r="D646" s="21"/>
      <c r="G646" s="14"/>
    </row>
    <row r="647" spans="1:7" ht="14.25" customHeight="1">
      <c r="A647" s="21"/>
      <c r="D647" s="21"/>
      <c r="G647" s="14"/>
    </row>
    <row r="648" spans="1:7" ht="14.25" customHeight="1">
      <c r="A648" s="21"/>
      <c r="D648" s="21"/>
      <c r="G648" s="14"/>
    </row>
    <row r="649" spans="1:7" ht="14.25" customHeight="1">
      <c r="A649" s="21"/>
      <c r="D649" s="21"/>
      <c r="G649" s="14"/>
    </row>
    <row r="650" spans="1:7" ht="14.25" customHeight="1">
      <c r="A650" s="21"/>
      <c r="D650" s="21"/>
      <c r="G650" s="14"/>
    </row>
    <row r="651" spans="1:7" ht="14.25" customHeight="1">
      <c r="A651" s="21"/>
      <c r="D651" s="21"/>
      <c r="G651" s="14"/>
    </row>
    <row r="652" spans="1:7" ht="14.25" customHeight="1">
      <c r="A652" s="21"/>
      <c r="D652" s="21"/>
      <c r="G652" s="14"/>
    </row>
    <row r="653" spans="1:7" ht="14.25" customHeight="1">
      <c r="A653" s="21"/>
      <c r="D653" s="21"/>
      <c r="G653" s="14"/>
    </row>
    <row r="654" spans="1:7" ht="14.25" customHeight="1">
      <c r="A654" s="21"/>
      <c r="D654" s="21"/>
      <c r="G654" s="14"/>
    </row>
    <row r="655" spans="1:7" ht="14.25" customHeight="1">
      <c r="A655" s="21"/>
      <c r="D655" s="21"/>
      <c r="G655" s="14"/>
    </row>
    <row r="656" spans="1:7" ht="14.25" customHeight="1">
      <c r="A656" s="21"/>
      <c r="D656" s="21"/>
      <c r="G656" s="14"/>
    </row>
    <row r="657" spans="1:7" ht="14.25" customHeight="1">
      <c r="A657" s="21"/>
      <c r="D657" s="21"/>
      <c r="G657" s="14"/>
    </row>
    <row r="658" spans="1:7" ht="14.25" customHeight="1">
      <c r="A658" s="21"/>
      <c r="D658" s="21"/>
      <c r="G658" s="14"/>
    </row>
    <row r="659" spans="1:7" ht="14.25" customHeight="1">
      <c r="A659" s="21"/>
      <c r="D659" s="21"/>
      <c r="G659" s="14"/>
    </row>
    <row r="660" spans="1:7" ht="14.25" customHeight="1">
      <c r="A660" s="21"/>
      <c r="D660" s="21"/>
      <c r="G660" s="14"/>
    </row>
    <row r="661" spans="1:7" ht="14.25" customHeight="1">
      <c r="A661" s="21"/>
      <c r="D661" s="21"/>
      <c r="G661" s="14"/>
    </row>
    <row r="662" spans="1:7" ht="14.25" customHeight="1">
      <c r="A662" s="21"/>
      <c r="D662" s="21"/>
      <c r="G662" s="14"/>
    </row>
    <row r="663" spans="1:7" ht="14.25" customHeight="1">
      <c r="A663" s="21"/>
      <c r="D663" s="21"/>
      <c r="G663" s="14"/>
    </row>
    <row r="664" spans="1:7" ht="14.25" customHeight="1">
      <c r="A664" s="21"/>
      <c r="D664" s="21"/>
      <c r="G664" s="14"/>
    </row>
    <row r="665" spans="1:7" ht="14.25" customHeight="1">
      <c r="A665" s="21"/>
      <c r="D665" s="21"/>
      <c r="G665" s="14"/>
    </row>
    <row r="666" spans="1:7" ht="14.25" customHeight="1">
      <c r="A666" s="21"/>
      <c r="D666" s="21"/>
      <c r="G666" s="14"/>
    </row>
    <row r="667" spans="1:7" ht="14.25" customHeight="1">
      <c r="A667" s="21"/>
      <c r="D667" s="21"/>
      <c r="G667" s="14"/>
    </row>
    <row r="668" spans="1:7" ht="14.25" customHeight="1">
      <c r="A668" s="21"/>
      <c r="D668" s="21"/>
      <c r="G668" s="14"/>
    </row>
    <row r="669" spans="1:7" ht="14.25" customHeight="1">
      <c r="A669" s="21"/>
      <c r="D669" s="21"/>
      <c r="G669" s="14"/>
    </row>
    <row r="670" spans="1:7" ht="14.25" customHeight="1">
      <c r="A670" s="21"/>
      <c r="D670" s="21"/>
      <c r="G670" s="14"/>
    </row>
    <row r="671" spans="1:7" ht="14.25" customHeight="1">
      <c r="A671" s="21"/>
      <c r="D671" s="21"/>
      <c r="G671" s="14"/>
    </row>
    <row r="672" spans="1:7" ht="14.25" customHeight="1">
      <c r="A672" s="21"/>
      <c r="D672" s="21"/>
      <c r="G672" s="14"/>
    </row>
    <row r="673" spans="1:7" ht="14.25" customHeight="1">
      <c r="A673" s="21"/>
      <c r="D673" s="21"/>
      <c r="G673" s="14"/>
    </row>
    <row r="674" spans="1:7" ht="14.25" customHeight="1">
      <c r="A674" s="21"/>
      <c r="D674" s="21"/>
      <c r="G674" s="14"/>
    </row>
    <row r="675" spans="1:7" ht="14.25" customHeight="1">
      <c r="A675" s="21"/>
      <c r="D675" s="21"/>
      <c r="G675" s="14"/>
    </row>
    <row r="676" spans="1:7" ht="14.25" customHeight="1">
      <c r="A676" s="21"/>
      <c r="D676" s="21"/>
      <c r="G676" s="14"/>
    </row>
    <row r="677" spans="1:7" ht="14.25" customHeight="1">
      <c r="A677" s="21"/>
      <c r="D677" s="21"/>
      <c r="G677" s="14"/>
    </row>
    <row r="678" spans="1:7" ht="14.25" customHeight="1">
      <c r="A678" s="21"/>
      <c r="D678" s="21"/>
      <c r="G678" s="14"/>
    </row>
    <row r="679" spans="1:7" ht="14.25" customHeight="1">
      <c r="A679" s="21"/>
      <c r="D679" s="21"/>
      <c r="G679" s="14"/>
    </row>
    <row r="680" spans="1:7" ht="14.25" customHeight="1">
      <c r="A680" s="21"/>
      <c r="D680" s="21"/>
      <c r="G680" s="14"/>
    </row>
    <row r="681" spans="1:7" ht="14.25" customHeight="1">
      <c r="A681" s="21"/>
      <c r="D681" s="21"/>
      <c r="G681" s="14"/>
    </row>
    <row r="682" spans="1:7" ht="14.25" customHeight="1">
      <c r="A682" s="21"/>
      <c r="D682" s="21"/>
      <c r="G682" s="14"/>
    </row>
    <row r="683" spans="1:7" ht="14.25" customHeight="1">
      <c r="A683" s="21"/>
      <c r="D683" s="21"/>
      <c r="G683" s="14"/>
    </row>
    <row r="684" spans="1:7" ht="14.25" customHeight="1">
      <c r="A684" s="21"/>
      <c r="D684" s="21"/>
      <c r="G684" s="14"/>
    </row>
    <row r="685" spans="1:7" ht="14.25" customHeight="1">
      <c r="A685" s="21"/>
      <c r="D685" s="21"/>
      <c r="G685" s="14"/>
    </row>
    <row r="686" spans="1:7" ht="14.25" customHeight="1">
      <c r="A686" s="21"/>
      <c r="D686" s="21"/>
      <c r="G686" s="14"/>
    </row>
    <row r="687" spans="1:7" ht="14.25" customHeight="1">
      <c r="A687" s="21"/>
      <c r="D687" s="21"/>
      <c r="G687" s="14"/>
    </row>
    <row r="688" spans="1:7" ht="14.25" customHeight="1">
      <c r="A688" s="21"/>
      <c r="D688" s="21"/>
      <c r="G688" s="14"/>
    </row>
    <row r="689" spans="1:7" ht="14.25" customHeight="1">
      <c r="A689" s="21"/>
      <c r="D689" s="21"/>
      <c r="G689" s="14"/>
    </row>
    <row r="690" spans="1:7" ht="14.25" customHeight="1">
      <c r="A690" s="21"/>
      <c r="D690" s="21"/>
      <c r="G690" s="14"/>
    </row>
    <row r="691" spans="1:7" ht="14.25" customHeight="1">
      <c r="A691" s="21"/>
      <c r="D691" s="21"/>
      <c r="G691" s="14"/>
    </row>
    <row r="692" spans="1:7" ht="14.25" customHeight="1">
      <c r="A692" s="21"/>
      <c r="D692" s="21"/>
      <c r="G692" s="14"/>
    </row>
    <row r="693" spans="1:7" ht="14.25" customHeight="1">
      <c r="A693" s="21"/>
      <c r="D693" s="21"/>
      <c r="G693" s="14"/>
    </row>
    <row r="694" spans="1:7" ht="14.25" customHeight="1">
      <c r="A694" s="21"/>
      <c r="D694" s="21"/>
      <c r="G694" s="14"/>
    </row>
    <row r="695" spans="1:7" ht="14.25" customHeight="1">
      <c r="A695" s="21"/>
      <c r="D695" s="21"/>
      <c r="G695" s="14"/>
    </row>
    <row r="696" spans="1:7" ht="14.25" customHeight="1">
      <c r="A696" s="21"/>
      <c r="D696" s="21"/>
      <c r="G696" s="14"/>
    </row>
    <row r="697" spans="1:7" ht="14.25" customHeight="1">
      <c r="A697" s="21"/>
      <c r="D697" s="21"/>
      <c r="G697" s="14"/>
    </row>
    <row r="698" spans="1:7" ht="14.25" customHeight="1">
      <c r="A698" s="21"/>
      <c r="D698" s="21"/>
      <c r="G698" s="14"/>
    </row>
    <row r="699" spans="1:7" ht="14.25" customHeight="1">
      <c r="A699" s="21"/>
      <c r="D699" s="21"/>
      <c r="G699" s="14"/>
    </row>
    <row r="700" spans="1:7" ht="14.25" customHeight="1">
      <c r="A700" s="21"/>
      <c r="D700" s="21"/>
      <c r="G700" s="14"/>
    </row>
    <row r="701" spans="1:7" ht="14.25" customHeight="1">
      <c r="A701" s="21"/>
      <c r="D701" s="21"/>
      <c r="G701" s="14"/>
    </row>
    <row r="702" spans="1:7" ht="14.25" customHeight="1">
      <c r="A702" s="21"/>
      <c r="D702" s="21"/>
      <c r="G702" s="14"/>
    </row>
    <row r="703" spans="1:7" ht="14.25" customHeight="1">
      <c r="A703" s="21"/>
      <c r="D703" s="21"/>
      <c r="G703" s="14"/>
    </row>
    <row r="704" spans="1:7" ht="14.25" customHeight="1">
      <c r="A704" s="21"/>
      <c r="D704" s="21"/>
      <c r="G704" s="14"/>
    </row>
    <row r="705" spans="1:7" ht="14.25" customHeight="1">
      <c r="A705" s="21"/>
      <c r="D705" s="21"/>
      <c r="G705" s="14"/>
    </row>
    <row r="706" spans="1:7" ht="14.25" customHeight="1">
      <c r="A706" s="21"/>
      <c r="D706" s="21"/>
      <c r="G706" s="14"/>
    </row>
    <row r="707" spans="1:7" ht="14.25" customHeight="1">
      <c r="A707" s="21"/>
      <c r="D707" s="21"/>
      <c r="G707" s="14"/>
    </row>
    <row r="708" spans="1:7" ht="14.25" customHeight="1">
      <c r="A708" s="21"/>
      <c r="D708" s="21"/>
      <c r="G708" s="14"/>
    </row>
    <row r="709" spans="1:7" ht="14.25" customHeight="1">
      <c r="A709" s="21"/>
      <c r="D709" s="21"/>
      <c r="G709" s="14"/>
    </row>
    <row r="710" spans="1:7" ht="14.25" customHeight="1">
      <c r="A710" s="21"/>
      <c r="D710" s="21"/>
      <c r="G710" s="14"/>
    </row>
    <row r="711" spans="1:7" ht="14.25" customHeight="1">
      <c r="A711" s="21"/>
      <c r="D711" s="21"/>
      <c r="G711" s="14"/>
    </row>
    <row r="712" spans="1:7" ht="14.25" customHeight="1">
      <c r="A712" s="21"/>
      <c r="D712" s="21"/>
      <c r="G712" s="14"/>
    </row>
    <row r="713" spans="1:7" ht="14.25" customHeight="1">
      <c r="A713" s="21"/>
      <c r="D713" s="21"/>
      <c r="G713" s="14"/>
    </row>
    <row r="714" spans="1:7" ht="14.25" customHeight="1">
      <c r="A714" s="21"/>
      <c r="D714" s="21"/>
      <c r="G714" s="14"/>
    </row>
    <row r="715" spans="1:7" ht="14.25" customHeight="1">
      <c r="A715" s="21"/>
      <c r="D715" s="21"/>
      <c r="G715" s="14"/>
    </row>
    <row r="716" spans="1:7" ht="14.25" customHeight="1">
      <c r="A716" s="21"/>
      <c r="D716" s="21"/>
      <c r="G716" s="14"/>
    </row>
    <row r="717" spans="1:7" ht="14.25" customHeight="1">
      <c r="A717" s="21"/>
      <c r="D717" s="21"/>
      <c r="G717" s="14"/>
    </row>
    <row r="718" spans="1:7" ht="14.25" customHeight="1">
      <c r="A718" s="21"/>
      <c r="D718" s="21"/>
      <c r="G718" s="14"/>
    </row>
    <row r="719" spans="1:7" ht="14.25" customHeight="1">
      <c r="A719" s="21"/>
      <c r="D719" s="21"/>
      <c r="G719" s="14"/>
    </row>
    <row r="720" spans="1:7" ht="14.25" customHeight="1">
      <c r="A720" s="21"/>
      <c r="D720" s="21"/>
      <c r="G720" s="14"/>
    </row>
    <row r="721" spans="1:7" ht="14.25" customHeight="1">
      <c r="A721" s="21"/>
      <c r="D721" s="21"/>
      <c r="G721" s="14"/>
    </row>
    <row r="722" spans="1:7" ht="14.25" customHeight="1">
      <c r="A722" s="21"/>
      <c r="D722" s="21"/>
      <c r="G722" s="14"/>
    </row>
    <row r="723" spans="1:7" ht="14.25" customHeight="1">
      <c r="A723" s="21"/>
      <c r="D723" s="21"/>
      <c r="G723" s="14"/>
    </row>
    <row r="724" spans="1:7" ht="14.25" customHeight="1">
      <c r="A724" s="21"/>
      <c r="D724" s="21"/>
      <c r="G724" s="14"/>
    </row>
    <row r="725" spans="1:7" ht="14.25" customHeight="1">
      <c r="A725" s="21"/>
      <c r="D725" s="21"/>
      <c r="G725" s="14"/>
    </row>
    <row r="726" spans="1:7" ht="14.25" customHeight="1">
      <c r="A726" s="21"/>
      <c r="D726" s="21"/>
      <c r="G726" s="14"/>
    </row>
    <row r="727" spans="1:7" ht="14.25" customHeight="1">
      <c r="A727" s="21"/>
      <c r="D727" s="21"/>
      <c r="G727" s="14"/>
    </row>
    <row r="728" spans="1:7" ht="14.25" customHeight="1">
      <c r="A728" s="21"/>
      <c r="D728" s="21"/>
      <c r="G728" s="14"/>
    </row>
    <row r="729" spans="1:7" ht="14.25" customHeight="1">
      <c r="A729" s="21"/>
      <c r="D729" s="21"/>
      <c r="G729" s="14"/>
    </row>
    <row r="730" spans="1:7" ht="14.25" customHeight="1">
      <c r="A730" s="21"/>
      <c r="D730" s="21"/>
      <c r="G730" s="14"/>
    </row>
    <row r="731" spans="1:7" ht="14.25" customHeight="1">
      <c r="A731" s="21"/>
      <c r="D731" s="21"/>
      <c r="G731" s="14"/>
    </row>
    <row r="732" spans="1:7" ht="14.25" customHeight="1">
      <c r="A732" s="21"/>
      <c r="D732" s="21"/>
      <c r="G732" s="14"/>
    </row>
    <row r="733" spans="1:7" ht="14.25" customHeight="1">
      <c r="A733" s="21"/>
      <c r="D733" s="21"/>
      <c r="G733" s="14"/>
    </row>
    <row r="734" spans="1:7" ht="14.25" customHeight="1">
      <c r="A734" s="21"/>
      <c r="D734" s="21"/>
      <c r="G734" s="14"/>
    </row>
    <row r="735" spans="1:7" ht="14.25" customHeight="1">
      <c r="A735" s="21"/>
      <c r="D735" s="21"/>
      <c r="G735" s="14"/>
    </row>
    <row r="736" spans="1:7" ht="14.25" customHeight="1">
      <c r="A736" s="21"/>
      <c r="D736" s="21"/>
      <c r="G736" s="14"/>
    </row>
    <row r="737" spans="1:7" ht="14.25" customHeight="1">
      <c r="A737" s="21"/>
      <c r="D737" s="21"/>
      <c r="G737" s="14"/>
    </row>
    <row r="738" spans="1:7" ht="14.25" customHeight="1">
      <c r="A738" s="21"/>
      <c r="D738" s="21"/>
      <c r="G738" s="14"/>
    </row>
    <row r="739" spans="1:7" ht="14.25" customHeight="1">
      <c r="A739" s="21"/>
      <c r="D739" s="21"/>
      <c r="G739" s="14"/>
    </row>
    <row r="740" spans="1:7" ht="14.25" customHeight="1">
      <c r="A740" s="21"/>
      <c r="D740" s="21"/>
      <c r="G740" s="14"/>
    </row>
    <row r="741" spans="1:7" ht="14.25" customHeight="1">
      <c r="A741" s="21"/>
      <c r="D741" s="21"/>
      <c r="G741" s="14"/>
    </row>
    <row r="742" spans="1:7" ht="14.25" customHeight="1">
      <c r="A742" s="21"/>
      <c r="D742" s="21"/>
      <c r="G742" s="14"/>
    </row>
    <row r="743" spans="1:7" ht="14.25" customHeight="1">
      <c r="A743" s="21"/>
      <c r="D743" s="21"/>
      <c r="G743" s="14"/>
    </row>
    <row r="744" spans="1:7" ht="14.25" customHeight="1">
      <c r="A744" s="21"/>
      <c r="D744" s="21"/>
      <c r="G744" s="14"/>
    </row>
    <row r="745" spans="1:7" ht="14.25" customHeight="1">
      <c r="A745" s="21"/>
      <c r="D745" s="21"/>
      <c r="G745" s="14"/>
    </row>
    <row r="746" spans="1:7" ht="14.25" customHeight="1">
      <c r="A746" s="21"/>
      <c r="D746" s="21"/>
      <c r="G746" s="14"/>
    </row>
    <row r="747" spans="1:7" ht="14.25" customHeight="1">
      <c r="A747" s="21"/>
      <c r="D747" s="21"/>
      <c r="G747" s="14"/>
    </row>
    <row r="748" spans="1:7" ht="14.25" customHeight="1">
      <c r="A748" s="21"/>
      <c r="D748" s="21"/>
      <c r="G748" s="14"/>
    </row>
    <row r="749" spans="1:7" ht="14.25" customHeight="1">
      <c r="A749" s="21"/>
      <c r="D749" s="21"/>
      <c r="G749" s="14"/>
    </row>
    <row r="750" spans="1:7" ht="14.25" customHeight="1">
      <c r="A750" s="21"/>
      <c r="D750" s="21"/>
      <c r="G750" s="14"/>
    </row>
    <row r="751" spans="1:7" ht="14.25" customHeight="1">
      <c r="A751" s="21"/>
      <c r="D751" s="21"/>
      <c r="G751" s="14"/>
    </row>
    <row r="752" spans="1:7" ht="14.25" customHeight="1">
      <c r="A752" s="21"/>
      <c r="D752" s="21"/>
      <c r="G752" s="14"/>
    </row>
    <row r="753" spans="1:7" ht="14.25" customHeight="1">
      <c r="A753" s="21"/>
      <c r="D753" s="21"/>
      <c r="G753" s="14"/>
    </row>
    <row r="754" spans="1:7" ht="14.25" customHeight="1">
      <c r="A754" s="21"/>
      <c r="D754" s="21"/>
      <c r="G754" s="14"/>
    </row>
    <row r="755" spans="1:7" ht="14.25" customHeight="1">
      <c r="A755" s="21"/>
      <c r="D755" s="21"/>
      <c r="G755" s="14"/>
    </row>
    <row r="756" spans="1:7" ht="14.25" customHeight="1">
      <c r="A756" s="21"/>
      <c r="D756" s="21"/>
      <c r="G756" s="14"/>
    </row>
    <row r="757" spans="1:7" ht="14.25" customHeight="1">
      <c r="A757" s="21"/>
      <c r="D757" s="21"/>
      <c r="G757" s="14"/>
    </row>
    <row r="758" spans="1:7" ht="14.25" customHeight="1">
      <c r="A758" s="21"/>
      <c r="D758" s="21"/>
      <c r="G758" s="14"/>
    </row>
    <row r="759" spans="1:7" ht="14.25" customHeight="1">
      <c r="A759" s="21"/>
      <c r="D759" s="21"/>
      <c r="G759" s="14"/>
    </row>
    <row r="760" spans="1:7" ht="14.25" customHeight="1">
      <c r="A760" s="21"/>
      <c r="D760" s="21"/>
      <c r="G760" s="14"/>
    </row>
    <row r="761" spans="1:7" ht="14.25" customHeight="1">
      <c r="A761" s="21"/>
      <c r="D761" s="21"/>
      <c r="G761" s="14"/>
    </row>
    <row r="762" spans="1:7" ht="14.25" customHeight="1">
      <c r="A762" s="21"/>
      <c r="D762" s="21"/>
      <c r="G762" s="14"/>
    </row>
    <row r="763" spans="1:7" ht="14.25" customHeight="1">
      <c r="A763" s="21"/>
      <c r="D763" s="21"/>
      <c r="G763" s="14"/>
    </row>
    <row r="764" spans="1:7" ht="14.25" customHeight="1">
      <c r="A764" s="21"/>
      <c r="D764" s="21"/>
      <c r="G764" s="14"/>
    </row>
    <row r="765" spans="1:7" ht="14.25" customHeight="1">
      <c r="A765" s="21"/>
      <c r="D765" s="21"/>
      <c r="G765" s="14"/>
    </row>
    <row r="766" spans="1:7" ht="14.25" customHeight="1">
      <c r="A766" s="21"/>
      <c r="D766" s="21"/>
      <c r="G766" s="14"/>
    </row>
    <row r="767" spans="1:7" ht="14.25" customHeight="1">
      <c r="A767" s="21"/>
      <c r="D767" s="21"/>
      <c r="G767" s="14"/>
    </row>
    <row r="768" spans="1:7" ht="14.25" customHeight="1">
      <c r="A768" s="21"/>
      <c r="D768" s="21"/>
      <c r="G768" s="14"/>
    </row>
    <row r="769" spans="1:7" ht="14.25" customHeight="1">
      <c r="A769" s="21"/>
      <c r="D769" s="21"/>
      <c r="G769" s="14"/>
    </row>
    <row r="770" spans="1:7" ht="14.25" customHeight="1">
      <c r="A770" s="21"/>
      <c r="D770" s="21"/>
      <c r="G770" s="14"/>
    </row>
    <row r="771" spans="1:7" ht="14.25" customHeight="1">
      <c r="A771" s="21"/>
      <c r="D771" s="21"/>
      <c r="G771" s="14"/>
    </row>
    <row r="772" spans="1:7" ht="14.25" customHeight="1">
      <c r="A772" s="21"/>
      <c r="D772" s="21"/>
      <c r="G772" s="14"/>
    </row>
    <row r="773" spans="1:7" ht="14.25" customHeight="1">
      <c r="A773" s="21"/>
      <c r="D773" s="21"/>
      <c r="G773" s="14"/>
    </row>
    <row r="774" spans="1:7" ht="14.25" customHeight="1">
      <c r="A774" s="21"/>
      <c r="D774" s="21"/>
      <c r="G774" s="14"/>
    </row>
    <row r="775" spans="1:7" ht="14.25" customHeight="1">
      <c r="A775" s="21"/>
      <c r="D775" s="21"/>
      <c r="G775" s="14"/>
    </row>
    <row r="776" spans="1:7" ht="14.25" customHeight="1">
      <c r="A776" s="21"/>
      <c r="D776" s="21"/>
      <c r="G776" s="14"/>
    </row>
    <row r="777" spans="1:7" ht="14.25" customHeight="1">
      <c r="A777" s="21"/>
      <c r="D777" s="21"/>
      <c r="G777" s="14"/>
    </row>
    <row r="778" spans="1:7" ht="14.25" customHeight="1">
      <c r="A778" s="21"/>
      <c r="D778" s="21"/>
      <c r="G778" s="14"/>
    </row>
    <row r="779" spans="1:7" ht="14.25" customHeight="1">
      <c r="A779" s="21"/>
      <c r="D779" s="21"/>
      <c r="G779" s="14"/>
    </row>
    <row r="780" spans="1:7" ht="14.25" customHeight="1">
      <c r="A780" s="21"/>
      <c r="D780" s="21"/>
      <c r="G780" s="14"/>
    </row>
    <row r="781" spans="1:7" ht="14.25" customHeight="1">
      <c r="A781" s="21"/>
      <c r="D781" s="21"/>
      <c r="G781" s="14"/>
    </row>
    <row r="782" spans="1:7" ht="14.25" customHeight="1">
      <c r="A782" s="21"/>
      <c r="D782" s="21"/>
      <c r="G782" s="14"/>
    </row>
    <row r="783" spans="1:7" ht="14.25" customHeight="1">
      <c r="A783" s="21"/>
      <c r="D783" s="21"/>
      <c r="G783" s="14"/>
    </row>
    <row r="784" spans="1:7" ht="14.25" customHeight="1">
      <c r="A784" s="21"/>
      <c r="D784" s="21"/>
      <c r="G784" s="14"/>
    </row>
    <row r="785" spans="1:7" ht="14.25" customHeight="1">
      <c r="A785" s="21"/>
      <c r="D785" s="21"/>
      <c r="G785" s="14"/>
    </row>
    <row r="786" spans="1:7" ht="14.25" customHeight="1">
      <c r="A786" s="21"/>
      <c r="D786" s="21"/>
      <c r="G786" s="14"/>
    </row>
    <row r="787" spans="1:7" ht="14.25" customHeight="1">
      <c r="A787" s="21"/>
      <c r="D787" s="21"/>
      <c r="G787" s="14"/>
    </row>
    <row r="788" spans="1:7" ht="14.25" customHeight="1">
      <c r="A788" s="21"/>
      <c r="D788" s="21"/>
      <c r="G788" s="14"/>
    </row>
    <row r="789" spans="1:7" ht="14.25" customHeight="1">
      <c r="A789" s="21"/>
      <c r="D789" s="21"/>
      <c r="G789" s="14"/>
    </row>
    <row r="790" spans="1:7" ht="14.25" customHeight="1">
      <c r="A790" s="21"/>
      <c r="D790" s="21"/>
      <c r="G790" s="14"/>
    </row>
    <row r="791" spans="1:7" ht="14.25" customHeight="1">
      <c r="A791" s="21"/>
      <c r="D791" s="21"/>
      <c r="G791" s="14"/>
    </row>
    <row r="792" spans="1:7" ht="14.25" customHeight="1">
      <c r="A792" s="21"/>
      <c r="D792" s="21"/>
      <c r="G792" s="14"/>
    </row>
    <row r="793" spans="1:7" ht="14.25" customHeight="1">
      <c r="A793" s="21"/>
      <c r="D793" s="21"/>
      <c r="G793" s="14"/>
    </row>
    <row r="794" spans="1:7" ht="14.25" customHeight="1">
      <c r="A794" s="21"/>
      <c r="D794" s="21"/>
      <c r="G794" s="14"/>
    </row>
    <row r="795" spans="1:7" ht="14.25" customHeight="1">
      <c r="A795" s="21"/>
      <c r="D795" s="21"/>
      <c r="G795" s="14"/>
    </row>
    <row r="796" spans="1:7" ht="14.25" customHeight="1">
      <c r="A796" s="21"/>
      <c r="D796" s="21"/>
      <c r="G796" s="14"/>
    </row>
    <row r="797" spans="1:7" ht="14.25" customHeight="1">
      <c r="A797" s="21"/>
      <c r="D797" s="21"/>
      <c r="G797" s="14"/>
    </row>
    <row r="798" spans="1:7" ht="14.25" customHeight="1">
      <c r="A798" s="21"/>
      <c r="D798" s="21"/>
      <c r="G798" s="14"/>
    </row>
    <row r="799" spans="1:7" ht="14.25" customHeight="1">
      <c r="A799" s="21"/>
      <c r="D799" s="21"/>
      <c r="G799" s="14"/>
    </row>
    <row r="800" spans="1:7" ht="14.25" customHeight="1">
      <c r="A800" s="21"/>
      <c r="D800" s="21"/>
      <c r="G800" s="14"/>
    </row>
    <row r="801" spans="1:7" ht="14.25" customHeight="1">
      <c r="A801" s="21"/>
      <c r="D801" s="21"/>
      <c r="G801" s="14"/>
    </row>
    <row r="802" spans="1:7" ht="14.25" customHeight="1">
      <c r="A802" s="21"/>
      <c r="D802" s="21"/>
      <c r="G802" s="14"/>
    </row>
    <row r="803" spans="1:7" ht="14.25" customHeight="1">
      <c r="A803" s="21"/>
      <c r="D803" s="21"/>
      <c r="G803" s="14"/>
    </row>
    <row r="804" spans="1:7" ht="14.25" customHeight="1">
      <c r="A804" s="21"/>
      <c r="D804" s="21"/>
      <c r="G804" s="14"/>
    </row>
    <row r="805" spans="1:7" ht="14.25" customHeight="1">
      <c r="A805" s="21"/>
      <c r="D805" s="21"/>
      <c r="G805" s="14"/>
    </row>
    <row r="806" spans="1:7" ht="14.25" customHeight="1">
      <c r="A806" s="21"/>
      <c r="D806" s="21"/>
      <c r="G806" s="14"/>
    </row>
    <row r="807" spans="1:7" ht="14.25" customHeight="1">
      <c r="A807" s="21"/>
      <c r="D807" s="21"/>
      <c r="G807" s="14"/>
    </row>
    <row r="808" spans="1:7" ht="14.25" customHeight="1">
      <c r="A808" s="21"/>
      <c r="D808" s="21"/>
      <c r="G808" s="14"/>
    </row>
    <row r="809" spans="1:7" ht="14.25" customHeight="1">
      <c r="A809" s="21"/>
      <c r="D809" s="21"/>
      <c r="G809" s="14"/>
    </row>
    <row r="810" spans="1:7" ht="14.25" customHeight="1">
      <c r="A810" s="21"/>
      <c r="D810" s="21"/>
      <c r="G810" s="14"/>
    </row>
    <row r="811" spans="1:7" ht="14.25" customHeight="1">
      <c r="A811" s="21"/>
      <c r="D811" s="21"/>
      <c r="G811" s="14"/>
    </row>
    <row r="812" spans="1:7" ht="14.25" customHeight="1">
      <c r="A812" s="21"/>
      <c r="D812" s="21"/>
      <c r="G812" s="14"/>
    </row>
    <row r="813" spans="1:7" ht="14.25" customHeight="1">
      <c r="A813" s="21"/>
      <c r="D813" s="21"/>
      <c r="G813" s="14"/>
    </row>
    <row r="814" spans="1:7" ht="14.25" customHeight="1">
      <c r="A814" s="21"/>
      <c r="D814" s="21"/>
      <c r="G814" s="14"/>
    </row>
    <row r="815" spans="1:7" ht="14.25" customHeight="1">
      <c r="A815" s="21"/>
      <c r="D815" s="21"/>
      <c r="G815" s="14"/>
    </row>
    <row r="816" spans="1:7" ht="14.25" customHeight="1">
      <c r="A816" s="21"/>
      <c r="D816" s="21"/>
      <c r="G816" s="14"/>
    </row>
    <row r="817" spans="1:7" ht="14.25" customHeight="1">
      <c r="A817" s="21"/>
      <c r="D817" s="21"/>
      <c r="G817" s="14"/>
    </row>
    <row r="818" spans="1:7" ht="14.25" customHeight="1">
      <c r="A818" s="21"/>
      <c r="D818" s="21"/>
      <c r="G818" s="14"/>
    </row>
    <row r="819" spans="1:7" ht="14.25" customHeight="1">
      <c r="A819" s="21"/>
      <c r="D819" s="21"/>
      <c r="G819" s="14"/>
    </row>
    <row r="820" spans="1:7" ht="14.25" customHeight="1">
      <c r="A820" s="21"/>
      <c r="D820" s="21"/>
      <c r="G820" s="14"/>
    </row>
    <row r="821" spans="1:7" ht="14.25" customHeight="1">
      <c r="A821" s="21"/>
      <c r="D821" s="21"/>
      <c r="G821" s="14"/>
    </row>
    <row r="822" spans="1:7" ht="14.25" customHeight="1">
      <c r="A822" s="21"/>
      <c r="D822" s="21"/>
      <c r="G822" s="14"/>
    </row>
    <row r="823" spans="1:7" ht="14.25" customHeight="1">
      <c r="A823" s="21"/>
      <c r="D823" s="21"/>
      <c r="G823" s="14"/>
    </row>
    <row r="824" spans="1:7" ht="14.25" customHeight="1">
      <c r="A824" s="21"/>
      <c r="D824" s="21"/>
      <c r="G824" s="14"/>
    </row>
    <row r="825" spans="1:7" ht="14.25" customHeight="1">
      <c r="A825" s="21"/>
      <c r="D825" s="21"/>
      <c r="G825" s="14"/>
    </row>
    <row r="826" spans="1:7" ht="14.25" customHeight="1">
      <c r="A826" s="21"/>
      <c r="D826" s="21"/>
      <c r="G826" s="14"/>
    </row>
    <row r="827" spans="1:7" ht="14.25" customHeight="1">
      <c r="A827" s="21"/>
      <c r="D827" s="21"/>
      <c r="G827" s="14"/>
    </row>
    <row r="828" spans="1:7" ht="14.25" customHeight="1">
      <c r="A828" s="21"/>
      <c r="D828" s="21"/>
      <c r="G828" s="14"/>
    </row>
    <row r="829" spans="1:7" ht="14.25" customHeight="1">
      <c r="A829" s="21"/>
      <c r="D829" s="21"/>
      <c r="G829" s="14"/>
    </row>
    <row r="830" spans="1:7" ht="14.25" customHeight="1">
      <c r="A830" s="21"/>
      <c r="D830" s="21"/>
      <c r="G830" s="14"/>
    </row>
    <row r="831" spans="1:7" ht="14.25" customHeight="1">
      <c r="A831" s="21"/>
      <c r="D831" s="21"/>
      <c r="G831" s="14"/>
    </row>
    <row r="832" spans="1:7" ht="14.25" customHeight="1">
      <c r="A832" s="21"/>
      <c r="D832" s="21"/>
      <c r="G832" s="14"/>
    </row>
    <row r="833" spans="1:7" ht="14.25" customHeight="1">
      <c r="A833" s="21"/>
      <c r="D833" s="21"/>
      <c r="G833" s="14"/>
    </row>
    <row r="834" spans="1:7" ht="14.25" customHeight="1">
      <c r="A834" s="21"/>
      <c r="D834" s="21"/>
      <c r="G834" s="14"/>
    </row>
    <row r="835" spans="1:7" ht="14.25" customHeight="1">
      <c r="A835" s="21"/>
      <c r="D835" s="21"/>
      <c r="G835" s="14"/>
    </row>
    <row r="836" spans="1:7" ht="14.25" customHeight="1">
      <c r="A836" s="21"/>
      <c r="D836" s="21"/>
      <c r="G836" s="14"/>
    </row>
    <row r="837" spans="1:7" ht="14.25" customHeight="1">
      <c r="A837" s="21"/>
      <c r="D837" s="21"/>
      <c r="G837" s="14"/>
    </row>
    <row r="838" spans="1:7" ht="14.25" customHeight="1">
      <c r="A838" s="21"/>
      <c r="D838" s="21"/>
      <c r="G838" s="14"/>
    </row>
    <row r="839" spans="1:7" ht="14.25" customHeight="1">
      <c r="A839" s="21"/>
      <c r="D839" s="21"/>
      <c r="G839" s="14"/>
    </row>
    <row r="840" spans="1:7" ht="14.25" customHeight="1">
      <c r="A840" s="21"/>
      <c r="D840" s="21"/>
      <c r="G840" s="14"/>
    </row>
    <row r="841" spans="1:7" ht="14.25" customHeight="1">
      <c r="A841" s="21"/>
      <c r="D841" s="21"/>
      <c r="G841" s="14"/>
    </row>
    <row r="842" spans="1:7" ht="14.25" customHeight="1">
      <c r="A842" s="21"/>
      <c r="D842" s="21"/>
      <c r="G842" s="14"/>
    </row>
    <row r="843" spans="1:7" ht="14.25" customHeight="1">
      <c r="A843" s="21"/>
      <c r="D843" s="21"/>
      <c r="G843" s="14"/>
    </row>
    <row r="844" spans="1:7" ht="14.25" customHeight="1">
      <c r="A844" s="21"/>
      <c r="D844" s="21"/>
      <c r="G844" s="14"/>
    </row>
    <row r="845" spans="1:7" ht="14.25" customHeight="1">
      <c r="A845" s="21"/>
      <c r="D845" s="21"/>
      <c r="G845" s="14"/>
    </row>
    <row r="846" spans="1:7" ht="14.25" customHeight="1">
      <c r="A846" s="21"/>
      <c r="D846" s="21"/>
      <c r="G846" s="14"/>
    </row>
    <row r="847" spans="1:7" ht="14.25" customHeight="1">
      <c r="A847" s="21"/>
      <c r="D847" s="21"/>
      <c r="G847" s="14"/>
    </row>
    <row r="848" spans="1:7" ht="14.25" customHeight="1">
      <c r="A848" s="21"/>
      <c r="D848" s="21"/>
      <c r="G848" s="14"/>
    </row>
    <row r="849" spans="1:7" ht="14.25" customHeight="1">
      <c r="A849" s="21"/>
      <c r="D849" s="21"/>
      <c r="G849" s="14"/>
    </row>
    <row r="850" spans="1:7" ht="14.25" customHeight="1">
      <c r="A850" s="21"/>
      <c r="D850" s="21"/>
      <c r="G850" s="14"/>
    </row>
    <row r="851" spans="1:7" ht="14.25" customHeight="1">
      <c r="A851" s="21"/>
      <c r="D851" s="21"/>
      <c r="G851" s="14"/>
    </row>
    <row r="852" spans="1:7" ht="14.25" customHeight="1">
      <c r="A852" s="21"/>
      <c r="D852" s="21"/>
      <c r="G852" s="14"/>
    </row>
    <row r="853" spans="1:7" ht="14.25" customHeight="1">
      <c r="A853" s="21"/>
      <c r="D853" s="21"/>
      <c r="G853" s="14"/>
    </row>
    <row r="854" spans="1:7" ht="14.25" customHeight="1">
      <c r="A854" s="21"/>
      <c r="D854" s="21"/>
      <c r="G854" s="14"/>
    </row>
    <row r="855" spans="1:7" ht="14.25" customHeight="1">
      <c r="A855" s="21"/>
      <c r="D855" s="21"/>
      <c r="G855" s="14"/>
    </row>
    <row r="856" spans="1:7" ht="14.25" customHeight="1">
      <c r="A856" s="21"/>
      <c r="D856" s="21"/>
      <c r="G856" s="14"/>
    </row>
    <row r="857" spans="1:7" ht="14.25" customHeight="1">
      <c r="A857" s="21"/>
      <c r="D857" s="21"/>
      <c r="G857" s="14"/>
    </row>
    <row r="858" spans="1:7" ht="14.25" customHeight="1">
      <c r="A858" s="21"/>
      <c r="D858" s="21"/>
      <c r="G858" s="14"/>
    </row>
    <row r="859" spans="1:7" ht="14.25" customHeight="1">
      <c r="A859" s="21"/>
      <c r="D859" s="21"/>
      <c r="G859" s="14"/>
    </row>
    <row r="860" spans="1:7" ht="14.25" customHeight="1">
      <c r="A860" s="21"/>
      <c r="D860" s="21"/>
      <c r="G860" s="14"/>
    </row>
    <row r="861" spans="1:7" ht="14.25" customHeight="1">
      <c r="A861" s="21"/>
      <c r="D861" s="21"/>
      <c r="G861" s="14"/>
    </row>
    <row r="862" spans="1:7" ht="14.25" customHeight="1">
      <c r="A862" s="21"/>
      <c r="D862" s="21"/>
      <c r="G862" s="14"/>
    </row>
    <row r="863" spans="1:7" ht="14.25" customHeight="1">
      <c r="A863" s="21"/>
      <c r="D863" s="21"/>
      <c r="G863" s="14"/>
    </row>
    <row r="864" spans="1:7" ht="14.25" customHeight="1">
      <c r="A864" s="21"/>
      <c r="D864" s="21"/>
      <c r="G864" s="14"/>
    </row>
    <row r="865" spans="1:7" ht="14.25" customHeight="1">
      <c r="A865" s="21"/>
      <c r="D865" s="21"/>
      <c r="G865" s="14"/>
    </row>
    <row r="866" spans="1:7" ht="14.25" customHeight="1">
      <c r="A866" s="21"/>
      <c r="D866" s="21"/>
      <c r="G866" s="14"/>
    </row>
    <row r="867" spans="1:7" ht="14.25" customHeight="1">
      <c r="A867" s="21"/>
      <c r="D867" s="21"/>
      <c r="G867" s="14"/>
    </row>
    <row r="868" spans="1:7" ht="14.25" customHeight="1">
      <c r="A868" s="21"/>
      <c r="D868" s="21"/>
      <c r="G868" s="14"/>
    </row>
    <row r="869" spans="1:7" ht="14.25" customHeight="1">
      <c r="A869" s="21"/>
      <c r="D869" s="21"/>
      <c r="G869" s="14"/>
    </row>
    <row r="870" spans="1:7" ht="14.25" customHeight="1">
      <c r="A870" s="21"/>
      <c r="D870" s="21"/>
      <c r="G870" s="14"/>
    </row>
    <row r="871" spans="1:7" ht="14.25" customHeight="1">
      <c r="A871" s="21"/>
      <c r="D871" s="21"/>
      <c r="G871" s="14"/>
    </row>
    <row r="872" spans="1:7" ht="14.25" customHeight="1">
      <c r="A872" s="21"/>
      <c r="D872" s="21"/>
      <c r="G872" s="14"/>
    </row>
    <row r="873" spans="1:7" ht="14.25" customHeight="1">
      <c r="A873" s="21"/>
      <c r="D873" s="21"/>
      <c r="G873" s="14"/>
    </row>
    <row r="874" spans="1:7" ht="14.25" customHeight="1">
      <c r="A874" s="21"/>
      <c r="D874" s="21"/>
      <c r="G874" s="14"/>
    </row>
    <row r="875" spans="1:7" ht="14.25" customHeight="1">
      <c r="A875" s="21"/>
      <c r="D875" s="21"/>
      <c r="G875" s="14"/>
    </row>
    <row r="876" spans="1:7" ht="14.25" customHeight="1">
      <c r="A876" s="21"/>
      <c r="D876" s="21"/>
      <c r="G876" s="14"/>
    </row>
    <row r="877" spans="1:7" ht="14.25" customHeight="1">
      <c r="A877" s="21"/>
      <c r="D877" s="21"/>
      <c r="G877" s="14"/>
    </row>
    <row r="878" spans="1:7" ht="14.25" customHeight="1">
      <c r="A878" s="21"/>
      <c r="D878" s="21"/>
      <c r="G878" s="14"/>
    </row>
    <row r="879" spans="1:7" ht="14.25" customHeight="1">
      <c r="A879" s="21"/>
      <c r="D879" s="21"/>
      <c r="G879" s="14"/>
    </row>
    <row r="880" spans="1:7" ht="14.25" customHeight="1">
      <c r="A880" s="21"/>
      <c r="D880" s="21"/>
      <c r="G880" s="14"/>
    </row>
    <row r="881" spans="1:7" ht="14.25" customHeight="1">
      <c r="A881" s="21"/>
      <c r="D881" s="21"/>
      <c r="G881" s="14"/>
    </row>
    <row r="882" spans="1:7" ht="14.25" customHeight="1">
      <c r="A882" s="21"/>
      <c r="D882" s="21"/>
      <c r="G882" s="14"/>
    </row>
    <row r="883" spans="1:7" ht="14.25" customHeight="1">
      <c r="A883" s="21"/>
      <c r="D883" s="21"/>
      <c r="G883" s="14"/>
    </row>
    <row r="884" spans="1:7" ht="14.25" customHeight="1">
      <c r="A884" s="21"/>
      <c r="D884" s="21"/>
      <c r="G884" s="14"/>
    </row>
    <row r="885" spans="1:7" ht="14.25" customHeight="1">
      <c r="A885" s="21"/>
      <c r="D885" s="21"/>
      <c r="G885" s="14"/>
    </row>
    <row r="886" spans="1:7" ht="14.25" customHeight="1">
      <c r="A886" s="21"/>
      <c r="D886" s="21"/>
      <c r="G886" s="14"/>
    </row>
    <row r="887" spans="1:7" ht="14.25" customHeight="1">
      <c r="A887" s="21"/>
      <c r="D887" s="21"/>
      <c r="G887" s="14"/>
    </row>
    <row r="888" spans="1:7" ht="14.25" customHeight="1">
      <c r="A888" s="21"/>
      <c r="D888" s="21"/>
      <c r="G888" s="14"/>
    </row>
    <row r="889" spans="1:7" ht="14.25" customHeight="1">
      <c r="A889" s="21"/>
      <c r="D889" s="21"/>
      <c r="G889" s="14"/>
    </row>
    <row r="890" spans="1:7" ht="14.25" customHeight="1">
      <c r="A890" s="21"/>
      <c r="D890" s="21"/>
      <c r="G890" s="14"/>
    </row>
    <row r="891" spans="1:7" ht="14.25" customHeight="1">
      <c r="A891" s="21"/>
      <c r="D891" s="21"/>
      <c r="G891" s="14"/>
    </row>
    <row r="892" spans="1:7" ht="14.25" customHeight="1">
      <c r="A892" s="21"/>
      <c r="D892" s="21"/>
      <c r="G892" s="14"/>
    </row>
    <row r="893" spans="1:7" ht="14.25" customHeight="1">
      <c r="A893" s="21"/>
      <c r="D893" s="21"/>
      <c r="G893" s="14"/>
    </row>
    <row r="894" spans="1:7" ht="14.25" customHeight="1">
      <c r="A894" s="21"/>
      <c r="D894" s="21"/>
      <c r="G894" s="14"/>
    </row>
    <row r="895" spans="1:7" ht="14.25" customHeight="1">
      <c r="A895" s="21"/>
      <c r="D895" s="21"/>
      <c r="G895" s="14"/>
    </row>
    <row r="896" spans="1:7" ht="14.25" customHeight="1">
      <c r="A896" s="21"/>
      <c r="D896" s="21"/>
      <c r="G896" s="14"/>
    </row>
    <row r="897" spans="1:7" ht="14.25" customHeight="1">
      <c r="A897" s="21"/>
      <c r="D897" s="21"/>
      <c r="G897" s="14"/>
    </row>
    <row r="898" spans="1:7" ht="14.25" customHeight="1">
      <c r="A898" s="21"/>
      <c r="D898" s="21"/>
      <c r="G898" s="14"/>
    </row>
    <row r="899" spans="1:7" ht="14.25" customHeight="1">
      <c r="A899" s="21"/>
      <c r="D899" s="21"/>
      <c r="G899" s="14"/>
    </row>
    <row r="900" spans="1:7" ht="14.25" customHeight="1">
      <c r="A900" s="21"/>
      <c r="D900" s="21"/>
      <c r="G900" s="14"/>
    </row>
    <row r="901" spans="1:7" ht="14.25" customHeight="1">
      <c r="A901" s="21"/>
      <c r="D901" s="21"/>
      <c r="G901" s="14"/>
    </row>
    <row r="902" spans="1:7" ht="14.25" customHeight="1">
      <c r="A902" s="21"/>
      <c r="D902" s="21"/>
      <c r="G902" s="14"/>
    </row>
    <row r="903" spans="1:7" ht="14.25" customHeight="1">
      <c r="A903" s="21"/>
      <c r="D903" s="21"/>
      <c r="G903" s="14"/>
    </row>
    <row r="904" spans="1:7" ht="14.25" customHeight="1">
      <c r="A904" s="21"/>
      <c r="D904" s="21"/>
      <c r="G904" s="14"/>
    </row>
    <row r="905" spans="1:7" ht="14.25" customHeight="1">
      <c r="A905" s="21"/>
      <c r="D905" s="21"/>
      <c r="G905" s="14"/>
    </row>
    <row r="906" spans="1:7" ht="14.25" customHeight="1">
      <c r="A906" s="21"/>
      <c r="D906" s="21"/>
      <c r="G906" s="14"/>
    </row>
    <row r="907" spans="1:7" ht="14.25" customHeight="1">
      <c r="A907" s="21"/>
      <c r="D907" s="21"/>
      <c r="G907" s="14"/>
    </row>
    <row r="908" spans="1:7" ht="14.25" customHeight="1">
      <c r="A908" s="21"/>
      <c r="D908" s="21"/>
      <c r="G908" s="14"/>
    </row>
    <row r="909" spans="1:7" ht="14.25" customHeight="1">
      <c r="A909" s="21"/>
      <c r="D909" s="21"/>
      <c r="G909" s="14"/>
    </row>
    <row r="910" spans="1:7" ht="14.25" customHeight="1">
      <c r="A910" s="21"/>
      <c r="D910" s="21"/>
      <c r="G910" s="14"/>
    </row>
    <row r="911" spans="1:7" ht="14.25" customHeight="1">
      <c r="A911" s="21"/>
      <c r="D911" s="21"/>
      <c r="G911" s="14"/>
    </row>
    <row r="912" spans="1:7" ht="14.25" customHeight="1">
      <c r="A912" s="21"/>
      <c r="D912" s="21"/>
      <c r="G912" s="14"/>
    </row>
    <row r="913" spans="1:7" ht="14.25" customHeight="1">
      <c r="A913" s="21"/>
      <c r="D913" s="21"/>
      <c r="G913" s="14"/>
    </row>
    <row r="914" spans="1:7" ht="14.25" customHeight="1">
      <c r="A914" s="21"/>
      <c r="D914" s="21"/>
      <c r="G914" s="14"/>
    </row>
    <row r="915" spans="1:7" ht="14.25" customHeight="1">
      <c r="A915" s="21"/>
      <c r="D915" s="21"/>
      <c r="G915" s="14"/>
    </row>
    <row r="916" spans="1:7" ht="14.25" customHeight="1">
      <c r="A916" s="21"/>
      <c r="D916" s="21"/>
      <c r="G916" s="14"/>
    </row>
    <row r="917" spans="1:7" ht="14.25" customHeight="1">
      <c r="A917" s="21"/>
      <c r="D917" s="21"/>
      <c r="G917" s="14"/>
    </row>
    <row r="918" spans="1:7" ht="14.25" customHeight="1">
      <c r="A918" s="21"/>
      <c r="D918" s="21"/>
      <c r="G918" s="14"/>
    </row>
    <row r="919" spans="1:7" ht="14.25" customHeight="1">
      <c r="A919" s="21"/>
      <c r="D919" s="21"/>
      <c r="G919" s="14"/>
    </row>
    <row r="920" spans="1:7" ht="14.25" customHeight="1">
      <c r="A920" s="21"/>
      <c r="D920" s="21"/>
      <c r="G920" s="14"/>
    </row>
    <row r="921" spans="1:7" ht="14.25" customHeight="1">
      <c r="A921" s="21"/>
      <c r="D921" s="21"/>
      <c r="G921" s="14"/>
    </row>
    <row r="922" spans="1:7" ht="14.25" customHeight="1">
      <c r="A922" s="21"/>
      <c r="D922" s="21"/>
      <c r="G922" s="14"/>
    </row>
    <row r="923" spans="1:7" ht="14.25" customHeight="1">
      <c r="A923" s="21"/>
      <c r="D923" s="21"/>
      <c r="G923" s="14"/>
    </row>
    <row r="924" spans="1:7" ht="14.25" customHeight="1">
      <c r="A924" s="21"/>
      <c r="D924" s="21"/>
      <c r="G924" s="14"/>
    </row>
    <row r="925" spans="1:7" ht="14.25" customHeight="1">
      <c r="A925" s="21"/>
      <c r="D925" s="21"/>
      <c r="G925" s="14"/>
    </row>
    <row r="926" spans="1:7" ht="14.25" customHeight="1">
      <c r="A926" s="21"/>
      <c r="D926" s="21"/>
      <c r="G926" s="14"/>
    </row>
    <row r="927" spans="1:7" ht="14.25" customHeight="1">
      <c r="A927" s="21"/>
      <c r="D927" s="21"/>
      <c r="G927" s="14"/>
    </row>
    <row r="928" spans="1:7" ht="14.25" customHeight="1">
      <c r="A928" s="21"/>
      <c r="D928" s="21"/>
      <c r="G928" s="14"/>
    </row>
    <row r="929" spans="1:7" ht="14.25" customHeight="1">
      <c r="A929" s="21"/>
      <c r="D929" s="21"/>
      <c r="G929" s="14"/>
    </row>
    <row r="930" spans="1:7" ht="14.25" customHeight="1">
      <c r="A930" s="21"/>
      <c r="D930" s="21"/>
      <c r="G930" s="14"/>
    </row>
    <row r="931" spans="1:7" ht="14.25" customHeight="1">
      <c r="A931" s="21"/>
      <c r="D931" s="21"/>
      <c r="G931" s="14"/>
    </row>
    <row r="932" spans="1:7" ht="14.25" customHeight="1">
      <c r="A932" s="21"/>
      <c r="D932" s="21"/>
      <c r="G932" s="14"/>
    </row>
    <row r="933" spans="1:7" ht="14.25" customHeight="1">
      <c r="A933" s="21"/>
      <c r="D933" s="21"/>
      <c r="G933" s="14"/>
    </row>
    <row r="934" spans="1:7" ht="14.25" customHeight="1">
      <c r="A934" s="21"/>
      <c r="D934" s="21"/>
      <c r="G934" s="14"/>
    </row>
    <row r="935" spans="1:7" ht="14.25" customHeight="1">
      <c r="A935" s="21"/>
      <c r="D935" s="21"/>
      <c r="G935" s="14"/>
    </row>
    <row r="936" spans="1:7" ht="14.25" customHeight="1">
      <c r="A936" s="21"/>
      <c r="D936" s="21"/>
      <c r="G936" s="14"/>
    </row>
    <row r="937" spans="1:7" ht="14.25" customHeight="1">
      <c r="A937" s="21"/>
      <c r="D937" s="21"/>
      <c r="G937" s="14"/>
    </row>
    <row r="938" spans="1:7" ht="14.25" customHeight="1">
      <c r="A938" s="21"/>
      <c r="D938" s="21"/>
      <c r="G938" s="14"/>
    </row>
    <row r="939" spans="1:7" ht="14.25" customHeight="1">
      <c r="A939" s="21"/>
      <c r="D939" s="21"/>
      <c r="G939" s="14"/>
    </row>
    <row r="940" spans="1:7" ht="14.25" customHeight="1">
      <c r="A940" s="21"/>
      <c r="D940" s="21"/>
      <c r="G940" s="14"/>
    </row>
    <row r="941" spans="1:7" ht="14.25" customHeight="1">
      <c r="A941" s="21"/>
      <c r="D941" s="21"/>
      <c r="G941" s="14"/>
    </row>
    <row r="942" spans="1:7" ht="14.25" customHeight="1">
      <c r="A942" s="21"/>
      <c r="D942" s="21"/>
      <c r="G942" s="14"/>
    </row>
    <row r="943" spans="1:7" ht="14.25" customHeight="1">
      <c r="A943" s="21"/>
      <c r="D943" s="21"/>
      <c r="G943" s="14"/>
    </row>
    <row r="944" spans="1:7" ht="14.25" customHeight="1">
      <c r="A944" s="21"/>
      <c r="D944" s="21"/>
      <c r="G944" s="14"/>
    </row>
    <row r="945" spans="1:7" ht="14.25" customHeight="1">
      <c r="A945" s="21"/>
      <c r="D945" s="21"/>
      <c r="G945" s="14"/>
    </row>
    <row r="946" spans="1:7" ht="14.25" customHeight="1">
      <c r="A946" s="21"/>
      <c r="D946" s="21"/>
      <c r="G946" s="14"/>
    </row>
    <row r="947" spans="1:7" ht="14.25" customHeight="1">
      <c r="A947" s="21"/>
      <c r="D947" s="21"/>
      <c r="G947" s="14"/>
    </row>
    <row r="948" spans="1:7" ht="14.25" customHeight="1">
      <c r="A948" s="21"/>
      <c r="D948" s="21"/>
      <c r="G948" s="14"/>
    </row>
    <row r="949" spans="1:7" ht="14.25" customHeight="1">
      <c r="A949" s="21"/>
      <c r="D949" s="21"/>
      <c r="G949" s="14"/>
    </row>
    <row r="950" spans="1:7" ht="14.25" customHeight="1">
      <c r="A950" s="21"/>
      <c r="D950" s="21"/>
      <c r="G950" s="14"/>
    </row>
    <row r="951" spans="1:7" ht="14.25" customHeight="1">
      <c r="A951" s="21"/>
      <c r="D951" s="21"/>
      <c r="G951" s="14"/>
    </row>
    <row r="952" spans="1:7" ht="14.25" customHeight="1">
      <c r="A952" s="21"/>
      <c r="D952" s="21"/>
      <c r="G952" s="14"/>
    </row>
    <row r="953" spans="1:7" ht="14.25" customHeight="1">
      <c r="A953" s="21"/>
      <c r="D953" s="21"/>
      <c r="G953" s="14"/>
    </row>
    <row r="954" spans="1:7" ht="14.25" customHeight="1">
      <c r="A954" s="21"/>
      <c r="D954" s="21"/>
      <c r="G954" s="14"/>
    </row>
    <row r="955" spans="1:7" ht="14.25" customHeight="1">
      <c r="A955" s="21"/>
      <c r="D955" s="21"/>
      <c r="G955" s="14"/>
    </row>
    <row r="956" spans="1:7" ht="14.25" customHeight="1">
      <c r="A956" s="21"/>
      <c r="D956" s="21"/>
      <c r="G956" s="14"/>
    </row>
    <row r="957" spans="1:7" ht="14.25" customHeight="1">
      <c r="A957" s="21"/>
      <c r="D957" s="21"/>
      <c r="G957" s="14"/>
    </row>
    <row r="958" spans="1:7" ht="14.25" customHeight="1">
      <c r="A958" s="21"/>
      <c r="D958" s="21"/>
      <c r="G958" s="14"/>
    </row>
    <row r="959" spans="1:7" ht="14.25" customHeight="1">
      <c r="A959" s="21"/>
      <c r="D959" s="21"/>
      <c r="G959" s="14"/>
    </row>
    <row r="960" spans="1:7" ht="14.25" customHeight="1">
      <c r="A960" s="21"/>
      <c r="D960" s="21"/>
      <c r="G960" s="14"/>
    </row>
    <row r="961" spans="1:7" ht="14.25" customHeight="1">
      <c r="A961" s="21"/>
      <c r="D961" s="21"/>
      <c r="G961" s="14"/>
    </row>
    <row r="962" spans="1:7" ht="14.25" customHeight="1">
      <c r="A962" s="21"/>
      <c r="D962" s="21"/>
      <c r="G962" s="14"/>
    </row>
    <row r="963" spans="1:7" ht="14.25" customHeight="1">
      <c r="A963" s="21"/>
      <c r="D963" s="21"/>
      <c r="G963" s="14"/>
    </row>
    <row r="964" spans="1:7" ht="14.25" customHeight="1">
      <c r="A964" s="21"/>
      <c r="D964" s="21"/>
      <c r="G964" s="14"/>
    </row>
    <row r="965" spans="1:7" ht="14.25" customHeight="1">
      <c r="A965" s="21"/>
      <c r="D965" s="21"/>
      <c r="G965" s="14"/>
    </row>
    <row r="966" spans="1:7" ht="14.25" customHeight="1">
      <c r="A966" s="21"/>
      <c r="D966" s="21"/>
      <c r="G966" s="14"/>
    </row>
    <row r="967" spans="1:7" ht="14.25" customHeight="1">
      <c r="A967" s="21"/>
      <c r="D967" s="21"/>
      <c r="G967" s="14"/>
    </row>
    <row r="968" spans="1:7" ht="14.25" customHeight="1">
      <c r="A968" s="21"/>
      <c r="D968" s="21"/>
      <c r="G968" s="14"/>
    </row>
    <row r="969" spans="1:7" ht="14.25" customHeight="1">
      <c r="A969" s="21"/>
      <c r="D969" s="21"/>
      <c r="G969" s="14"/>
    </row>
    <row r="970" spans="1:7" ht="14.25" customHeight="1">
      <c r="A970" s="21"/>
      <c r="D970" s="21"/>
      <c r="G970" s="14"/>
    </row>
    <row r="971" spans="1:7" ht="14.25" customHeight="1">
      <c r="A971" s="21"/>
      <c r="D971" s="21"/>
      <c r="G971" s="14"/>
    </row>
    <row r="972" spans="1:7" ht="14.25" customHeight="1">
      <c r="A972" s="21"/>
      <c r="D972" s="21"/>
      <c r="G972" s="14"/>
    </row>
    <row r="973" spans="1:7" ht="14.25" customHeight="1">
      <c r="A973" s="21"/>
      <c r="D973" s="21"/>
      <c r="G973" s="14"/>
    </row>
    <row r="974" spans="1:7" ht="14.25" customHeight="1">
      <c r="A974" s="21"/>
      <c r="D974" s="21"/>
      <c r="G974" s="14"/>
    </row>
    <row r="975" spans="1:7" ht="14.25" customHeight="1">
      <c r="A975" s="21"/>
      <c r="D975" s="21"/>
      <c r="G975" s="14"/>
    </row>
    <row r="976" spans="1:7" ht="14.25" customHeight="1">
      <c r="A976" s="21"/>
      <c r="D976" s="21"/>
      <c r="G976" s="14"/>
    </row>
    <row r="977" spans="1:7" ht="14.25" customHeight="1">
      <c r="A977" s="21"/>
      <c r="D977" s="21"/>
      <c r="G977" s="14"/>
    </row>
    <row r="978" spans="1:7" ht="14.25" customHeight="1">
      <c r="A978" s="21"/>
      <c r="D978" s="21"/>
      <c r="G978" s="14"/>
    </row>
    <row r="979" spans="1:7" ht="14.25" customHeight="1">
      <c r="A979" s="21"/>
      <c r="D979" s="21"/>
      <c r="G979" s="14"/>
    </row>
    <row r="980" spans="1:7" ht="14.25" customHeight="1">
      <c r="A980" s="21"/>
      <c r="D980" s="21"/>
      <c r="G980" s="14"/>
    </row>
    <row r="981" spans="1:7" ht="14.25" customHeight="1">
      <c r="A981" s="21"/>
      <c r="D981" s="21"/>
      <c r="G981" s="14"/>
    </row>
    <row r="982" spans="1:7" ht="14.25" customHeight="1">
      <c r="A982" s="21"/>
      <c r="D982" s="21"/>
      <c r="G982" s="14"/>
    </row>
    <row r="983" spans="1:7" ht="14.25" customHeight="1">
      <c r="A983" s="21"/>
      <c r="D983" s="21"/>
      <c r="G983" s="14"/>
    </row>
    <row r="984" spans="1:7" ht="14.25" customHeight="1">
      <c r="A984" s="21"/>
      <c r="D984" s="21"/>
      <c r="G984" s="14"/>
    </row>
    <row r="985" spans="1:7" ht="14.25" customHeight="1">
      <c r="A985" s="21"/>
      <c r="D985" s="21"/>
      <c r="G985" s="14"/>
    </row>
    <row r="986" spans="1:7" ht="14.25" customHeight="1">
      <c r="A986" s="21"/>
      <c r="D986" s="21"/>
      <c r="G986" s="14"/>
    </row>
    <row r="987" spans="1:7" ht="14.25" customHeight="1">
      <c r="A987" s="21"/>
      <c r="D987" s="21"/>
      <c r="G987" s="14"/>
    </row>
    <row r="988" spans="1:7" ht="14.25" customHeight="1">
      <c r="A988" s="21"/>
      <c r="D988" s="21"/>
      <c r="G988" s="14"/>
    </row>
    <row r="989" spans="1:7" ht="14.25" customHeight="1">
      <c r="A989" s="21"/>
      <c r="D989" s="21"/>
      <c r="G989" s="14"/>
    </row>
    <row r="990" spans="1:7" ht="14.25" customHeight="1">
      <c r="A990" s="21"/>
      <c r="D990" s="21"/>
      <c r="G990" s="14"/>
    </row>
    <row r="991" spans="1:7" ht="14.25" customHeight="1">
      <c r="A991" s="21"/>
      <c r="D991" s="21"/>
      <c r="G991" s="14"/>
    </row>
    <row r="992" spans="1:7" ht="14.25" customHeight="1">
      <c r="A992" s="21"/>
      <c r="D992" s="21"/>
      <c r="G992" s="14"/>
    </row>
    <row r="993" spans="1:7" ht="14.25" customHeight="1">
      <c r="A993" s="21"/>
      <c r="D993" s="21"/>
      <c r="G993" s="14"/>
    </row>
    <row r="994" spans="1:7" ht="14.25" customHeight="1">
      <c r="A994" s="21"/>
      <c r="D994" s="21"/>
      <c r="G994" s="14"/>
    </row>
    <row r="995" spans="1:7" ht="14.25" customHeight="1">
      <c r="A995" s="21"/>
      <c r="D995" s="21"/>
      <c r="G995" s="14"/>
    </row>
    <row r="996" spans="1:7" ht="14.25" customHeight="1">
      <c r="A996" s="21"/>
      <c r="D996" s="21"/>
      <c r="G996" s="14"/>
    </row>
    <row r="997" spans="1:7" ht="14.25" customHeight="1">
      <c r="A997" s="21"/>
      <c r="D997" s="21"/>
      <c r="G997" s="14"/>
    </row>
    <row r="998" spans="1:7" ht="14.25" customHeight="1">
      <c r="A998" s="21"/>
      <c r="D998" s="21"/>
      <c r="G998" s="14"/>
    </row>
    <row r="999" spans="1:7" ht="14.25" customHeight="1">
      <c r="A999" s="21"/>
      <c r="D999" s="21"/>
      <c r="G999" s="14"/>
    </row>
    <row r="1000" spans="1:7" ht="14.25" customHeight="1">
      <c r="A1000" s="21"/>
      <c r="D1000" s="21"/>
      <c r="G1000" s="14"/>
    </row>
  </sheetData>
  <mergeCells count="22">
    <mergeCell ref="B63:C63"/>
    <mergeCell ref="B64:C64"/>
    <mergeCell ref="B65:C65"/>
    <mergeCell ref="B66:C66"/>
    <mergeCell ref="G50:L50"/>
    <mergeCell ref="G53:L53"/>
    <mergeCell ref="B55:D55"/>
    <mergeCell ref="G55:L55"/>
    <mergeCell ref="B61:C61"/>
    <mergeCell ref="B62:C62"/>
    <mergeCell ref="B25:D25"/>
    <mergeCell ref="G25:L25"/>
    <mergeCell ref="G38:L38"/>
    <mergeCell ref="G42:L42"/>
    <mergeCell ref="B46:D46"/>
    <mergeCell ref="G46:L46"/>
    <mergeCell ref="B4:M6"/>
    <mergeCell ref="B10:D10"/>
    <mergeCell ref="G10:L10"/>
    <mergeCell ref="G14:L14"/>
    <mergeCell ref="G17:L17"/>
    <mergeCell ref="G21:L21"/>
  </mergeCells>
  <hyperlinks>
    <hyperlink ref="B2" location="Google_Sheet_Link_1534306047" display="gid=1746760684" xr:uid="{C8B07FD9-DE3A-4FC1-A0E9-727157EB948A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061A-50DE-44BE-B2B4-640065A53821}">
  <dimension ref="A1:N1000"/>
  <sheetViews>
    <sheetView workbookViewId="0"/>
  </sheetViews>
  <sheetFormatPr baseColWidth="10" defaultRowHeight="15" customHeight="1"/>
  <cols>
    <col min="1" max="1" width="11.28515625" customWidth="1"/>
    <col min="2" max="2" width="49.28515625" customWidth="1"/>
    <col min="3" max="3" width="29.5703125" customWidth="1"/>
    <col min="4" max="4" width="21.28515625" customWidth="1"/>
    <col min="5" max="5" width="27.42578125" customWidth="1"/>
    <col min="6" max="6" width="22.5703125" customWidth="1"/>
    <col min="7" max="7" width="19.85546875" customWidth="1"/>
    <col min="8" max="8" width="21.140625" customWidth="1"/>
    <col min="9" max="9" width="17.7109375" customWidth="1"/>
    <col min="10" max="10" width="14" customWidth="1"/>
    <col min="11" max="11" width="19.28515625" customWidth="1"/>
    <col min="12" max="13" width="16.85546875" customWidth="1"/>
    <col min="14" max="26" width="11.28515625" customWidth="1"/>
    <col min="27" max="1024" width="15.28515625" customWidth="1"/>
  </cols>
  <sheetData>
    <row r="1" spans="1:14" ht="14.25" customHeight="1">
      <c r="A1" s="20" t="str">
        <f>Resumen!A2</f>
        <v>Nro.</v>
      </c>
      <c r="B1" s="20" t="str">
        <f>Resumen!B2</f>
        <v>CARRERA</v>
      </c>
      <c r="C1" s="20" t="str">
        <f>Resumen!C2</f>
        <v>DIRECTOR/A</v>
      </c>
      <c r="D1" s="20" t="str">
        <f>Resumen!D2</f>
        <v>POA</v>
      </c>
      <c r="E1" s="20" t="str">
        <f>Resumen!E2</f>
        <v>INFORME SEMESTRAL</v>
      </c>
      <c r="F1" s="20" t="str">
        <f>Resumen!F2</f>
        <v>MATRIZ SEMESTRAL</v>
      </c>
      <c r="G1" s="20" t="str">
        <f>Resumen!G2</f>
        <v>INFORME FINAL</v>
      </c>
      <c r="H1" s="20" t="str">
        <f>Resumen!H2</f>
        <v>MATRIZ FINAL</v>
      </c>
      <c r="I1" s="20" t="s">
        <v>474</v>
      </c>
      <c r="J1" s="20" t="s">
        <v>475</v>
      </c>
      <c r="K1" s="20" t="s">
        <v>476</v>
      </c>
      <c r="L1" s="20" t="str">
        <f>Resumen!$T$2</f>
        <v>Observación</v>
      </c>
      <c r="M1" s="20" t="str">
        <f>Resumen!$U$2</f>
        <v>%Avance poa</v>
      </c>
      <c r="N1" s="20" t="s">
        <v>477</v>
      </c>
    </row>
    <row r="2" spans="1:14" ht="14.25" customHeight="1">
      <c r="A2" s="20">
        <f>Resumen!A5</f>
        <v>1</v>
      </c>
      <c r="B2" s="159" t="s">
        <v>20</v>
      </c>
      <c r="C2" s="20" t="str">
        <f>Resumen!C5</f>
        <v>Mgtr. Jorge Jetón</v>
      </c>
      <c r="D2" s="20" t="str">
        <f>Resumen!D5</f>
        <v>ENTREGADO</v>
      </c>
      <c r="E2" s="20" t="str">
        <f>Resumen!E5</f>
        <v>ENTREGADO</v>
      </c>
      <c r="F2" s="20" t="str">
        <f>Resumen!F5</f>
        <v>ENTREGADO</v>
      </c>
      <c r="G2" s="20" t="str">
        <f>Resumen!G5</f>
        <v>S/N</v>
      </c>
      <c r="H2" s="20" t="str">
        <f>Resumen!H5</f>
        <v>S/N</v>
      </c>
      <c r="I2" s="20" t="str">
        <f>Resumen!$I$3</f>
        <v>Estrategia 1</v>
      </c>
      <c r="J2" s="62" t="str">
        <f>Resumen!$I$4</f>
        <v>Objetivo 1</v>
      </c>
      <c r="K2" s="62" t="str">
        <f>Resumen!$I$5</f>
        <v>X</v>
      </c>
      <c r="L2" s="20" t="str">
        <f>Resumen!T5</f>
        <v>EVIDENCIAS POR COMPLETAR SEGUNDO SEMESTRE</v>
      </c>
      <c r="M2" s="62">
        <f>Resumen!U5</f>
        <v>0.82894736842105265</v>
      </c>
      <c r="N2" s="20">
        <v>2025</v>
      </c>
    </row>
    <row r="3" spans="1:14" ht="14.25" customHeight="1">
      <c r="A3" s="20">
        <f t="shared" ref="A3:A12" si="0">$A$2</f>
        <v>1</v>
      </c>
      <c r="B3" s="159" t="s">
        <v>20</v>
      </c>
      <c r="C3" s="20" t="str">
        <f t="shared" ref="C3:C12" si="1">$C$2</f>
        <v>Mgtr. Jorge Jetón</v>
      </c>
      <c r="D3" s="20" t="str">
        <f t="shared" ref="D3:D12" si="2">$D$2</f>
        <v>ENTREGADO</v>
      </c>
      <c r="E3" s="20" t="str">
        <f t="shared" ref="E3:E12" si="3">$E$2</f>
        <v>ENTREGADO</v>
      </c>
      <c r="F3" s="20" t="str">
        <f t="shared" ref="F3:F12" si="4">$F$2</f>
        <v>ENTREGADO</v>
      </c>
      <c r="G3" s="20" t="str">
        <f t="shared" ref="G3:G12" si="5">$G$2</f>
        <v>S/N</v>
      </c>
      <c r="H3" s="20" t="str">
        <f t="shared" ref="H3:H12" si="6">$H$2</f>
        <v>S/N</v>
      </c>
      <c r="I3" s="20" t="str">
        <f>$I$2</f>
        <v>Estrategia 1</v>
      </c>
      <c r="J3" s="62" t="str">
        <f>Resumen!$J$4</f>
        <v>Objetivo 2</v>
      </c>
      <c r="K3" s="62" t="str">
        <f>Resumen!$J$5</f>
        <v>X</v>
      </c>
      <c r="L3" s="20" t="str">
        <f t="shared" ref="L3:L12" si="7">$L$2</f>
        <v>EVIDENCIAS POR COMPLETAR SEGUNDO SEMESTRE</v>
      </c>
      <c r="M3" s="62">
        <f t="shared" ref="M3:M12" si="8">$M$2</f>
        <v>0.82894736842105265</v>
      </c>
      <c r="N3" s="20">
        <v>2025</v>
      </c>
    </row>
    <row r="4" spans="1:14" ht="14.25" customHeight="1">
      <c r="A4" s="20">
        <f t="shared" si="0"/>
        <v>1</v>
      </c>
      <c r="B4" s="159" t="s">
        <v>20</v>
      </c>
      <c r="C4" s="20" t="str">
        <f t="shared" si="1"/>
        <v>Mgtr. Jorge Jetón</v>
      </c>
      <c r="D4" s="20" t="str">
        <f t="shared" si="2"/>
        <v>ENTREGADO</v>
      </c>
      <c r="E4" s="20" t="str">
        <f t="shared" si="3"/>
        <v>ENTREGADO</v>
      </c>
      <c r="F4" s="20" t="str">
        <f t="shared" si="4"/>
        <v>ENTREGADO</v>
      </c>
      <c r="G4" s="20" t="str">
        <f t="shared" si="5"/>
        <v>S/N</v>
      </c>
      <c r="H4" s="20" t="str">
        <f t="shared" si="6"/>
        <v>S/N</v>
      </c>
      <c r="I4" s="20" t="str">
        <f>$I$2</f>
        <v>Estrategia 1</v>
      </c>
      <c r="J4" s="62" t="str">
        <f>Resumen!$K$4</f>
        <v>Objetivo 3</v>
      </c>
      <c r="K4" s="62" t="str">
        <f>Resumen!$K$5</f>
        <v>X</v>
      </c>
      <c r="L4" s="20" t="str">
        <f t="shared" si="7"/>
        <v>EVIDENCIAS POR COMPLETAR SEGUNDO SEMESTRE</v>
      </c>
      <c r="M4" s="62">
        <f t="shared" si="8"/>
        <v>0.82894736842105265</v>
      </c>
      <c r="N4" s="20">
        <v>2025</v>
      </c>
    </row>
    <row r="5" spans="1:14" ht="14.25" customHeight="1">
      <c r="A5" s="20">
        <f t="shared" si="0"/>
        <v>1</v>
      </c>
      <c r="B5" s="159" t="s">
        <v>20</v>
      </c>
      <c r="C5" s="20" t="str">
        <f t="shared" si="1"/>
        <v>Mgtr. Jorge Jetón</v>
      </c>
      <c r="D5" s="20" t="str">
        <f t="shared" si="2"/>
        <v>ENTREGADO</v>
      </c>
      <c r="E5" s="20" t="str">
        <f t="shared" si="3"/>
        <v>ENTREGADO</v>
      </c>
      <c r="F5" s="20" t="str">
        <f t="shared" si="4"/>
        <v>ENTREGADO</v>
      </c>
      <c r="G5" s="20" t="str">
        <f t="shared" si="5"/>
        <v>S/N</v>
      </c>
      <c r="H5" s="20" t="str">
        <f t="shared" si="6"/>
        <v>S/N</v>
      </c>
      <c r="I5" s="20" t="str">
        <f>$I$2</f>
        <v>Estrategia 1</v>
      </c>
      <c r="J5" s="62" t="str">
        <f>Resumen!$L$4</f>
        <v>Objetivo 4</v>
      </c>
      <c r="K5" s="62" t="str">
        <f>Resumen!$L$5</f>
        <v>X</v>
      </c>
      <c r="L5" s="20" t="str">
        <f t="shared" si="7"/>
        <v>EVIDENCIAS POR COMPLETAR SEGUNDO SEMESTRE</v>
      </c>
      <c r="M5" s="62">
        <f t="shared" si="8"/>
        <v>0.82894736842105265</v>
      </c>
      <c r="N5" s="20">
        <v>2025</v>
      </c>
    </row>
    <row r="6" spans="1:14" ht="14.25" customHeight="1">
      <c r="A6" s="20">
        <f t="shared" si="0"/>
        <v>1</v>
      </c>
      <c r="B6" s="159" t="s">
        <v>20</v>
      </c>
      <c r="C6" s="20" t="str">
        <f t="shared" si="1"/>
        <v>Mgtr. Jorge Jetón</v>
      </c>
      <c r="D6" s="20" t="str">
        <f t="shared" si="2"/>
        <v>ENTREGADO</v>
      </c>
      <c r="E6" s="20" t="str">
        <f t="shared" si="3"/>
        <v>ENTREGADO</v>
      </c>
      <c r="F6" s="20" t="str">
        <f t="shared" si="4"/>
        <v>ENTREGADO</v>
      </c>
      <c r="G6" s="20" t="str">
        <f t="shared" si="5"/>
        <v>S/N</v>
      </c>
      <c r="H6" s="20" t="str">
        <f t="shared" si="6"/>
        <v>S/N</v>
      </c>
      <c r="I6" s="20" t="str">
        <f>Resumen!$M$3</f>
        <v>Estrategia 2</v>
      </c>
      <c r="J6" s="62" t="str">
        <f>Resumen!$M$4</f>
        <v>Objetivo 1</v>
      </c>
      <c r="K6" s="62" t="str">
        <f>Resumen!$M$5</f>
        <v>X</v>
      </c>
      <c r="L6" s="20" t="str">
        <f t="shared" si="7"/>
        <v>EVIDENCIAS POR COMPLETAR SEGUNDO SEMESTRE</v>
      </c>
      <c r="M6" s="62">
        <f t="shared" si="8"/>
        <v>0.82894736842105265</v>
      </c>
      <c r="N6" s="20">
        <v>2025</v>
      </c>
    </row>
    <row r="7" spans="1:14" ht="14.25" customHeight="1">
      <c r="A7" s="20">
        <f t="shared" si="0"/>
        <v>1</v>
      </c>
      <c r="B7" s="159" t="s">
        <v>20</v>
      </c>
      <c r="C7" s="20" t="str">
        <f t="shared" si="1"/>
        <v>Mgtr. Jorge Jetón</v>
      </c>
      <c r="D7" s="20" t="str">
        <f t="shared" si="2"/>
        <v>ENTREGADO</v>
      </c>
      <c r="E7" s="20" t="str">
        <f t="shared" si="3"/>
        <v>ENTREGADO</v>
      </c>
      <c r="F7" s="20" t="str">
        <f t="shared" si="4"/>
        <v>ENTREGADO</v>
      </c>
      <c r="G7" s="20" t="str">
        <f t="shared" si="5"/>
        <v>S/N</v>
      </c>
      <c r="H7" s="20" t="str">
        <f t="shared" si="6"/>
        <v>S/N</v>
      </c>
      <c r="I7" s="20" t="str">
        <f>$I$6</f>
        <v>Estrategia 2</v>
      </c>
      <c r="J7" s="62" t="str">
        <f>Resumen!$N$4</f>
        <v>Objetivo 2</v>
      </c>
      <c r="K7" s="62" t="str">
        <f>Resumen!$N$5</f>
        <v>X</v>
      </c>
      <c r="L7" s="20" t="str">
        <f t="shared" si="7"/>
        <v>EVIDENCIAS POR COMPLETAR SEGUNDO SEMESTRE</v>
      </c>
      <c r="M7" s="62">
        <f t="shared" si="8"/>
        <v>0.82894736842105265</v>
      </c>
      <c r="N7" s="20">
        <v>2025</v>
      </c>
    </row>
    <row r="8" spans="1:14" ht="14.25" customHeight="1">
      <c r="A8" s="20">
        <f t="shared" si="0"/>
        <v>1</v>
      </c>
      <c r="B8" s="159" t="s">
        <v>20</v>
      </c>
      <c r="C8" s="20" t="str">
        <f t="shared" si="1"/>
        <v>Mgtr. Jorge Jetón</v>
      </c>
      <c r="D8" s="20" t="str">
        <f t="shared" si="2"/>
        <v>ENTREGADO</v>
      </c>
      <c r="E8" s="20" t="str">
        <f t="shared" si="3"/>
        <v>ENTREGADO</v>
      </c>
      <c r="F8" s="20" t="str">
        <f t="shared" si="4"/>
        <v>ENTREGADO</v>
      </c>
      <c r="G8" s="20" t="str">
        <f t="shared" si="5"/>
        <v>S/N</v>
      </c>
      <c r="H8" s="20" t="str">
        <f t="shared" si="6"/>
        <v>S/N</v>
      </c>
      <c r="I8" s="20" t="str">
        <f>$I$6</f>
        <v>Estrategia 2</v>
      </c>
      <c r="J8" s="62" t="str">
        <f>Resumen!$O$4</f>
        <v>Objetivo 3</v>
      </c>
      <c r="K8" s="62" t="str">
        <f>Resumen!$O$5</f>
        <v>X</v>
      </c>
      <c r="L8" s="20" t="str">
        <f t="shared" si="7"/>
        <v>EVIDENCIAS POR COMPLETAR SEGUNDO SEMESTRE</v>
      </c>
      <c r="M8" s="62">
        <f t="shared" si="8"/>
        <v>0.82894736842105265</v>
      </c>
      <c r="N8" s="20">
        <v>2025</v>
      </c>
    </row>
    <row r="9" spans="1:14" ht="14.25" customHeight="1">
      <c r="A9" s="20">
        <f t="shared" si="0"/>
        <v>1</v>
      </c>
      <c r="B9" s="159" t="s">
        <v>20</v>
      </c>
      <c r="C9" s="20" t="str">
        <f t="shared" si="1"/>
        <v>Mgtr. Jorge Jetón</v>
      </c>
      <c r="D9" s="20" t="str">
        <f t="shared" si="2"/>
        <v>ENTREGADO</v>
      </c>
      <c r="E9" s="20" t="str">
        <f t="shared" si="3"/>
        <v>ENTREGADO</v>
      </c>
      <c r="F9" s="20" t="str">
        <f t="shared" si="4"/>
        <v>ENTREGADO</v>
      </c>
      <c r="G9" s="20" t="str">
        <f t="shared" si="5"/>
        <v>S/N</v>
      </c>
      <c r="H9" s="20" t="str">
        <f t="shared" si="6"/>
        <v>S/N</v>
      </c>
      <c r="I9" s="20" t="str">
        <f>Resumen!$P$3</f>
        <v>Estrategia 3</v>
      </c>
      <c r="J9" s="62" t="str">
        <f>Resumen!$P$4</f>
        <v>Objetivo 1</v>
      </c>
      <c r="K9" s="62" t="str">
        <f>Resumen!$P$5</f>
        <v>X</v>
      </c>
      <c r="L9" s="20" t="str">
        <f t="shared" si="7"/>
        <v>EVIDENCIAS POR COMPLETAR SEGUNDO SEMESTRE</v>
      </c>
      <c r="M9" s="62">
        <f t="shared" si="8"/>
        <v>0.82894736842105265</v>
      </c>
      <c r="N9" s="20">
        <v>2025</v>
      </c>
    </row>
    <row r="10" spans="1:14" ht="14.25" customHeight="1">
      <c r="A10" s="20">
        <f t="shared" si="0"/>
        <v>1</v>
      </c>
      <c r="B10" s="159" t="s">
        <v>20</v>
      </c>
      <c r="C10" s="20" t="str">
        <f t="shared" si="1"/>
        <v>Mgtr. Jorge Jetón</v>
      </c>
      <c r="D10" s="20" t="str">
        <f t="shared" si="2"/>
        <v>ENTREGADO</v>
      </c>
      <c r="E10" s="20" t="str">
        <f t="shared" si="3"/>
        <v>ENTREGADO</v>
      </c>
      <c r="F10" s="20" t="str">
        <f t="shared" si="4"/>
        <v>ENTREGADO</v>
      </c>
      <c r="G10" s="20" t="str">
        <f t="shared" si="5"/>
        <v>S/N</v>
      </c>
      <c r="H10" s="20" t="str">
        <f t="shared" si="6"/>
        <v>S/N</v>
      </c>
      <c r="I10" s="20" t="str">
        <f>$I$9</f>
        <v>Estrategia 3</v>
      </c>
      <c r="J10" s="62" t="str">
        <f>Resumen!$Q$4</f>
        <v>Objetivo 2</v>
      </c>
      <c r="K10" s="62" t="str">
        <f>Resumen!$Q$5</f>
        <v>X</v>
      </c>
      <c r="L10" s="20" t="str">
        <f t="shared" si="7"/>
        <v>EVIDENCIAS POR COMPLETAR SEGUNDO SEMESTRE</v>
      </c>
      <c r="M10" s="62">
        <f t="shared" si="8"/>
        <v>0.82894736842105265</v>
      </c>
      <c r="N10" s="20">
        <v>2025</v>
      </c>
    </row>
    <row r="11" spans="1:14" ht="14.25" customHeight="1">
      <c r="A11" s="20">
        <f t="shared" si="0"/>
        <v>1</v>
      </c>
      <c r="B11" s="159" t="s">
        <v>20</v>
      </c>
      <c r="C11" s="20" t="str">
        <f t="shared" si="1"/>
        <v>Mgtr. Jorge Jetón</v>
      </c>
      <c r="D11" s="20" t="str">
        <f t="shared" si="2"/>
        <v>ENTREGADO</v>
      </c>
      <c r="E11" s="20" t="str">
        <f t="shared" si="3"/>
        <v>ENTREGADO</v>
      </c>
      <c r="F11" s="20" t="str">
        <f t="shared" si="4"/>
        <v>ENTREGADO</v>
      </c>
      <c r="G11" s="20" t="str">
        <f t="shared" si="5"/>
        <v>S/N</v>
      </c>
      <c r="H11" s="20" t="str">
        <f t="shared" si="6"/>
        <v>S/N</v>
      </c>
      <c r="I11" s="20" t="str">
        <f>$I$9</f>
        <v>Estrategia 3</v>
      </c>
      <c r="J11" s="62" t="str">
        <f>Resumen!$R$4</f>
        <v>Objetivo 3</v>
      </c>
      <c r="K11" s="62" t="str">
        <f>Resumen!$R$5</f>
        <v>X</v>
      </c>
      <c r="L11" s="20" t="str">
        <f t="shared" si="7"/>
        <v>EVIDENCIAS POR COMPLETAR SEGUNDO SEMESTRE</v>
      </c>
      <c r="M11" s="62">
        <f t="shared" si="8"/>
        <v>0.82894736842105265</v>
      </c>
      <c r="N11" s="20">
        <v>2025</v>
      </c>
    </row>
    <row r="12" spans="1:14" ht="14.25" customHeight="1">
      <c r="A12" s="20">
        <f t="shared" si="0"/>
        <v>1</v>
      </c>
      <c r="B12" s="159" t="s">
        <v>20</v>
      </c>
      <c r="C12" s="20" t="str">
        <f t="shared" si="1"/>
        <v>Mgtr. Jorge Jetón</v>
      </c>
      <c r="D12" s="20" t="str">
        <f t="shared" si="2"/>
        <v>ENTREGADO</v>
      </c>
      <c r="E12" s="20" t="str">
        <f t="shared" si="3"/>
        <v>ENTREGADO</v>
      </c>
      <c r="F12" s="20" t="str">
        <f t="shared" si="4"/>
        <v>ENTREGADO</v>
      </c>
      <c r="G12" s="20" t="str">
        <f t="shared" si="5"/>
        <v>S/N</v>
      </c>
      <c r="H12" s="20" t="str">
        <f t="shared" si="6"/>
        <v>S/N</v>
      </c>
      <c r="I12" s="20" t="str">
        <f>Resumen!$S$3</f>
        <v>Estrategia 4</v>
      </c>
      <c r="J12" s="62" t="str">
        <f>Resumen!$S$4</f>
        <v>Objetivo 1</v>
      </c>
      <c r="K12" s="62" t="str">
        <f>Resumen!$S$5</f>
        <v>X</v>
      </c>
      <c r="L12" s="20" t="str">
        <f t="shared" si="7"/>
        <v>EVIDENCIAS POR COMPLETAR SEGUNDO SEMESTRE</v>
      </c>
      <c r="M12" s="62">
        <f t="shared" si="8"/>
        <v>0.82894736842105265</v>
      </c>
      <c r="N12" s="20">
        <v>2025</v>
      </c>
    </row>
    <row r="13" spans="1:14" ht="14.25" customHeight="1">
      <c r="A13" s="20">
        <f>Resumen!A6</f>
        <v>2</v>
      </c>
      <c r="B13" s="159" t="s">
        <v>26</v>
      </c>
      <c r="C13" s="20" t="str">
        <f>Resumen!C6</f>
        <v>Dra. Germania Díaz</v>
      </c>
      <c r="D13" s="20" t="str">
        <f>Resumen!D6</f>
        <v>ENTREGADO</v>
      </c>
      <c r="E13" s="20" t="str">
        <f>Resumen!E6</f>
        <v>ENTREGADO</v>
      </c>
      <c r="F13" s="20" t="str">
        <f>Resumen!F6</f>
        <v>ENTREGADO</v>
      </c>
      <c r="G13" s="20" t="str">
        <f>Resumen!G6</f>
        <v>S/N</v>
      </c>
      <c r="H13" s="20" t="str">
        <f>Resumen!H6</f>
        <v>S/N</v>
      </c>
      <c r="I13" s="20" t="str">
        <f>Resumen!$I$3</f>
        <v>Estrategia 1</v>
      </c>
      <c r="J13" s="62" t="str">
        <f>Resumen!$I$4</f>
        <v>Objetivo 1</v>
      </c>
      <c r="K13" s="62" t="str">
        <f>Resumen!$I$6</f>
        <v>X</v>
      </c>
      <c r="L13" s="20" t="str">
        <f>Resumen!T6</f>
        <v>EVIDENCIAS POR COMPLETAR SEGUNDO SEMESTRE</v>
      </c>
      <c r="M13" s="62">
        <f>Resumen!U6</f>
        <v>0.84789473684210526</v>
      </c>
      <c r="N13" s="20">
        <v>2025</v>
      </c>
    </row>
    <row r="14" spans="1:14" ht="14.25" customHeight="1">
      <c r="A14" s="20">
        <f t="shared" ref="A14:A23" si="9">$A$13</f>
        <v>2</v>
      </c>
      <c r="B14" s="159" t="s">
        <v>26</v>
      </c>
      <c r="C14" s="20" t="str">
        <f t="shared" ref="C14:C23" si="10">$C$13</f>
        <v>Dra. Germania Díaz</v>
      </c>
      <c r="D14" s="20" t="str">
        <f t="shared" ref="D14:D22" si="11">$D$13</f>
        <v>ENTREGADO</v>
      </c>
      <c r="E14" s="20" t="str">
        <f t="shared" ref="E14:E23" si="12">$E$13</f>
        <v>ENTREGADO</v>
      </c>
      <c r="F14" s="20" t="str">
        <f t="shared" ref="F14:F23" si="13">$F$13</f>
        <v>ENTREGADO</v>
      </c>
      <c r="G14" s="20" t="str">
        <f t="shared" ref="G14:G23" si="14">$G$13</f>
        <v>S/N</v>
      </c>
      <c r="H14" s="20" t="str">
        <f t="shared" ref="H14:H23" si="15">$H$13</f>
        <v>S/N</v>
      </c>
      <c r="I14" s="20" t="str">
        <f>$I$2</f>
        <v>Estrategia 1</v>
      </c>
      <c r="J14" s="62" t="str">
        <f>Resumen!$J$4</f>
        <v>Objetivo 2</v>
      </c>
      <c r="K14" s="62" t="str">
        <f>Resumen!$J$6</f>
        <v>X</v>
      </c>
      <c r="L14" s="20" t="str">
        <f t="shared" ref="L14:L23" si="16">$L$13</f>
        <v>EVIDENCIAS POR COMPLETAR SEGUNDO SEMESTRE</v>
      </c>
      <c r="M14" s="62">
        <f t="shared" ref="M14:M23" si="17">$M$13</f>
        <v>0.84789473684210526</v>
      </c>
      <c r="N14" s="20">
        <v>2025</v>
      </c>
    </row>
    <row r="15" spans="1:14" ht="14.25" customHeight="1">
      <c r="A15" s="20">
        <f t="shared" si="9"/>
        <v>2</v>
      </c>
      <c r="B15" s="159" t="s">
        <v>26</v>
      </c>
      <c r="C15" s="20" t="str">
        <f t="shared" si="10"/>
        <v>Dra. Germania Díaz</v>
      </c>
      <c r="D15" s="20" t="str">
        <f t="shared" si="11"/>
        <v>ENTREGADO</v>
      </c>
      <c r="E15" s="20" t="str">
        <f t="shared" si="12"/>
        <v>ENTREGADO</v>
      </c>
      <c r="F15" s="20" t="str">
        <f t="shared" si="13"/>
        <v>ENTREGADO</v>
      </c>
      <c r="G15" s="20" t="str">
        <f t="shared" si="14"/>
        <v>S/N</v>
      </c>
      <c r="H15" s="20" t="str">
        <f t="shared" si="15"/>
        <v>S/N</v>
      </c>
      <c r="I15" s="20" t="str">
        <f>$I$2</f>
        <v>Estrategia 1</v>
      </c>
      <c r="J15" s="62" t="str">
        <f>Resumen!$K$4</f>
        <v>Objetivo 3</v>
      </c>
      <c r="K15" s="62" t="str">
        <f>Resumen!$K$6</f>
        <v>x</v>
      </c>
      <c r="L15" s="20" t="str">
        <f t="shared" si="16"/>
        <v>EVIDENCIAS POR COMPLETAR SEGUNDO SEMESTRE</v>
      </c>
      <c r="M15" s="62">
        <f t="shared" si="17"/>
        <v>0.84789473684210526</v>
      </c>
      <c r="N15" s="20">
        <v>2025</v>
      </c>
    </row>
    <row r="16" spans="1:14" ht="14.25" customHeight="1">
      <c r="A16" s="20">
        <f t="shared" si="9"/>
        <v>2</v>
      </c>
      <c r="B16" s="159" t="s">
        <v>26</v>
      </c>
      <c r="C16" s="20" t="str">
        <f t="shared" si="10"/>
        <v>Dra. Germania Díaz</v>
      </c>
      <c r="D16" s="20" t="str">
        <f t="shared" si="11"/>
        <v>ENTREGADO</v>
      </c>
      <c r="E16" s="20" t="str">
        <f t="shared" si="12"/>
        <v>ENTREGADO</v>
      </c>
      <c r="F16" s="20" t="str">
        <f t="shared" si="13"/>
        <v>ENTREGADO</v>
      </c>
      <c r="G16" s="20" t="str">
        <f t="shared" si="14"/>
        <v>S/N</v>
      </c>
      <c r="H16" s="20" t="str">
        <f t="shared" si="15"/>
        <v>S/N</v>
      </c>
      <c r="I16" s="20" t="str">
        <f>$I$2</f>
        <v>Estrategia 1</v>
      </c>
      <c r="J16" s="62" t="str">
        <f>Resumen!$L$4</f>
        <v>Objetivo 4</v>
      </c>
      <c r="K16" s="62" t="str">
        <f>Resumen!$L$6</f>
        <v>x</v>
      </c>
      <c r="L16" s="20" t="str">
        <f t="shared" si="16"/>
        <v>EVIDENCIAS POR COMPLETAR SEGUNDO SEMESTRE</v>
      </c>
      <c r="M16" s="62">
        <f t="shared" si="17"/>
        <v>0.84789473684210526</v>
      </c>
      <c r="N16" s="20">
        <v>2025</v>
      </c>
    </row>
    <row r="17" spans="1:14" ht="14.25" customHeight="1">
      <c r="A17" s="20">
        <f t="shared" si="9"/>
        <v>2</v>
      </c>
      <c r="B17" s="159" t="s">
        <v>26</v>
      </c>
      <c r="C17" s="20" t="str">
        <f t="shared" si="10"/>
        <v>Dra. Germania Díaz</v>
      </c>
      <c r="D17" s="20" t="str">
        <f t="shared" si="11"/>
        <v>ENTREGADO</v>
      </c>
      <c r="E17" s="20" t="str">
        <f t="shared" si="12"/>
        <v>ENTREGADO</v>
      </c>
      <c r="F17" s="20" t="str">
        <f t="shared" si="13"/>
        <v>ENTREGADO</v>
      </c>
      <c r="G17" s="20" t="str">
        <f t="shared" si="14"/>
        <v>S/N</v>
      </c>
      <c r="H17" s="20" t="str">
        <f t="shared" si="15"/>
        <v>S/N</v>
      </c>
      <c r="I17" s="20" t="str">
        <f>Resumen!$M$3</f>
        <v>Estrategia 2</v>
      </c>
      <c r="J17" s="62" t="str">
        <f>Resumen!$M$4</f>
        <v>Objetivo 1</v>
      </c>
      <c r="K17" s="62" t="str">
        <f>Resumen!$M$6</f>
        <v>x</v>
      </c>
      <c r="L17" s="20" t="str">
        <f t="shared" si="16"/>
        <v>EVIDENCIAS POR COMPLETAR SEGUNDO SEMESTRE</v>
      </c>
      <c r="M17" s="62">
        <f t="shared" si="17"/>
        <v>0.84789473684210526</v>
      </c>
      <c r="N17" s="20">
        <v>2025</v>
      </c>
    </row>
    <row r="18" spans="1:14" ht="14.25" customHeight="1">
      <c r="A18" s="20">
        <f t="shared" si="9"/>
        <v>2</v>
      </c>
      <c r="B18" s="159" t="s">
        <v>26</v>
      </c>
      <c r="C18" s="20" t="str">
        <f t="shared" si="10"/>
        <v>Dra. Germania Díaz</v>
      </c>
      <c r="D18" s="20" t="str">
        <f t="shared" si="11"/>
        <v>ENTREGADO</v>
      </c>
      <c r="E18" s="20" t="str">
        <f t="shared" si="12"/>
        <v>ENTREGADO</v>
      </c>
      <c r="F18" s="20" t="str">
        <f t="shared" si="13"/>
        <v>ENTREGADO</v>
      </c>
      <c r="G18" s="20" t="str">
        <f t="shared" si="14"/>
        <v>S/N</v>
      </c>
      <c r="H18" s="20" t="str">
        <f t="shared" si="15"/>
        <v>S/N</v>
      </c>
      <c r="I18" s="20" t="str">
        <f>$I$6</f>
        <v>Estrategia 2</v>
      </c>
      <c r="J18" s="62" t="str">
        <f>Resumen!$N$4</f>
        <v>Objetivo 2</v>
      </c>
      <c r="K18" s="62" t="str">
        <f>Resumen!$N$6</f>
        <v>x</v>
      </c>
      <c r="L18" s="20" t="str">
        <f t="shared" si="16"/>
        <v>EVIDENCIAS POR COMPLETAR SEGUNDO SEMESTRE</v>
      </c>
      <c r="M18" s="62">
        <f t="shared" si="17"/>
        <v>0.84789473684210526</v>
      </c>
      <c r="N18" s="20">
        <v>2025</v>
      </c>
    </row>
    <row r="19" spans="1:14" ht="14.25" customHeight="1">
      <c r="A19" s="20">
        <f t="shared" si="9"/>
        <v>2</v>
      </c>
      <c r="B19" s="159" t="s">
        <v>26</v>
      </c>
      <c r="C19" s="20" t="str">
        <f t="shared" si="10"/>
        <v>Dra. Germania Díaz</v>
      </c>
      <c r="D19" s="20" t="str">
        <f t="shared" si="11"/>
        <v>ENTREGADO</v>
      </c>
      <c r="E19" s="20" t="str">
        <f t="shared" si="12"/>
        <v>ENTREGADO</v>
      </c>
      <c r="F19" s="20" t="str">
        <f t="shared" si="13"/>
        <v>ENTREGADO</v>
      </c>
      <c r="G19" s="20" t="str">
        <f t="shared" si="14"/>
        <v>S/N</v>
      </c>
      <c r="H19" s="20" t="str">
        <f t="shared" si="15"/>
        <v>S/N</v>
      </c>
      <c r="I19" s="20" t="str">
        <f>$I$6</f>
        <v>Estrategia 2</v>
      </c>
      <c r="J19" s="62" t="str">
        <f>Resumen!$O$4</f>
        <v>Objetivo 3</v>
      </c>
      <c r="K19" s="62" t="str">
        <f>Resumen!$O$6</f>
        <v>X</v>
      </c>
      <c r="L19" s="20" t="str">
        <f t="shared" si="16"/>
        <v>EVIDENCIAS POR COMPLETAR SEGUNDO SEMESTRE</v>
      </c>
      <c r="M19" s="62">
        <f t="shared" si="17"/>
        <v>0.84789473684210526</v>
      </c>
      <c r="N19" s="20">
        <v>2025</v>
      </c>
    </row>
    <row r="20" spans="1:14" ht="14.25" customHeight="1">
      <c r="A20" s="20">
        <f t="shared" si="9"/>
        <v>2</v>
      </c>
      <c r="B20" s="159" t="s">
        <v>26</v>
      </c>
      <c r="C20" s="20" t="str">
        <f t="shared" si="10"/>
        <v>Dra. Germania Díaz</v>
      </c>
      <c r="D20" s="20" t="str">
        <f t="shared" si="11"/>
        <v>ENTREGADO</v>
      </c>
      <c r="E20" s="20" t="str">
        <f t="shared" si="12"/>
        <v>ENTREGADO</v>
      </c>
      <c r="F20" s="20" t="str">
        <f t="shared" si="13"/>
        <v>ENTREGADO</v>
      </c>
      <c r="G20" s="20" t="str">
        <f t="shared" si="14"/>
        <v>S/N</v>
      </c>
      <c r="H20" s="20" t="str">
        <f t="shared" si="15"/>
        <v>S/N</v>
      </c>
      <c r="I20" s="20" t="str">
        <f>Resumen!$P$3</f>
        <v>Estrategia 3</v>
      </c>
      <c r="J20" s="62" t="str">
        <f>Resumen!$P$4</f>
        <v>Objetivo 1</v>
      </c>
      <c r="K20" s="62" t="str">
        <f>Resumen!$P$6</f>
        <v>X</v>
      </c>
      <c r="L20" s="20" t="str">
        <f t="shared" si="16"/>
        <v>EVIDENCIAS POR COMPLETAR SEGUNDO SEMESTRE</v>
      </c>
      <c r="M20" s="62">
        <f t="shared" si="17"/>
        <v>0.84789473684210526</v>
      </c>
      <c r="N20" s="20">
        <v>2025</v>
      </c>
    </row>
    <row r="21" spans="1:14" ht="14.25" customHeight="1">
      <c r="A21" s="20">
        <f t="shared" si="9"/>
        <v>2</v>
      </c>
      <c r="B21" s="159" t="s">
        <v>26</v>
      </c>
      <c r="C21" s="20" t="str">
        <f t="shared" si="10"/>
        <v>Dra. Germania Díaz</v>
      </c>
      <c r="D21" s="20" t="str">
        <f t="shared" si="11"/>
        <v>ENTREGADO</v>
      </c>
      <c r="E21" s="20" t="str">
        <f t="shared" si="12"/>
        <v>ENTREGADO</v>
      </c>
      <c r="F21" s="20" t="str">
        <f t="shared" si="13"/>
        <v>ENTREGADO</v>
      </c>
      <c r="G21" s="20" t="str">
        <f t="shared" si="14"/>
        <v>S/N</v>
      </c>
      <c r="H21" s="20" t="str">
        <f t="shared" si="15"/>
        <v>S/N</v>
      </c>
      <c r="I21" s="20" t="str">
        <f>$I$9</f>
        <v>Estrategia 3</v>
      </c>
      <c r="J21" s="62" t="str">
        <f>Resumen!$Q$4</f>
        <v>Objetivo 2</v>
      </c>
      <c r="K21" s="62" t="str">
        <f>Resumen!$Q$6</f>
        <v>X</v>
      </c>
      <c r="L21" s="20" t="str">
        <f t="shared" si="16"/>
        <v>EVIDENCIAS POR COMPLETAR SEGUNDO SEMESTRE</v>
      </c>
      <c r="M21" s="62">
        <f t="shared" si="17"/>
        <v>0.84789473684210526</v>
      </c>
      <c r="N21" s="20">
        <v>2025</v>
      </c>
    </row>
    <row r="22" spans="1:14" ht="14.25" customHeight="1">
      <c r="A22" s="20">
        <f t="shared" si="9"/>
        <v>2</v>
      </c>
      <c r="B22" s="159" t="s">
        <v>26</v>
      </c>
      <c r="C22" s="20" t="str">
        <f t="shared" si="10"/>
        <v>Dra. Germania Díaz</v>
      </c>
      <c r="D22" s="20" t="str">
        <f t="shared" si="11"/>
        <v>ENTREGADO</v>
      </c>
      <c r="E22" s="20" t="str">
        <f t="shared" si="12"/>
        <v>ENTREGADO</v>
      </c>
      <c r="F22" s="20" t="str">
        <f t="shared" si="13"/>
        <v>ENTREGADO</v>
      </c>
      <c r="G22" s="20" t="str">
        <f t="shared" si="14"/>
        <v>S/N</v>
      </c>
      <c r="H22" s="20" t="str">
        <f t="shared" si="15"/>
        <v>S/N</v>
      </c>
      <c r="I22" s="20" t="str">
        <f>$I$9</f>
        <v>Estrategia 3</v>
      </c>
      <c r="J22" s="62" t="str">
        <f>Resumen!$R$4</f>
        <v>Objetivo 3</v>
      </c>
      <c r="K22" s="62" t="str">
        <f>Resumen!$R$6</f>
        <v>X</v>
      </c>
      <c r="L22" s="20" t="str">
        <f t="shared" si="16"/>
        <v>EVIDENCIAS POR COMPLETAR SEGUNDO SEMESTRE</v>
      </c>
      <c r="M22" s="62">
        <f t="shared" si="17"/>
        <v>0.84789473684210526</v>
      </c>
      <c r="N22" s="20">
        <v>2025</v>
      </c>
    </row>
    <row r="23" spans="1:14" ht="14.25" customHeight="1">
      <c r="A23" s="20">
        <f t="shared" si="9"/>
        <v>2</v>
      </c>
      <c r="B23" s="159" t="s">
        <v>26</v>
      </c>
      <c r="C23" s="20" t="str">
        <f t="shared" si="10"/>
        <v>Dra. Germania Díaz</v>
      </c>
      <c r="D23" s="20" t="str">
        <f>$D$22</f>
        <v>ENTREGADO</v>
      </c>
      <c r="E23" s="20" t="str">
        <f t="shared" si="12"/>
        <v>ENTREGADO</v>
      </c>
      <c r="F23" s="20" t="str">
        <f t="shared" si="13"/>
        <v>ENTREGADO</v>
      </c>
      <c r="G23" s="20" t="str">
        <f t="shared" si="14"/>
        <v>S/N</v>
      </c>
      <c r="H23" s="20" t="str">
        <f t="shared" si="15"/>
        <v>S/N</v>
      </c>
      <c r="I23" s="20" t="str">
        <f>Resumen!$S$3</f>
        <v>Estrategia 4</v>
      </c>
      <c r="J23" s="62" t="str">
        <f>Resumen!$S$4</f>
        <v>Objetivo 1</v>
      </c>
      <c r="K23" s="62" t="str">
        <f>Resumen!$S$6</f>
        <v>X</v>
      </c>
      <c r="L23" s="20" t="str">
        <f t="shared" si="16"/>
        <v>EVIDENCIAS POR COMPLETAR SEGUNDO SEMESTRE</v>
      </c>
      <c r="M23" s="62">
        <f t="shared" si="17"/>
        <v>0.84789473684210526</v>
      </c>
      <c r="N23" s="20">
        <v>2025</v>
      </c>
    </row>
    <row r="24" spans="1:14" ht="14.25" customHeight="1">
      <c r="A24" s="20">
        <f>Resumen!A7</f>
        <v>3</v>
      </c>
      <c r="B24" s="159" t="s">
        <v>29</v>
      </c>
      <c r="C24" s="20" t="str">
        <f>Resumen!C7</f>
        <v>Mgtr. Paola Urgilés</v>
      </c>
      <c r="D24" s="20" t="str">
        <f>Resumen!D7</f>
        <v>ENTREGADO</v>
      </c>
      <c r="E24" s="20" t="str">
        <f>Resumen!E7</f>
        <v>ENTREGADO</v>
      </c>
      <c r="F24" s="20" t="str">
        <f>Resumen!F7</f>
        <v>ENTREGADO</v>
      </c>
      <c r="G24" s="20" t="str">
        <f>Resumen!G7</f>
        <v>S/N</v>
      </c>
      <c r="H24" s="20" t="str">
        <f>Resumen!H7</f>
        <v>S/N</v>
      </c>
      <c r="I24" s="20" t="str">
        <f t="shared" ref="I24:J43" si="18">I13</f>
        <v>Estrategia 1</v>
      </c>
      <c r="J24" s="62" t="str">
        <f t="shared" si="18"/>
        <v>Objetivo 1</v>
      </c>
      <c r="K24" s="20" t="str">
        <f>Resumen!$I$7</f>
        <v>X</v>
      </c>
      <c r="L24" s="20" t="str">
        <f>Resumen!T7</f>
        <v>EVIDENCIAS POR COMPLETAR SEGUNDO SEMESTRE</v>
      </c>
      <c r="M24" s="62">
        <f>Resumen!U7</f>
        <v>0.53947368421052633</v>
      </c>
      <c r="N24" s="20">
        <v>2025</v>
      </c>
    </row>
    <row r="25" spans="1:14" ht="14.25" customHeight="1">
      <c r="A25" s="20">
        <f t="shared" ref="A25:A34" si="19">$A$24</f>
        <v>3</v>
      </c>
      <c r="B25" s="159" t="s">
        <v>29</v>
      </c>
      <c r="C25" s="20" t="str">
        <f t="shared" ref="C25:C34" si="20">$C$24</f>
        <v>Mgtr. Paola Urgilés</v>
      </c>
      <c r="D25" s="20" t="str">
        <f t="shared" ref="D25:D34" si="21">$D$24</f>
        <v>ENTREGADO</v>
      </c>
      <c r="E25" s="20" t="str">
        <f t="shared" ref="E25:E34" si="22">$E$24</f>
        <v>ENTREGADO</v>
      </c>
      <c r="F25" s="20" t="str">
        <f t="shared" ref="F25:F34" si="23">$F$24</f>
        <v>ENTREGADO</v>
      </c>
      <c r="G25" s="20" t="str">
        <f t="shared" ref="G25:G34" si="24">$G$24</f>
        <v>S/N</v>
      </c>
      <c r="H25" s="20" t="str">
        <f t="shared" ref="H25:H34" si="25">$H$24</f>
        <v>S/N</v>
      </c>
      <c r="I25" s="20" t="str">
        <f t="shared" si="18"/>
        <v>Estrategia 1</v>
      </c>
      <c r="J25" s="62" t="str">
        <f t="shared" si="18"/>
        <v>Objetivo 2</v>
      </c>
      <c r="K25" s="20" t="str">
        <f>Resumen!$J$7</f>
        <v>X</v>
      </c>
      <c r="L25" s="20" t="str">
        <f t="shared" ref="L25:L34" si="26">$L$24</f>
        <v>EVIDENCIAS POR COMPLETAR SEGUNDO SEMESTRE</v>
      </c>
      <c r="M25" s="62">
        <f t="shared" ref="M25:M34" si="27">$M$24</f>
        <v>0.53947368421052633</v>
      </c>
      <c r="N25" s="20">
        <v>2025</v>
      </c>
    </row>
    <row r="26" spans="1:14" ht="14.25" customHeight="1">
      <c r="A26" s="20">
        <f t="shared" si="19"/>
        <v>3</v>
      </c>
      <c r="B26" s="159" t="s">
        <v>29</v>
      </c>
      <c r="C26" s="20" t="str">
        <f t="shared" si="20"/>
        <v>Mgtr. Paola Urgilés</v>
      </c>
      <c r="D26" s="20" t="str">
        <f t="shared" si="21"/>
        <v>ENTREGADO</v>
      </c>
      <c r="E26" s="20" t="str">
        <f t="shared" si="22"/>
        <v>ENTREGADO</v>
      </c>
      <c r="F26" s="20" t="str">
        <f t="shared" si="23"/>
        <v>ENTREGADO</v>
      </c>
      <c r="G26" s="20" t="str">
        <f t="shared" si="24"/>
        <v>S/N</v>
      </c>
      <c r="H26" s="20" t="str">
        <f t="shared" si="25"/>
        <v>S/N</v>
      </c>
      <c r="I26" s="20" t="str">
        <f t="shared" si="18"/>
        <v>Estrategia 1</v>
      </c>
      <c r="J26" s="62" t="str">
        <f t="shared" si="18"/>
        <v>Objetivo 3</v>
      </c>
      <c r="K26" s="20" t="str">
        <f>Resumen!$K$7</f>
        <v>x</v>
      </c>
      <c r="L26" s="20" t="str">
        <f t="shared" si="26"/>
        <v>EVIDENCIAS POR COMPLETAR SEGUNDO SEMESTRE</v>
      </c>
      <c r="M26" s="62">
        <f t="shared" si="27"/>
        <v>0.53947368421052633</v>
      </c>
      <c r="N26" s="20">
        <v>2025</v>
      </c>
    </row>
    <row r="27" spans="1:14" ht="14.25" customHeight="1">
      <c r="A27" s="20">
        <f t="shared" si="19"/>
        <v>3</v>
      </c>
      <c r="B27" s="159" t="s">
        <v>29</v>
      </c>
      <c r="C27" s="20" t="str">
        <f t="shared" si="20"/>
        <v>Mgtr. Paola Urgilés</v>
      </c>
      <c r="D27" s="20" t="str">
        <f t="shared" si="21"/>
        <v>ENTREGADO</v>
      </c>
      <c r="E27" s="20" t="str">
        <f t="shared" si="22"/>
        <v>ENTREGADO</v>
      </c>
      <c r="F27" s="20" t="str">
        <f t="shared" si="23"/>
        <v>ENTREGADO</v>
      </c>
      <c r="G27" s="20" t="str">
        <f t="shared" si="24"/>
        <v>S/N</v>
      </c>
      <c r="H27" s="20" t="str">
        <f t="shared" si="25"/>
        <v>S/N</v>
      </c>
      <c r="I27" s="20" t="str">
        <f t="shared" si="18"/>
        <v>Estrategia 1</v>
      </c>
      <c r="J27" s="62" t="str">
        <f t="shared" si="18"/>
        <v>Objetivo 4</v>
      </c>
      <c r="K27" s="20" t="str">
        <f>Resumen!$L$7</f>
        <v>x</v>
      </c>
      <c r="L27" s="20" t="str">
        <f t="shared" si="26"/>
        <v>EVIDENCIAS POR COMPLETAR SEGUNDO SEMESTRE</v>
      </c>
      <c r="M27" s="62">
        <f t="shared" si="27"/>
        <v>0.53947368421052633</v>
      </c>
      <c r="N27" s="20">
        <v>2025</v>
      </c>
    </row>
    <row r="28" spans="1:14" ht="14.25" customHeight="1">
      <c r="A28" s="20">
        <f t="shared" si="19"/>
        <v>3</v>
      </c>
      <c r="B28" s="159" t="s">
        <v>29</v>
      </c>
      <c r="C28" s="20" t="str">
        <f t="shared" si="20"/>
        <v>Mgtr. Paola Urgilés</v>
      </c>
      <c r="D28" s="20" t="str">
        <f t="shared" si="21"/>
        <v>ENTREGADO</v>
      </c>
      <c r="E28" s="20" t="str">
        <f t="shared" si="22"/>
        <v>ENTREGADO</v>
      </c>
      <c r="F28" s="20" t="str">
        <f t="shared" si="23"/>
        <v>ENTREGADO</v>
      </c>
      <c r="G28" s="20" t="str">
        <f t="shared" si="24"/>
        <v>S/N</v>
      </c>
      <c r="H28" s="20" t="str">
        <f t="shared" si="25"/>
        <v>S/N</v>
      </c>
      <c r="I28" s="20" t="str">
        <f t="shared" si="18"/>
        <v>Estrategia 2</v>
      </c>
      <c r="J28" s="62" t="str">
        <f t="shared" si="18"/>
        <v>Objetivo 1</v>
      </c>
      <c r="K28" s="20" t="str">
        <f>Resumen!$M$7</f>
        <v>x</v>
      </c>
      <c r="L28" s="20" t="str">
        <f t="shared" si="26"/>
        <v>EVIDENCIAS POR COMPLETAR SEGUNDO SEMESTRE</v>
      </c>
      <c r="M28" s="62">
        <f t="shared" si="27"/>
        <v>0.53947368421052633</v>
      </c>
      <c r="N28" s="20">
        <v>2025</v>
      </c>
    </row>
    <row r="29" spans="1:14" ht="14.25" customHeight="1">
      <c r="A29" s="20">
        <f t="shared" si="19"/>
        <v>3</v>
      </c>
      <c r="B29" s="159" t="s">
        <v>29</v>
      </c>
      <c r="C29" s="20" t="str">
        <f t="shared" si="20"/>
        <v>Mgtr. Paola Urgilés</v>
      </c>
      <c r="D29" s="20" t="str">
        <f t="shared" si="21"/>
        <v>ENTREGADO</v>
      </c>
      <c r="E29" s="20" t="str">
        <f t="shared" si="22"/>
        <v>ENTREGADO</v>
      </c>
      <c r="F29" s="20" t="str">
        <f t="shared" si="23"/>
        <v>ENTREGADO</v>
      </c>
      <c r="G29" s="20" t="str">
        <f t="shared" si="24"/>
        <v>S/N</v>
      </c>
      <c r="H29" s="20" t="str">
        <f t="shared" si="25"/>
        <v>S/N</v>
      </c>
      <c r="I29" s="20" t="str">
        <f t="shared" si="18"/>
        <v>Estrategia 2</v>
      </c>
      <c r="J29" s="62" t="str">
        <f t="shared" si="18"/>
        <v>Objetivo 2</v>
      </c>
      <c r="K29" s="20" t="str">
        <f>Resumen!$N$7</f>
        <v>x</v>
      </c>
      <c r="L29" s="20" t="str">
        <f t="shared" si="26"/>
        <v>EVIDENCIAS POR COMPLETAR SEGUNDO SEMESTRE</v>
      </c>
      <c r="M29" s="62">
        <f t="shared" si="27"/>
        <v>0.53947368421052633</v>
      </c>
      <c r="N29" s="20">
        <v>2025</v>
      </c>
    </row>
    <row r="30" spans="1:14" ht="14.25" customHeight="1">
      <c r="A30" s="20">
        <f t="shared" si="19"/>
        <v>3</v>
      </c>
      <c r="B30" s="159" t="s">
        <v>29</v>
      </c>
      <c r="C30" s="20" t="str">
        <f t="shared" si="20"/>
        <v>Mgtr. Paola Urgilés</v>
      </c>
      <c r="D30" s="20" t="str">
        <f t="shared" si="21"/>
        <v>ENTREGADO</v>
      </c>
      <c r="E30" s="20" t="str">
        <f t="shared" si="22"/>
        <v>ENTREGADO</v>
      </c>
      <c r="F30" s="20" t="str">
        <f t="shared" si="23"/>
        <v>ENTREGADO</v>
      </c>
      <c r="G30" s="20" t="str">
        <f t="shared" si="24"/>
        <v>S/N</v>
      </c>
      <c r="H30" s="20" t="str">
        <f t="shared" si="25"/>
        <v>S/N</v>
      </c>
      <c r="I30" s="20" t="str">
        <f t="shared" si="18"/>
        <v>Estrategia 2</v>
      </c>
      <c r="J30" s="62" t="str">
        <f t="shared" si="18"/>
        <v>Objetivo 3</v>
      </c>
      <c r="K30" s="20" t="str">
        <f>Resumen!$O$7</f>
        <v>X</v>
      </c>
      <c r="L30" s="20" t="str">
        <f t="shared" si="26"/>
        <v>EVIDENCIAS POR COMPLETAR SEGUNDO SEMESTRE</v>
      </c>
      <c r="M30" s="62">
        <f t="shared" si="27"/>
        <v>0.53947368421052633</v>
      </c>
      <c r="N30" s="20">
        <v>2025</v>
      </c>
    </row>
    <row r="31" spans="1:14" ht="14.25" customHeight="1">
      <c r="A31" s="20">
        <f t="shared" si="19"/>
        <v>3</v>
      </c>
      <c r="B31" s="159" t="s">
        <v>29</v>
      </c>
      <c r="C31" s="20" t="str">
        <f t="shared" si="20"/>
        <v>Mgtr. Paola Urgilés</v>
      </c>
      <c r="D31" s="20" t="str">
        <f t="shared" si="21"/>
        <v>ENTREGADO</v>
      </c>
      <c r="E31" s="20" t="str">
        <f t="shared" si="22"/>
        <v>ENTREGADO</v>
      </c>
      <c r="F31" s="20" t="str">
        <f t="shared" si="23"/>
        <v>ENTREGADO</v>
      </c>
      <c r="G31" s="20" t="str">
        <f t="shared" si="24"/>
        <v>S/N</v>
      </c>
      <c r="H31" s="20" t="str">
        <f t="shared" si="25"/>
        <v>S/N</v>
      </c>
      <c r="I31" s="20" t="str">
        <f t="shared" si="18"/>
        <v>Estrategia 3</v>
      </c>
      <c r="J31" s="62" t="str">
        <f t="shared" si="18"/>
        <v>Objetivo 1</v>
      </c>
      <c r="K31" s="20" t="str">
        <f>Resumen!$P$7</f>
        <v>X</v>
      </c>
      <c r="L31" s="20" t="str">
        <f t="shared" si="26"/>
        <v>EVIDENCIAS POR COMPLETAR SEGUNDO SEMESTRE</v>
      </c>
      <c r="M31" s="62">
        <f t="shared" si="27"/>
        <v>0.53947368421052633</v>
      </c>
      <c r="N31" s="20">
        <v>2025</v>
      </c>
    </row>
    <row r="32" spans="1:14" ht="14.25" customHeight="1">
      <c r="A32" s="20">
        <f t="shared" si="19"/>
        <v>3</v>
      </c>
      <c r="B32" s="159" t="s">
        <v>29</v>
      </c>
      <c r="C32" s="20" t="str">
        <f t="shared" si="20"/>
        <v>Mgtr. Paola Urgilés</v>
      </c>
      <c r="D32" s="20" t="str">
        <f t="shared" si="21"/>
        <v>ENTREGADO</v>
      </c>
      <c r="E32" s="20" t="str">
        <f t="shared" si="22"/>
        <v>ENTREGADO</v>
      </c>
      <c r="F32" s="20" t="str">
        <f t="shared" si="23"/>
        <v>ENTREGADO</v>
      </c>
      <c r="G32" s="20" t="str">
        <f t="shared" si="24"/>
        <v>S/N</v>
      </c>
      <c r="H32" s="20" t="str">
        <f t="shared" si="25"/>
        <v>S/N</v>
      </c>
      <c r="I32" s="20" t="str">
        <f t="shared" si="18"/>
        <v>Estrategia 3</v>
      </c>
      <c r="J32" s="62" t="str">
        <f t="shared" si="18"/>
        <v>Objetivo 2</v>
      </c>
      <c r="K32" s="20" t="str">
        <f>Resumen!$Q$7</f>
        <v>X</v>
      </c>
      <c r="L32" s="20" t="str">
        <f t="shared" si="26"/>
        <v>EVIDENCIAS POR COMPLETAR SEGUNDO SEMESTRE</v>
      </c>
      <c r="M32" s="62">
        <f t="shared" si="27"/>
        <v>0.53947368421052633</v>
      </c>
      <c r="N32" s="20">
        <v>2025</v>
      </c>
    </row>
    <row r="33" spans="1:14" ht="14.25" customHeight="1">
      <c r="A33" s="20">
        <f t="shared" si="19"/>
        <v>3</v>
      </c>
      <c r="B33" s="159" t="s">
        <v>29</v>
      </c>
      <c r="C33" s="20" t="str">
        <f t="shared" si="20"/>
        <v>Mgtr. Paola Urgilés</v>
      </c>
      <c r="D33" s="20" t="str">
        <f t="shared" si="21"/>
        <v>ENTREGADO</v>
      </c>
      <c r="E33" s="20" t="str">
        <f t="shared" si="22"/>
        <v>ENTREGADO</v>
      </c>
      <c r="F33" s="20" t="str">
        <f t="shared" si="23"/>
        <v>ENTREGADO</v>
      </c>
      <c r="G33" s="20" t="str">
        <f t="shared" si="24"/>
        <v>S/N</v>
      </c>
      <c r="H33" s="20" t="str">
        <f t="shared" si="25"/>
        <v>S/N</v>
      </c>
      <c r="I33" s="20" t="str">
        <f t="shared" si="18"/>
        <v>Estrategia 3</v>
      </c>
      <c r="J33" s="62" t="str">
        <f t="shared" si="18"/>
        <v>Objetivo 3</v>
      </c>
      <c r="K33" s="20" t="str">
        <f>Resumen!$R$7</f>
        <v>X</v>
      </c>
      <c r="L33" s="20" t="str">
        <f t="shared" si="26"/>
        <v>EVIDENCIAS POR COMPLETAR SEGUNDO SEMESTRE</v>
      </c>
      <c r="M33" s="62">
        <f t="shared" si="27"/>
        <v>0.53947368421052633</v>
      </c>
      <c r="N33" s="20">
        <v>2025</v>
      </c>
    </row>
    <row r="34" spans="1:14" ht="14.25" customHeight="1">
      <c r="A34" s="20">
        <f t="shared" si="19"/>
        <v>3</v>
      </c>
      <c r="B34" s="159" t="s">
        <v>29</v>
      </c>
      <c r="C34" s="20" t="str">
        <f t="shared" si="20"/>
        <v>Mgtr. Paola Urgilés</v>
      </c>
      <c r="D34" s="20" t="str">
        <f t="shared" si="21"/>
        <v>ENTREGADO</v>
      </c>
      <c r="E34" s="20" t="str">
        <f t="shared" si="22"/>
        <v>ENTREGADO</v>
      </c>
      <c r="F34" s="20" t="str">
        <f t="shared" si="23"/>
        <v>ENTREGADO</v>
      </c>
      <c r="G34" s="20" t="str">
        <f t="shared" si="24"/>
        <v>S/N</v>
      </c>
      <c r="H34" s="20" t="str">
        <f t="shared" si="25"/>
        <v>S/N</v>
      </c>
      <c r="I34" s="20" t="str">
        <f t="shared" si="18"/>
        <v>Estrategia 4</v>
      </c>
      <c r="J34" s="62" t="str">
        <f t="shared" si="18"/>
        <v>Objetivo 1</v>
      </c>
      <c r="K34" s="20" t="str">
        <f>Resumen!$S$7</f>
        <v>X</v>
      </c>
      <c r="L34" s="20" t="str">
        <f t="shared" si="26"/>
        <v>EVIDENCIAS POR COMPLETAR SEGUNDO SEMESTRE</v>
      </c>
      <c r="M34" s="62">
        <f t="shared" si="27"/>
        <v>0.53947368421052633</v>
      </c>
      <c r="N34" s="20">
        <v>2025</v>
      </c>
    </row>
    <row r="35" spans="1:14" ht="14.25" customHeight="1">
      <c r="A35" s="20">
        <f>Resumen!A8</f>
        <v>4</v>
      </c>
      <c r="B35" s="159" t="s">
        <v>31</v>
      </c>
      <c r="C35" s="20" t="str">
        <f>Resumen!C8</f>
        <v>Mgtr. Mónica Galarza</v>
      </c>
      <c r="D35" s="20" t="str">
        <f>Resumen!D8</f>
        <v>ENTREGADO</v>
      </c>
      <c r="E35" s="20" t="str">
        <f>Resumen!E8</f>
        <v>ENTREGADO</v>
      </c>
      <c r="F35" s="20" t="str">
        <f>Resumen!F8</f>
        <v>ENTREGADO</v>
      </c>
      <c r="G35" s="20" t="str">
        <f>Resumen!G8</f>
        <v>S/N</v>
      </c>
      <c r="H35" s="20" t="str">
        <f>Resumen!H8</f>
        <v>S/N</v>
      </c>
      <c r="I35" s="20" t="str">
        <f t="shared" si="18"/>
        <v>Estrategia 1</v>
      </c>
      <c r="J35" s="62" t="str">
        <f t="shared" si="18"/>
        <v>Objetivo 1</v>
      </c>
      <c r="K35" s="20" t="str">
        <f>Resumen!$I$8</f>
        <v>X</v>
      </c>
      <c r="L35" s="20" t="str">
        <f>Resumen!T8</f>
        <v>EVIDENCIAS POR COMPLETAR SEGUNDO SEMESTRE</v>
      </c>
      <c r="M35" s="62">
        <f>Resumen!U8</f>
        <v>0.97815789473684212</v>
      </c>
      <c r="N35" s="20">
        <v>2025</v>
      </c>
    </row>
    <row r="36" spans="1:14" ht="14.25" customHeight="1">
      <c r="A36" s="20">
        <f t="shared" ref="A36:A45" si="28">$A$35</f>
        <v>4</v>
      </c>
      <c r="B36" s="159" t="s">
        <v>31</v>
      </c>
      <c r="C36" s="20" t="str">
        <f t="shared" ref="C36:C45" si="29">$C$35</f>
        <v>Mgtr. Mónica Galarza</v>
      </c>
      <c r="D36" s="20" t="str">
        <f t="shared" ref="D36:D45" si="30">$D$35</f>
        <v>ENTREGADO</v>
      </c>
      <c r="E36" s="20" t="str">
        <f t="shared" ref="E36:E45" si="31">$E$35</f>
        <v>ENTREGADO</v>
      </c>
      <c r="F36" s="20" t="str">
        <f t="shared" ref="F36:F45" si="32">$F$35</f>
        <v>ENTREGADO</v>
      </c>
      <c r="G36" s="20" t="str">
        <f t="shared" ref="G36:G45" si="33">$G$35</f>
        <v>S/N</v>
      </c>
      <c r="H36" s="20" t="str">
        <f t="shared" ref="H36:H45" si="34">$H$35</f>
        <v>S/N</v>
      </c>
      <c r="I36" s="20" t="str">
        <f t="shared" si="18"/>
        <v>Estrategia 1</v>
      </c>
      <c r="J36" s="62" t="str">
        <f t="shared" si="18"/>
        <v>Objetivo 2</v>
      </c>
      <c r="K36" s="20" t="str">
        <f>Resumen!$J$8</f>
        <v>X</v>
      </c>
      <c r="L36" s="20" t="str">
        <f t="shared" ref="L36:L45" si="35">$L$35</f>
        <v>EVIDENCIAS POR COMPLETAR SEGUNDO SEMESTRE</v>
      </c>
      <c r="M36" s="62">
        <f t="shared" ref="M36:M45" si="36">$M$35</f>
        <v>0.97815789473684212</v>
      </c>
      <c r="N36" s="20">
        <v>2025</v>
      </c>
    </row>
    <row r="37" spans="1:14" ht="14.25" customHeight="1">
      <c r="A37" s="20">
        <f t="shared" si="28"/>
        <v>4</v>
      </c>
      <c r="B37" s="159" t="s">
        <v>31</v>
      </c>
      <c r="C37" s="20" t="str">
        <f t="shared" si="29"/>
        <v>Mgtr. Mónica Galarza</v>
      </c>
      <c r="D37" s="20" t="str">
        <f t="shared" si="30"/>
        <v>ENTREGADO</v>
      </c>
      <c r="E37" s="20" t="str">
        <f t="shared" si="31"/>
        <v>ENTREGADO</v>
      </c>
      <c r="F37" s="20" t="str">
        <f t="shared" si="32"/>
        <v>ENTREGADO</v>
      </c>
      <c r="G37" s="20" t="str">
        <f t="shared" si="33"/>
        <v>S/N</v>
      </c>
      <c r="H37" s="20" t="str">
        <f t="shared" si="34"/>
        <v>S/N</v>
      </c>
      <c r="I37" s="20" t="str">
        <f t="shared" si="18"/>
        <v>Estrategia 1</v>
      </c>
      <c r="J37" s="62" t="str">
        <f t="shared" si="18"/>
        <v>Objetivo 3</v>
      </c>
      <c r="K37" s="20" t="str">
        <f>Resumen!$K$8</f>
        <v>x</v>
      </c>
      <c r="L37" s="20" t="str">
        <f t="shared" si="35"/>
        <v>EVIDENCIAS POR COMPLETAR SEGUNDO SEMESTRE</v>
      </c>
      <c r="M37" s="62">
        <f t="shared" si="36"/>
        <v>0.97815789473684212</v>
      </c>
      <c r="N37" s="20">
        <v>2025</v>
      </c>
    </row>
    <row r="38" spans="1:14" ht="14.25" customHeight="1">
      <c r="A38" s="20">
        <f t="shared" si="28"/>
        <v>4</v>
      </c>
      <c r="B38" s="159" t="s">
        <v>31</v>
      </c>
      <c r="C38" s="20" t="str">
        <f t="shared" si="29"/>
        <v>Mgtr. Mónica Galarza</v>
      </c>
      <c r="D38" s="20" t="str">
        <f t="shared" si="30"/>
        <v>ENTREGADO</v>
      </c>
      <c r="E38" s="20" t="str">
        <f t="shared" si="31"/>
        <v>ENTREGADO</v>
      </c>
      <c r="F38" s="20" t="str">
        <f t="shared" si="32"/>
        <v>ENTREGADO</v>
      </c>
      <c r="G38" s="20" t="str">
        <f t="shared" si="33"/>
        <v>S/N</v>
      </c>
      <c r="H38" s="20" t="str">
        <f t="shared" si="34"/>
        <v>S/N</v>
      </c>
      <c r="I38" s="20" t="str">
        <f t="shared" si="18"/>
        <v>Estrategia 1</v>
      </c>
      <c r="J38" s="62" t="str">
        <f t="shared" si="18"/>
        <v>Objetivo 4</v>
      </c>
      <c r="K38" s="20" t="str">
        <f>Resumen!$L$8</f>
        <v>x</v>
      </c>
      <c r="L38" s="20" t="str">
        <f t="shared" si="35"/>
        <v>EVIDENCIAS POR COMPLETAR SEGUNDO SEMESTRE</v>
      </c>
      <c r="M38" s="62">
        <f t="shared" si="36"/>
        <v>0.97815789473684212</v>
      </c>
      <c r="N38" s="20">
        <v>2025</v>
      </c>
    </row>
    <row r="39" spans="1:14" ht="14.25" customHeight="1">
      <c r="A39" s="20">
        <f t="shared" si="28"/>
        <v>4</v>
      </c>
      <c r="B39" s="159" t="s">
        <v>31</v>
      </c>
      <c r="C39" s="20" t="str">
        <f t="shared" si="29"/>
        <v>Mgtr. Mónica Galarza</v>
      </c>
      <c r="D39" s="20" t="str">
        <f t="shared" si="30"/>
        <v>ENTREGADO</v>
      </c>
      <c r="E39" s="20" t="str">
        <f t="shared" si="31"/>
        <v>ENTREGADO</v>
      </c>
      <c r="F39" s="20" t="str">
        <f t="shared" si="32"/>
        <v>ENTREGADO</v>
      </c>
      <c r="G39" s="20" t="str">
        <f t="shared" si="33"/>
        <v>S/N</v>
      </c>
      <c r="H39" s="20" t="str">
        <f t="shared" si="34"/>
        <v>S/N</v>
      </c>
      <c r="I39" s="20" t="str">
        <f t="shared" si="18"/>
        <v>Estrategia 2</v>
      </c>
      <c r="J39" s="62" t="str">
        <f t="shared" si="18"/>
        <v>Objetivo 1</v>
      </c>
      <c r="K39" s="20" t="str">
        <f>Resumen!$M$8</f>
        <v>x</v>
      </c>
      <c r="L39" s="20" t="str">
        <f t="shared" si="35"/>
        <v>EVIDENCIAS POR COMPLETAR SEGUNDO SEMESTRE</v>
      </c>
      <c r="M39" s="62">
        <f t="shared" si="36"/>
        <v>0.97815789473684212</v>
      </c>
      <c r="N39" s="20">
        <v>2025</v>
      </c>
    </row>
    <row r="40" spans="1:14" ht="14.25" customHeight="1">
      <c r="A40" s="20">
        <f t="shared" si="28"/>
        <v>4</v>
      </c>
      <c r="B40" s="159" t="s">
        <v>31</v>
      </c>
      <c r="C40" s="20" t="str">
        <f t="shared" si="29"/>
        <v>Mgtr. Mónica Galarza</v>
      </c>
      <c r="D40" s="20" t="str">
        <f t="shared" si="30"/>
        <v>ENTREGADO</v>
      </c>
      <c r="E40" s="20" t="str">
        <f t="shared" si="31"/>
        <v>ENTREGADO</v>
      </c>
      <c r="F40" s="20" t="str">
        <f t="shared" si="32"/>
        <v>ENTREGADO</v>
      </c>
      <c r="G40" s="20" t="str">
        <f t="shared" si="33"/>
        <v>S/N</v>
      </c>
      <c r="H40" s="20" t="str">
        <f t="shared" si="34"/>
        <v>S/N</v>
      </c>
      <c r="I40" s="20" t="str">
        <f t="shared" si="18"/>
        <v>Estrategia 2</v>
      </c>
      <c r="J40" s="62" t="str">
        <f t="shared" si="18"/>
        <v>Objetivo 2</v>
      </c>
      <c r="K40" s="20" t="str">
        <f>Resumen!$N$8</f>
        <v>x</v>
      </c>
      <c r="L40" s="20" t="str">
        <f t="shared" si="35"/>
        <v>EVIDENCIAS POR COMPLETAR SEGUNDO SEMESTRE</v>
      </c>
      <c r="M40" s="62">
        <f t="shared" si="36"/>
        <v>0.97815789473684212</v>
      </c>
      <c r="N40" s="20">
        <v>2025</v>
      </c>
    </row>
    <row r="41" spans="1:14" ht="14.25" customHeight="1">
      <c r="A41" s="20">
        <f t="shared" si="28"/>
        <v>4</v>
      </c>
      <c r="B41" s="159" t="s">
        <v>31</v>
      </c>
      <c r="C41" s="20" t="str">
        <f t="shared" si="29"/>
        <v>Mgtr. Mónica Galarza</v>
      </c>
      <c r="D41" s="20" t="str">
        <f t="shared" si="30"/>
        <v>ENTREGADO</v>
      </c>
      <c r="E41" s="20" t="str">
        <f t="shared" si="31"/>
        <v>ENTREGADO</v>
      </c>
      <c r="F41" s="20" t="str">
        <f t="shared" si="32"/>
        <v>ENTREGADO</v>
      </c>
      <c r="G41" s="20" t="str">
        <f t="shared" si="33"/>
        <v>S/N</v>
      </c>
      <c r="H41" s="20" t="str">
        <f t="shared" si="34"/>
        <v>S/N</v>
      </c>
      <c r="I41" s="20" t="str">
        <f t="shared" si="18"/>
        <v>Estrategia 2</v>
      </c>
      <c r="J41" s="62" t="str">
        <f t="shared" si="18"/>
        <v>Objetivo 3</v>
      </c>
      <c r="K41" s="20" t="str">
        <f>Resumen!$O$8</f>
        <v>X</v>
      </c>
      <c r="L41" s="20" t="str">
        <f t="shared" si="35"/>
        <v>EVIDENCIAS POR COMPLETAR SEGUNDO SEMESTRE</v>
      </c>
      <c r="M41" s="62">
        <f t="shared" si="36"/>
        <v>0.97815789473684212</v>
      </c>
      <c r="N41" s="20">
        <v>2025</v>
      </c>
    </row>
    <row r="42" spans="1:14" ht="14.25" customHeight="1">
      <c r="A42" s="20">
        <f t="shared" si="28"/>
        <v>4</v>
      </c>
      <c r="B42" s="159" t="s">
        <v>31</v>
      </c>
      <c r="C42" s="20" t="str">
        <f t="shared" si="29"/>
        <v>Mgtr. Mónica Galarza</v>
      </c>
      <c r="D42" s="20" t="str">
        <f t="shared" si="30"/>
        <v>ENTREGADO</v>
      </c>
      <c r="E42" s="20" t="str">
        <f t="shared" si="31"/>
        <v>ENTREGADO</v>
      </c>
      <c r="F42" s="20" t="str">
        <f t="shared" si="32"/>
        <v>ENTREGADO</v>
      </c>
      <c r="G42" s="20" t="str">
        <f t="shared" si="33"/>
        <v>S/N</v>
      </c>
      <c r="H42" s="20" t="str">
        <f t="shared" si="34"/>
        <v>S/N</v>
      </c>
      <c r="I42" s="20" t="str">
        <f t="shared" si="18"/>
        <v>Estrategia 3</v>
      </c>
      <c r="J42" s="62" t="str">
        <f t="shared" si="18"/>
        <v>Objetivo 1</v>
      </c>
      <c r="K42" s="20" t="str">
        <f>Resumen!$P$8</f>
        <v>X</v>
      </c>
      <c r="L42" s="20" t="str">
        <f t="shared" si="35"/>
        <v>EVIDENCIAS POR COMPLETAR SEGUNDO SEMESTRE</v>
      </c>
      <c r="M42" s="62">
        <f t="shared" si="36"/>
        <v>0.97815789473684212</v>
      </c>
      <c r="N42" s="20">
        <v>2025</v>
      </c>
    </row>
    <row r="43" spans="1:14" ht="14.25" customHeight="1">
      <c r="A43" s="20">
        <f t="shared" si="28"/>
        <v>4</v>
      </c>
      <c r="B43" s="159" t="s">
        <v>31</v>
      </c>
      <c r="C43" s="20" t="str">
        <f t="shared" si="29"/>
        <v>Mgtr. Mónica Galarza</v>
      </c>
      <c r="D43" s="20" t="str">
        <f t="shared" si="30"/>
        <v>ENTREGADO</v>
      </c>
      <c r="E43" s="20" t="str">
        <f t="shared" si="31"/>
        <v>ENTREGADO</v>
      </c>
      <c r="F43" s="20" t="str">
        <f t="shared" si="32"/>
        <v>ENTREGADO</v>
      </c>
      <c r="G43" s="20" t="str">
        <f t="shared" si="33"/>
        <v>S/N</v>
      </c>
      <c r="H43" s="20" t="str">
        <f t="shared" si="34"/>
        <v>S/N</v>
      </c>
      <c r="I43" s="20" t="str">
        <f t="shared" si="18"/>
        <v>Estrategia 3</v>
      </c>
      <c r="J43" s="62" t="str">
        <f t="shared" si="18"/>
        <v>Objetivo 2</v>
      </c>
      <c r="K43" s="20" t="str">
        <f>Resumen!$Q$8</f>
        <v>X</v>
      </c>
      <c r="L43" s="20" t="str">
        <f t="shared" si="35"/>
        <v>EVIDENCIAS POR COMPLETAR SEGUNDO SEMESTRE</v>
      </c>
      <c r="M43" s="62">
        <f t="shared" si="36"/>
        <v>0.97815789473684212</v>
      </c>
      <c r="N43" s="20">
        <v>2025</v>
      </c>
    </row>
    <row r="44" spans="1:14" ht="14.25" customHeight="1">
      <c r="A44" s="20">
        <f t="shared" si="28"/>
        <v>4</v>
      </c>
      <c r="B44" s="159" t="s">
        <v>31</v>
      </c>
      <c r="C44" s="20" t="str">
        <f t="shared" si="29"/>
        <v>Mgtr. Mónica Galarza</v>
      </c>
      <c r="D44" s="20" t="str">
        <f t="shared" si="30"/>
        <v>ENTREGADO</v>
      </c>
      <c r="E44" s="20" t="str">
        <f t="shared" si="31"/>
        <v>ENTREGADO</v>
      </c>
      <c r="F44" s="20" t="str">
        <f t="shared" si="32"/>
        <v>ENTREGADO</v>
      </c>
      <c r="G44" s="20" t="str">
        <f t="shared" si="33"/>
        <v>S/N</v>
      </c>
      <c r="H44" s="20" t="str">
        <f t="shared" si="34"/>
        <v>S/N</v>
      </c>
      <c r="I44" s="20" t="str">
        <f t="shared" ref="I44:J63" si="37">I33</f>
        <v>Estrategia 3</v>
      </c>
      <c r="J44" s="62" t="str">
        <f t="shared" si="37"/>
        <v>Objetivo 3</v>
      </c>
      <c r="K44" s="20" t="str">
        <f>Resumen!$R$8</f>
        <v>X</v>
      </c>
      <c r="L44" s="20" t="str">
        <f t="shared" si="35"/>
        <v>EVIDENCIAS POR COMPLETAR SEGUNDO SEMESTRE</v>
      </c>
      <c r="M44" s="62">
        <f t="shared" si="36"/>
        <v>0.97815789473684212</v>
      </c>
      <c r="N44" s="20">
        <v>2025</v>
      </c>
    </row>
    <row r="45" spans="1:14" ht="14.25" customHeight="1">
      <c r="A45" s="20">
        <f t="shared" si="28"/>
        <v>4</v>
      </c>
      <c r="B45" s="159" t="s">
        <v>31</v>
      </c>
      <c r="C45" s="20" t="str">
        <f t="shared" si="29"/>
        <v>Mgtr. Mónica Galarza</v>
      </c>
      <c r="D45" s="20" t="str">
        <f t="shared" si="30"/>
        <v>ENTREGADO</v>
      </c>
      <c r="E45" s="20" t="str">
        <f t="shared" si="31"/>
        <v>ENTREGADO</v>
      </c>
      <c r="F45" s="20" t="str">
        <f t="shared" si="32"/>
        <v>ENTREGADO</v>
      </c>
      <c r="G45" s="20" t="str">
        <f t="shared" si="33"/>
        <v>S/N</v>
      </c>
      <c r="H45" s="20" t="str">
        <f t="shared" si="34"/>
        <v>S/N</v>
      </c>
      <c r="I45" s="20" t="str">
        <f t="shared" si="37"/>
        <v>Estrategia 4</v>
      </c>
      <c r="J45" s="62" t="str">
        <f t="shared" si="37"/>
        <v>Objetivo 1</v>
      </c>
      <c r="K45" s="20" t="str">
        <f>Resumen!$S$8</f>
        <v>X</v>
      </c>
      <c r="L45" s="20" t="str">
        <f t="shared" si="35"/>
        <v>EVIDENCIAS POR COMPLETAR SEGUNDO SEMESTRE</v>
      </c>
      <c r="M45" s="62">
        <f t="shared" si="36"/>
        <v>0.97815789473684212</v>
      </c>
      <c r="N45" s="20">
        <v>2025</v>
      </c>
    </row>
    <row r="46" spans="1:14" ht="14.25" customHeight="1">
      <c r="A46" s="20">
        <f>Resumen!A9</f>
        <v>5</v>
      </c>
      <c r="B46" s="159" t="s">
        <v>33</v>
      </c>
      <c r="C46" s="20" t="str">
        <f>Resumen!C9</f>
        <v>Mgtr. Priscila Bernal</v>
      </c>
      <c r="D46" s="20" t="str">
        <f>Resumen!D9</f>
        <v>ENTREGADO</v>
      </c>
      <c r="E46" s="20" t="str">
        <f>Resumen!E9</f>
        <v>ENTREGADO</v>
      </c>
      <c r="F46" s="20" t="str">
        <f>Resumen!F9</f>
        <v>ENTREGADO</v>
      </c>
      <c r="G46" s="20" t="str">
        <f>Resumen!G9</f>
        <v>S/N</v>
      </c>
      <c r="H46" s="20" t="str">
        <f>Resumen!H9</f>
        <v>S/N</v>
      </c>
      <c r="I46" s="20" t="str">
        <f t="shared" si="37"/>
        <v>Estrategia 1</v>
      </c>
      <c r="J46" s="62" t="str">
        <f t="shared" si="37"/>
        <v>Objetivo 1</v>
      </c>
      <c r="K46" s="20" t="str">
        <f>Resumen!$I$9</f>
        <v>X</v>
      </c>
      <c r="L46" s="20" t="str">
        <f>Resumen!T9</f>
        <v>EVIDENCIAS POR COMPLETAR SEGUNDO SEMESTRE</v>
      </c>
      <c r="M46" s="62">
        <f>Resumen!U9</f>
        <v>0.875</v>
      </c>
      <c r="N46" s="20">
        <v>2025</v>
      </c>
    </row>
    <row r="47" spans="1:14" ht="14.25" customHeight="1">
      <c r="A47" s="20">
        <f t="shared" ref="A47:A56" si="38">$A$46</f>
        <v>5</v>
      </c>
      <c r="B47" s="159" t="s">
        <v>33</v>
      </c>
      <c r="C47" s="20" t="str">
        <f t="shared" ref="C47:C56" si="39">$C$46</f>
        <v>Mgtr. Priscila Bernal</v>
      </c>
      <c r="D47" s="20" t="str">
        <f t="shared" ref="D47:D56" si="40">$D$46</f>
        <v>ENTREGADO</v>
      </c>
      <c r="E47" s="20" t="str">
        <f t="shared" ref="E47:E56" si="41">$E$46</f>
        <v>ENTREGADO</v>
      </c>
      <c r="F47" s="20" t="str">
        <f t="shared" ref="F47:F56" si="42">$F$46</f>
        <v>ENTREGADO</v>
      </c>
      <c r="G47" s="20" t="str">
        <f t="shared" ref="G47:G56" si="43">$G$46</f>
        <v>S/N</v>
      </c>
      <c r="H47" s="20" t="str">
        <f t="shared" ref="H47:H56" si="44">$H$46</f>
        <v>S/N</v>
      </c>
      <c r="I47" s="20" t="str">
        <f t="shared" si="37"/>
        <v>Estrategia 1</v>
      </c>
      <c r="J47" s="62" t="str">
        <f t="shared" si="37"/>
        <v>Objetivo 2</v>
      </c>
      <c r="K47" s="20" t="str">
        <f>Resumen!$J$9</f>
        <v>X</v>
      </c>
      <c r="L47" s="20" t="str">
        <f t="shared" ref="L47:L56" si="45">$L$46</f>
        <v>EVIDENCIAS POR COMPLETAR SEGUNDO SEMESTRE</v>
      </c>
      <c r="M47" s="62">
        <f t="shared" ref="M47:M56" si="46">$M$46</f>
        <v>0.875</v>
      </c>
      <c r="N47" s="20">
        <v>2025</v>
      </c>
    </row>
    <row r="48" spans="1:14" ht="14.25" customHeight="1">
      <c r="A48" s="20">
        <f t="shared" si="38"/>
        <v>5</v>
      </c>
      <c r="B48" s="159" t="s">
        <v>33</v>
      </c>
      <c r="C48" s="20" t="str">
        <f t="shared" si="39"/>
        <v>Mgtr. Priscila Bernal</v>
      </c>
      <c r="D48" s="20" t="str">
        <f t="shared" si="40"/>
        <v>ENTREGADO</v>
      </c>
      <c r="E48" s="20" t="str">
        <f t="shared" si="41"/>
        <v>ENTREGADO</v>
      </c>
      <c r="F48" s="20" t="str">
        <f t="shared" si="42"/>
        <v>ENTREGADO</v>
      </c>
      <c r="G48" s="20" t="str">
        <f t="shared" si="43"/>
        <v>S/N</v>
      </c>
      <c r="H48" s="20" t="str">
        <f t="shared" si="44"/>
        <v>S/N</v>
      </c>
      <c r="I48" s="20" t="str">
        <f t="shared" si="37"/>
        <v>Estrategia 1</v>
      </c>
      <c r="J48" s="62" t="str">
        <f t="shared" si="37"/>
        <v>Objetivo 3</v>
      </c>
      <c r="K48" s="20" t="str">
        <f>Resumen!$K$9</f>
        <v>x</v>
      </c>
      <c r="L48" s="20" t="str">
        <f t="shared" si="45"/>
        <v>EVIDENCIAS POR COMPLETAR SEGUNDO SEMESTRE</v>
      </c>
      <c r="M48" s="62">
        <f t="shared" si="46"/>
        <v>0.875</v>
      </c>
      <c r="N48" s="20">
        <v>2025</v>
      </c>
    </row>
    <row r="49" spans="1:14" ht="14.25" customHeight="1">
      <c r="A49" s="20">
        <f t="shared" si="38"/>
        <v>5</v>
      </c>
      <c r="B49" s="159" t="s">
        <v>33</v>
      </c>
      <c r="C49" s="20" t="str">
        <f t="shared" si="39"/>
        <v>Mgtr. Priscila Bernal</v>
      </c>
      <c r="D49" s="20" t="str">
        <f t="shared" si="40"/>
        <v>ENTREGADO</v>
      </c>
      <c r="E49" s="20" t="str">
        <f t="shared" si="41"/>
        <v>ENTREGADO</v>
      </c>
      <c r="F49" s="20" t="str">
        <f t="shared" si="42"/>
        <v>ENTREGADO</v>
      </c>
      <c r="G49" s="20" t="str">
        <f t="shared" si="43"/>
        <v>S/N</v>
      </c>
      <c r="H49" s="20" t="str">
        <f t="shared" si="44"/>
        <v>S/N</v>
      </c>
      <c r="I49" s="20" t="str">
        <f t="shared" si="37"/>
        <v>Estrategia 1</v>
      </c>
      <c r="J49" s="62" t="str">
        <f t="shared" si="37"/>
        <v>Objetivo 4</v>
      </c>
      <c r="K49" s="20" t="str">
        <f>Resumen!$L$9</f>
        <v>x</v>
      </c>
      <c r="L49" s="20" t="str">
        <f t="shared" si="45"/>
        <v>EVIDENCIAS POR COMPLETAR SEGUNDO SEMESTRE</v>
      </c>
      <c r="M49" s="62">
        <f t="shared" si="46"/>
        <v>0.875</v>
      </c>
      <c r="N49" s="20">
        <v>2025</v>
      </c>
    </row>
    <row r="50" spans="1:14" ht="14.25" customHeight="1">
      <c r="A50" s="20">
        <f t="shared" si="38"/>
        <v>5</v>
      </c>
      <c r="B50" s="159" t="s">
        <v>33</v>
      </c>
      <c r="C50" s="20" t="str">
        <f t="shared" si="39"/>
        <v>Mgtr. Priscila Bernal</v>
      </c>
      <c r="D50" s="20" t="str">
        <f t="shared" si="40"/>
        <v>ENTREGADO</v>
      </c>
      <c r="E50" s="20" t="str">
        <f t="shared" si="41"/>
        <v>ENTREGADO</v>
      </c>
      <c r="F50" s="20" t="str">
        <f t="shared" si="42"/>
        <v>ENTREGADO</v>
      </c>
      <c r="G50" s="20" t="str">
        <f t="shared" si="43"/>
        <v>S/N</v>
      </c>
      <c r="H50" s="20" t="str">
        <f t="shared" si="44"/>
        <v>S/N</v>
      </c>
      <c r="I50" s="20" t="str">
        <f t="shared" si="37"/>
        <v>Estrategia 2</v>
      </c>
      <c r="J50" s="62" t="str">
        <f t="shared" si="37"/>
        <v>Objetivo 1</v>
      </c>
      <c r="K50" s="20" t="str">
        <f>Resumen!$M$9</f>
        <v>x</v>
      </c>
      <c r="L50" s="20" t="str">
        <f t="shared" si="45"/>
        <v>EVIDENCIAS POR COMPLETAR SEGUNDO SEMESTRE</v>
      </c>
      <c r="M50" s="62">
        <f t="shared" si="46"/>
        <v>0.875</v>
      </c>
      <c r="N50" s="20">
        <v>2025</v>
      </c>
    </row>
    <row r="51" spans="1:14" ht="14.25" customHeight="1">
      <c r="A51" s="20">
        <f t="shared" si="38"/>
        <v>5</v>
      </c>
      <c r="B51" s="159" t="s">
        <v>33</v>
      </c>
      <c r="C51" s="20" t="str">
        <f t="shared" si="39"/>
        <v>Mgtr. Priscila Bernal</v>
      </c>
      <c r="D51" s="20" t="str">
        <f t="shared" si="40"/>
        <v>ENTREGADO</v>
      </c>
      <c r="E51" s="20" t="str">
        <f t="shared" si="41"/>
        <v>ENTREGADO</v>
      </c>
      <c r="F51" s="20" t="str">
        <f t="shared" si="42"/>
        <v>ENTREGADO</v>
      </c>
      <c r="G51" s="20" t="str">
        <f t="shared" si="43"/>
        <v>S/N</v>
      </c>
      <c r="H51" s="20" t="str">
        <f t="shared" si="44"/>
        <v>S/N</v>
      </c>
      <c r="I51" s="20" t="str">
        <f t="shared" si="37"/>
        <v>Estrategia 2</v>
      </c>
      <c r="J51" s="62" t="str">
        <f t="shared" si="37"/>
        <v>Objetivo 2</v>
      </c>
      <c r="K51" s="20" t="str">
        <f>Resumen!$N$9</f>
        <v>x</v>
      </c>
      <c r="L51" s="20" t="str">
        <f t="shared" si="45"/>
        <v>EVIDENCIAS POR COMPLETAR SEGUNDO SEMESTRE</v>
      </c>
      <c r="M51" s="62">
        <f t="shared" si="46"/>
        <v>0.875</v>
      </c>
      <c r="N51" s="20">
        <v>2025</v>
      </c>
    </row>
    <row r="52" spans="1:14" ht="14.25" customHeight="1">
      <c r="A52" s="20">
        <f t="shared" si="38"/>
        <v>5</v>
      </c>
      <c r="B52" s="159" t="s">
        <v>33</v>
      </c>
      <c r="C52" s="20" t="str">
        <f t="shared" si="39"/>
        <v>Mgtr. Priscila Bernal</v>
      </c>
      <c r="D52" s="20" t="str">
        <f t="shared" si="40"/>
        <v>ENTREGADO</v>
      </c>
      <c r="E52" s="20" t="str">
        <f t="shared" si="41"/>
        <v>ENTREGADO</v>
      </c>
      <c r="F52" s="20" t="str">
        <f t="shared" si="42"/>
        <v>ENTREGADO</v>
      </c>
      <c r="G52" s="20" t="str">
        <f t="shared" si="43"/>
        <v>S/N</v>
      </c>
      <c r="H52" s="20" t="str">
        <f t="shared" si="44"/>
        <v>S/N</v>
      </c>
      <c r="I52" s="20" t="str">
        <f t="shared" si="37"/>
        <v>Estrategia 2</v>
      </c>
      <c r="J52" s="62" t="str">
        <f t="shared" si="37"/>
        <v>Objetivo 3</v>
      </c>
      <c r="K52" s="20" t="str">
        <f>Resumen!$O$9</f>
        <v>X</v>
      </c>
      <c r="L52" s="20" t="str">
        <f t="shared" si="45"/>
        <v>EVIDENCIAS POR COMPLETAR SEGUNDO SEMESTRE</v>
      </c>
      <c r="M52" s="62">
        <f t="shared" si="46"/>
        <v>0.875</v>
      </c>
      <c r="N52" s="20">
        <v>2025</v>
      </c>
    </row>
    <row r="53" spans="1:14" ht="14.25" customHeight="1">
      <c r="A53" s="20">
        <f t="shared" si="38"/>
        <v>5</v>
      </c>
      <c r="B53" s="159" t="s">
        <v>33</v>
      </c>
      <c r="C53" s="20" t="str">
        <f t="shared" si="39"/>
        <v>Mgtr. Priscila Bernal</v>
      </c>
      <c r="D53" s="20" t="str">
        <f t="shared" si="40"/>
        <v>ENTREGADO</v>
      </c>
      <c r="E53" s="20" t="str">
        <f t="shared" si="41"/>
        <v>ENTREGADO</v>
      </c>
      <c r="F53" s="20" t="str">
        <f t="shared" si="42"/>
        <v>ENTREGADO</v>
      </c>
      <c r="G53" s="20" t="str">
        <f t="shared" si="43"/>
        <v>S/N</v>
      </c>
      <c r="H53" s="20" t="str">
        <f t="shared" si="44"/>
        <v>S/N</v>
      </c>
      <c r="I53" s="20" t="str">
        <f t="shared" si="37"/>
        <v>Estrategia 3</v>
      </c>
      <c r="J53" s="62" t="str">
        <f t="shared" si="37"/>
        <v>Objetivo 1</v>
      </c>
      <c r="K53" s="20" t="str">
        <f>Resumen!$P$9</f>
        <v>X</v>
      </c>
      <c r="L53" s="20" t="str">
        <f t="shared" si="45"/>
        <v>EVIDENCIAS POR COMPLETAR SEGUNDO SEMESTRE</v>
      </c>
      <c r="M53" s="62">
        <f t="shared" si="46"/>
        <v>0.875</v>
      </c>
      <c r="N53" s="20">
        <v>2025</v>
      </c>
    </row>
    <row r="54" spans="1:14" ht="14.25" customHeight="1">
      <c r="A54" s="20">
        <f t="shared" si="38"/>
        <v>5</v>
      </c>
      <c r="B54" s="159" t="s">
        <v>33</v>
      </c>
      <c r="C54" s="20" t="str">
        <f t="shared" si="39"/>
        <v>Mgtr. Priscila Bernal</v>
      </c>
      <c r="D54" s="20" t="str">
        <f t="shared" si="40"/>
        <v>ENTREGADO</v>
      </c>
      <c r="E54" s="20" t="str">
        <f t="shared" si="41"/>
        <v>ENTREGADO</v>
      </c>
      <c r="F54" s="20" t="str">
        <f t="shared" si="42"/>
        <v>ENTREGADO</v>
      </c>
      <c r="G54" s="20" t="str">
        <f t="shared" si="43"/>
        <v>S/N</v>
      </c>
      <c r="H54" s="20" t="str">
        <f t="shared" si="44"/>
        <v>S/N</v>
      </c>
      <c r="I54" s="20" t="str">
        <f t="shared" si="37"/>
        <v>Estrategia 3</v>
      </c>
      <c r="J54" s="62" t="str">
        <f t="shared" si="37"/>
        <v>Objetivo 2</v>
      </c>
      <c r="K54" s="20" t="str">
        <f>Resumen!$Q$9</f>
        <v>X</v>
      </c>
      <c r="L54" s="20" t="str">
        <f t="shared" si="45"/>
        <v>EVIDENCIAS POR COMPLETAR SEGUNDO SEMESTRE</v>
      </c>
      <c r="M54" s="62">
        <f t="shared" si="46"/>
        <v>0.875</v>
      </c>
      <c r="N54" s="20">
        <v>2025</v>
      </c>
    </row>
    <row r="55" spans="1:14" ht="14.25" customHeight="1">
      <c r="A55" s="20">
        <f t="shared" si="38"/>
        <v>5</v>
      </c>
      <c r="B55" s="159" t="s">
        <v>33</v>
      </c>
      <c r="C55" s="20" t="str">
        <f t="shared" si="39"/>
        <v>Mgtr. Priscila Bernal</v>
      </c>
      <c r="D55" s="20" t="str">
        <f t="shared" si="40"/>
        <v>ENTREGADO</v>
      </c>
      <c r="E55" s="20" t="str">
        <f t="shared" si="41"/>
        <v>ENTREGADO</v>
      </c>
      <c r="F55" s="20" t="str">
        <f t="shared" si="42"/>
        <v>ENTREGADO</v>
      </c>
      <c r="G55" s="20" t="str">
        <f t="shared" si="43"/>
        <v>S/N</v>
      </c>
      <c r="H55" s="20" t="str">
        <f t="shared" si="44"/>
        <v>S/N</v>
      </c>
      <c r="I55" s="20" t="str">
        <f t="shared" si="37"/>
        <v>Estrategia 3</v>
      </c>
      <c r="J55" s="62" t="str">
        <f t="shared" si="37"/>
        <v>Objetivo 3</v>
      </c>
      <c r="K55" s="20" t="str">
        <f>Resumen!$R$9</f>
        <v>X</v>
      </c>
      <c r="L55" s="20" t="str">
        <f t="shared" si="45"/>
        <v>EVIDENCIAS POR COMPLETAR SEGUNDO SEMESTRE</v>
      </c>
      <c r="M55" s="62">
        <f t="shared" si="46"/>
        <v>0.875</v>
      </c>
      <c r="N55" s="20">
        <v>2025</v>
      </c>
    </row>
    <row r="56" spans="1:14" ht="14.25" customHeight="1">
      <c r="A56" s="20">
        <f t="shared" si="38"/>
        <v>5</v>
      </c>
      <c r="B56" s="159" t="s">
        <v>33</v>
      </c>
      <c r="C56" s="20" t="str">
        <f t="shared" si="39"/>
        <v>Mgtr. Priscila Bernal</v>
      </c>
      <c r="D56" s="20" t="str">
        <f t="shared" si="40"/>
        <v>ENTREGADO</v>
      </c>
      <c r="E56" s="20" t="str">
        <f t="shared" si="41"/>
        <v>ENTREGADO</v>
      </c>
      <c r="F56" s="20" t="str">
        <f t="shared" si="42"/>
        <v>ENTREGADO</v>
      </c>
      <c r="G56" s="20" t="str">
        <f t="shared" si="43"/>
        <v>S/N</v>
      </c>
      <c r="H56" s="20" t="str">
        <f t="shared" si="44"/>
        <v>S/N</v>
      </c>
      <c r="I56" s="20" t="str">
        <f t="shared" si="37"/>
        <v>Estrategia 4</v>
      </c>
      <c r="J56" s="62" t="str">
        <f t="shared" si="37"/>
        <v>Objetivo 1</v>
      </c>
      <c r="K56" s="20" t="str">
        <f>Resumen!$S$9</f>
        <v>X</v>
      </c>
      <c r="L56" s="20" t="str">
        <f t="shared" si="45"/>
        <v>EVIDENCIAS POR COMPLETAR SEGUNDO SEMESTRE</v>
      </c>
      <c r="M56" s="62">
        <f t="shared" si="46"/>
        <v>0.875</v>
      </c>
      <c r="N56" s="20">
        <v>2025</v>
      </c>
    </row>
    <row r="57" spans="1:14" ht="14.25" customHeight="1">
      <c r="A57" s="20">
        <f>Resumen!A10</f>
        <v>6</v>
      </c>
      <c r="B57" s="159" t="s">
        <v>35</v>
      </c>
      <c r="C57" s="20" t="str">
        <f>Resumen!C10</f>
        <v>Mgtr. Priscila Bernal</v>
      </c>
      <c r="D57" s="20" t="str">
        <f>Resumen!D10</f>
        <v>ENTREGADO</v>
      </c>
      <c r="E57" s="20" t="str">
        <f>Resumen!E10</f>
        <v>ENTREGADO</v>
      </c>
      <c r="F57" s="20" t="str">
        <f>Resumen!F10</f>
        <v>ENTREGADO</v>
      </c>
      <c r="G57" s="20" t="str">
        <f>Resumen!G10</f>
        <v>S/N</v>
      </c>
      <c r="H57" s="20" t="str">
        <f>Resumen!H10</f>
        <v>S/N</v>
      </c>
      <c r="I57" s="20" t="str">
        <f t="shared" si="37"/>
        <v>Estrategia 1</v>
      </c>
      <c r="J57" s="62" t="str">
        <f t="shared" si="37"/>
        <v>Objetivo 1</v>
      </c>
      <c r="K57" s="20" t="str">
        <f>Resumen!$I$10</f>
        <v>X</v>
      </c>
      <c r="L57" s="20" t="str">
        <f>Resumen!T10</f>
        <v>EVIDENCIAS POR COMPLETAR SEGUNDO SEMESTRE</v>
      </c>
      <c r="M57" s="62">
        <f>Resumen!U10</f>
        <v>0.97368421052631582</v>
      </c>
      <c r="N57" s="20">
        <v>2025</v>
      </c>
    </row>
    <row r="58" spans="1:14" ht="14.25" customHeight="1">
      <c r="A58" s="20">
        <f t="shared" ref="A58:A67" si="47">$A$57</f>
        <v>6</v>
      </c>
      <c r="B58" s="159" t="s">
        <v>35</v>
      </c>
      <c r="C58" s="20" t="str">
        <f t="shared" ref="C58:C67" si="48">$C$57</f>
        <v>Mgtr. Priscila Bernal</v>
      </c>
      <c r="D58" s="20" t="str">
        <f t="shared" ref="D58:D67" si="49">$D$57</f>
        <v>ENTREGADO</v>
      </c>
      <c r="E58" s="20" t="str">
        <f t="shared" ref="E58:E67" si="50">$E$57</f>
        <v>ENTREGADO</v>
      </c>
      <c r="F58" s="20" t="str">
        <f t="shared" ref="F58:F67" si="51">$F$57</f>
        <v>ENTREGADO</v>
      </c>
      <c r="G58" s="20" t="str">
        <f t="shared" ref="G58:G67" si="52">$G$57</f>
        <v>S/N</v>
      </c>
      <c r="H58" s="20" t="str">
        <f t="shared" ref="H58:H67" si="53">$H$57</f>
        <v>S/N</v>
      </c>
      <c r="I58" s="20" t="str">
        <f t="shared" si="37"/>
        <v>Estrategia 1</v>
      </c>
      <c r="J58" s="62" t="str">
        <f t="shared" si="37"/>
        <v>Objetivo 2</v>
      </c>
      <c r="K58" s="20" t="str">
        <f>Resumen!$J$10</f>
        <v>X</v>
      </c>
      <c r="L58" s="20" t="str">
        <f t="shared" ref="L58:L67" si="54">$L$57</f>
        <v>EVIDENCIAS POR COMPLETAR SEGUNDO SEMESTRE</v>
      </c>
      <c r="M58" s="62">
        <f t="shared" ref="M58:M67" si="55">$M$57</f>
        <v>0.97368421052631582</v>
      </c>
      <c r="N58" s="20">
        <v>2025</v>
      </c>
    </row>
    <row r="59" spans="1:14" ht="14.25" customHeight="1">
      <c r="A59" s="20">
        <f t="shared" si="47"/>
        <v>6</v>
      </c>
      <c r="B59" s="159" t="s">
        <v>35</v>
      </c>
      <c r="C59" s="20" t="str">
        <f t="shared" si="48"/>
        <v>Mgtr. Priscila Bernal</v>
      </c>
      <c r="D59" s="20" t="str">
        <f t="shared" si="49"/>
        <v>ENTREGADO</v>
      </c>
      <c r="E59" s="20" t="str">
        <f t="shared" si="50"/>
        <v>ENTREGADO</v>
      </c>
      <c r="F59" s="20" t="str">
        <f t="shared" si="51"/>
        <v>ENTREGADO</v>
      </c>
      <c r="G59" s="20" t="str">
        <f t="shared" si="52"/>
        <v>S/N</v>
      </c>
      <c r="H59" s="20" t="str">
        <f t="shared" si="53"/>
        <v>S/N</v>
      </c>
      <c r="I59" s="20" t="str">
        <f t="shared" si="37"/>
        <v>Estrategia 1</v>
      </c>
      <c r="J59" s="62" t="str">
        <f t="shared" si="37"/>
        <v>Objetivo 3</v>
      </c>
      <c r="K59" s="20" t="str">
        <f>Resumen!$K$10</f>
        <v>x</v>
      </c>
      <c r="L59" s="20" t="str">
        <f t="shared" si="54"/>
        <v>EVIDENCIAS POR COMPLETAR SEGUNDO SEMESTRE</v>
      </c>
      <c r="M59" s="62">
        <f t="shared" si="55"/>
        <v>0.97368421052631582</v>
      </c>
      <c r="N59" s="20">
        <v>2025</v>
      </c>
    </row>
    <row r="60" spans="1:14" ht="14.25" customHeight="1">
      <c r="A60" s="20">
        <f t="shared" si="47"/>
        <v>6</v>
      </c>
      <c r="B60" s="159" t="s">
        <v>35</v>
      </c>
      <c r="C60" s="20" t="str">
        <f t="shared" si="48"/>
        <v>Mgtr. Priscila Bernal</v>
      </c>
      <c r="D60" s="20" t="str">
        <f t="shared" si="49"/>
        <v>ENTREGADO</v>
      </c>
      <c r="E60" s="20" t="str">
        <f t="shared" si="50"/>
        <v>ENTREGADO</v>
      </c>
      <c r="F60" s="20" t="str">
        <f t="shared" si="51"/>
        <v>ENTREGADO</v>
      </c>
      <c r="G60" s="20" t="str">
        <f t="shared" si="52"/>
        <v>S/N</v>
      </c>
      <c r="H60" s="20" t="str">
        <f t="shared" si="53"/>
        <v>S/N</v>
      </c>
      <c r="I60" s="20" t="str">
        <f t="shared" si="37"/>
        <v>Estrategia 1</v>
      </c>
      <c r="J60" s="62" t="str">
        <f t="shared" si="37"/>
        <v>Objetivo 4</v>
      </c>
      <c r="K60" s="20" t="str">
        <f>Resumen!$L$10</f>
        <v>x</v>
      </c>
      <c r="L60" s="20" t="str">
        <f t="shared" si="54"/>
        <v>EVIDENCIAS POR COMPLETAR SEGUNDO SEMESTRE</v>
      </c>
      <c r="M60" s="62">
        <f t="shared" si="55"/>
        <v>0.97368421052631582</v>
      </c>
      <c r="N60" s="20">
        <v>2025</v>
      </c>
    </row>
    <row r="61" spans="1:14" ht="14.25" customHeight="1">
      <c r="A61" s="20">
        <f t="shared" si="47"/>
        <v>6</v>
      </c>
      <c r="B61" s="159" t="s">
        <v>35</v>
      </c>
      <c r="C61" s="20" t="str">
        <f t="shared" si="48"/>
        <v>Mgtr. Priscila Bernal</v>
      </c>
      <c r="D61" s="20" t="str">
        <f t="shared" si="49"/>
        <v>ENTREGADO</v>
      </c>
      <c r="E61" s="20" t="str">
        <f t="shared" si="50"/>
        <v>ENTREGADO</v>
      </c>
      <c r="F61" s="20" t="str">
        <f t="shared" si="51"/>
        <v>ENTREGADO</v>
      </c>
      <c r="G61" s="20" t="str">
        <f t="shared" si="52"/>
        <v>S/N</v>
      </c>
      <c r="H61" s="20" t="str">
        <f t="shared" si="53"/>
        <v>S/N</v>
      </c>
      <c r="I61" s="20" t="str">
        <f t="shared" si="37"/>
        <v>Estrategia 2</v>
      </c>
      <c r="J61" s="62" t="str">
        <f t="shared" si="37"/>
        <v>Objetivo 1</v>
      </c>
      <c r="K61" s="20" t="str">
        <f>Resumen!$M$10</f>
        <v>x</v>
      </c>
      <c r="L61" s="20" t="str">
        <f t="shared" si="54"/>
        <v>EVIDENCIAS POR COMPLETAR SEGUNDO SEMESTRE</v>
      </c>
      <c r="M61" s="62">
        <f t="shared" si="55"/>
        <v>0.97368421052631582</v>
      </c>
      <c r="N61" s="20">
        <v>2025</v>
      </c>
    </row>
    <row r="62" spans="1:14" ht="14.25" customHeight="1">
      <c r="A62" s="20">
        <f t="shared" si="47"/>
        <v>6</v>
      </c>
      <c r="B62" s="159" t="s">
        <v>35</v>
      </c>
      <c r="C62" s="20" t="str">
        <f t="shared" si="48"/>
        <v>Mgtr. Priscila Bernal</v>
      </c>
      <c r="D62" s="20" t="str">
        <f t="shared" si="49"/>
        <v>ENTREGADO</v>
      </c>
      <c r="E62" s="20" t="str">
        <f t="shared" si="50"/>
        <v>ENTREGADO</v>
      </c>
      <c r="F62" s="20" t="str">
        <f t="shared" si="51"/>
        <v>ENTREGADO</v>
      </c>
      <c r="G62" s="20" t="str">
        <f t="shared" si="52"/>
        <v>S/N</v>
      </c>
      <c r="H62" s="20" t="str">
        <f t="shared" si="53"/>
        <v>S/N</v>
      </c>
      <c r="I62" s="20" t="str">
        <f t="shared" si="37"/>
        <v>Estrategia 2</v>
      </c>
      <c r="J62" s="62" t="str">
        <f t="shared" si="37"/>
        <v>Objetivo 2</v>
      </c>
      <c r="K62" s="20" t="str">
        <f>Resumen!$N$10</f>
        <v>x</v>
      </c>
      <c r="L62" s="20" t="str">
        <f t="shared" si="54"/>
        <v>EVIDENCIAS POR COMPLETAR SEGUNDO SEMESTRE</v>
      </c>
      <c r="M62" s="62">
        <f t="shared" si="55"/>
        <v>0.97368421052631582</v>
      </c>
      <c r="N62" s="20">
        <v>2025</v>
      </c>
    </row>
    <row r="63" spans="1:14" ht="14.25" customHeight="1">
      <c r="A63" s="20">
        <f t="shared" si="47"/>
        <v>6</v>
      </c>
      <c r="B63" s="159" t="s">
        <v>35</v>
      </c>
      <c r="C63" s="20" t="str">
        <f t="shared" si="48"/>
        <v>Mgtr. Priscila Bernal</v>
      </c>
      <c r="D63" s="20" t="str">
        <f t="shared" si="49"/>
        <v>ENTREGADO</v>
      </c>
      <c r="E63" s="20" t="str">
        <f t="shared" si="50"/>
        <v>ENTREGADO</v>
      </c>
      <c r="F63" s="20" t="str">
        <f t="shared" si="51"/>
        <v>ENTREGADO</v>
      </c>
      <c r="G63" s="20" t="str">
        <f t="shared" si="52"/>
        <v>S/N</v>
      </c>
      <c r="H63" s="20" t="str">
        <f t="shared" si="53"/>
        <v>S/N</v>
      </c>
      <c r="I63" s="20" t="str">
        <f t="shared" si="37"/>
        <v>Estrategia 2</v>
      </c>
      <c r="J63" s="62" t="str">
        <f t="shared" si="37"/>
        <v>Objetivo 3</v>
      </c>
      <c r="K63" s="20" t="str">
        <f>Resumen!$O$10</f>
        <v>X</v>
      </c>
      <c r="L63" s="20" t="str">
        <f t="shared" si="54"/>
        <v>EVIDENCIAS POR COMPLETAR SEGUNDO SEMESTRE</v>
      </c>
      <c r="M63" s="62">
        <f t="shared" si="55"/>
        <v>0.97368421052631582</v>
      </c>
      <c r="N63" s="20">
        <v>2025</v>
      </c>
    </row>
    <row r="64" spans="1:14" ht="14.25" customHeight="1">
      <c r="A64" s="20">
        <f t="shared" si="47"/>
        <v>6</v>
      </c>
      <c r="B64" s="159" t="s">
        <v>35</v>
      </c>
      <c r="C64" s="20" t="str">
        <f t="shared" si="48"/>
        <v>Mgtr. Priscila Bernal</v>
      </c>
      <c r="D64" s="20" t="str">
        <f t="shared" si="49"/>
        <v>ENTREGADO</v>
      </c>
      <c r="E64" s="20" t="str">
        <f t="shared" si="50"/>
        <v>ENTREGADO</v>
      </c>
      <c r="F64" s="20" t="str">
        <f t="shared" si="51"/>
        <v>ENTREGADO</v>
      </c>
      <c r="G64" s="20" t="str">
        <f t="shared" si="52"/>
        <v>S/N</v>
      </c>
      <c r="H64" s="20" t="str">
        <f t="shared" si="53"/>
        <v>S/N</v>
      </c>
      <c r="I64" s="20" t="str">
        <f t="shared" ref="I64:J83" si="56">I53</f>
        <v>Estrategia 3</v>
      </c>
      <c r="J64" s="62" t="str">
        <f t="shared" si="56"/>
        <v>Objetivo 1</v>
      </c>
      <c r="K64" s="20" t="str">
        <f>Resumen!$P$10</f>
        <v>X</v>
      </c>
      <c r="L64" s="20" t="str">
        <f t="shared" si="54"/>
        <v>EVIDENCIAS POR COMPLETAR SEGUNDO SEMESTRE</v>
      </c>
      <c r="M64" s="62">
        <f t="shared" si="55"/>
        <v>0.97368421052631582</v>
      </c>
      <c r="N64" s="20">
        <v>2025</v>
      </c>
    </row>
    <row r="65" spans="1:14" ht="14.25" customHeight="1">
      <c r="A65" s="20">
        <f t="shared" si="47"/>
        <v>6</v>
      </c>
      <c r="B65" s="159" t="s">
        <v>35</v>
      </c>
      <c r="C65" s="20" t="str">
        <f t="shared" si="48"/>
        <v>Mgtr. Priscila Bernal</v>
      </c>
      <c r="D65" s="20" t="str">
        <f t="shared" si="49"/>
        <v>ENTREGADO</v>
      </c>
      <c r="E65" s="20" t="str">
        <f t="shared" si="50"/>
        <v>ENTREGADO</v>
      </c>
      <c r="F65" s="20" t="str">
        <f t="shared" si="51"/>
        <v>ENTREGADO</v>
      </c>
      <c r="G65" s="20" t="str">
        <f t="shared" si="52"/>
        <v>S/N</v>
      </c>
      <c r="H65" s="20" t="str">
        <f t="shared" si="53"/>
        <v>S/N</v>
      </c>
      <c r="I65" s="20" t="str">
        <f t="shared" si="56"/>
        <v>Estrategia 3</v>
      </c>
      <c r="J65" s="62" t="str">
        <f t="shared" si="56"/>
        <v>Objetivo 2</v>
      </c>
      <c r="K65" s="20" t="str">
        <f>Resumen!$Q$10</f>
        <v>X</v>
      </c>
      <c r="L65" s="20" t="str">
        <f t="shared" si="54"/>
        <v>EVIDENCIAS POR COMPLETAR SEGUNDO SEMESTRE</v>
      </c>
      <c r="M65" s="62">
        <f t="shared" si="55"/>
        <v>0.97368421052631582</v>
      </c>
      <c r="N65" s="20">
        <v>2025</v>
      </c>
    </row>
    <row r="66" spans="1:14" ht="14.25" customHeight="1">
      <c r="A66" s="20">
        <f t="shared" si="47"/>
        <v>6</v>
      </c>
      <c r="B66" s="159" t="s">
        <v>35</v>
      </c>
      <c r="C66" s="20" t="str">
        <f t="shared" si="48"/>
        <v>Mgtr. Priscila Bernal</v>
      </c>
      <c r="D66" s="20" t="str">
        <f t="shared" si="49"/>
        <v>ENTREGADO</v>
      </c>
      <c r="E66" s="20" t="str">
        <f t="shared" si="50"/>
        <v>ENTREGADO</v>
      </c>
      <c r="F66" s="20" t="str">
        <f t="shared" si="51"/>
        <v>ENTREGADO</v>
      </c>
      <c r="G66" s="20" t="str">
        <f t="shared" si="52"/>
        <v>S/N</v>
      </c>
      <c r="H66" s="20" t="str">
        <f t="shared" si="53"/>
        <v>S/N</v>
      </c>
      <c r="I66" s="20" t="str">
        <f t="shared" si="56"/>
        <v>Estrategia 3</v>
      </c>
      <c r="J66" s="62" t="str">
        <f t="shared" si="56"/>
        <v>Objetivo 3</v>
      </c>
      <c r="K66" s="20" t="str">
        <f>Resumen!$R$10</f>
        <v>X</v>
      </c>
      <c r="L66" s="20" t="str">
        <f t="shared" si="54"/>
        <v>EVIDENCIAS POR COMPLETAR SEGUNDO SEMESTRE</v>
      </c>
      <c r="M66" s="62">
        <f t="shared" si="55"/>
        <v>0.97368421052631582</v>
      </c>
      <c r="N66" s="20">
        <v>2025</v>
      </c>
    </row>
    <row r="67" spans="1:14" ht="14.25" customHeight="1">
      <c r="A67" s="20">
        <f t="shared" si="47"/>
        <v>6</v>
      </c>
      <c r="B67" s="159" t="s">
        <v>35</v>
      </c>
      <c r="C67" s="20" t="str">
        <f t="shared" si="48"/>
        <v>Mgtr. Priscila Bernal</v>
      </c>
      <c r="D67" s="20" t="str">
        <f t="shared" si="49"/>
        <v>ENTREGADO</v>
      </c>
      <c r="E67" s="20" t="str">
        <f t="shared" si="50"/>
        <v>ENTREGADO</v>
      </c>
      <c r="F67" s="20" t="str">
        <f t="shared" si="51"/>
        <v>ENTREGADO</v>
      </c>
      <c r="G67" s="20" t="str">
        <f t="shared" si="52"/>
        <v>S/N</v>
      </c>
      <c r="H67" s="20" t="str">
        <f t="shared" si="53"/>
        <v>S/N</v>
      </c>
      <c r="I67" s="20" t="str">
        <f t="shared" si="56"/>
        <v>Estrategia 4</v>
      </c>
      <c r="J67" s="62" t="str">
        <f t="shared" si="56"/>
        <v>Objetivo 1</v>
      </c>
      <c r="K67" s="20" t="str">
        <f>Resumen!$S$10</f>
        <v>X</v>
      </c>
      <c r="L67" s="20" t="str">
        <f t="shared" si="54"/>
        <v>EVIDENCIAS POR COMPLETAR SEGUNDO SEMESTRE</v>
      </c>
      <c r="M67" s="62">
        <f t="shared" si="55"/>
        <v>0.97368421052631582</v>
      </c>
      <c r="N67" s="20">
        <v>2025</v>
      </c>
    </row>
    <row r="68" spans="1:14" ht="14.25" customHeight="1">
      <c r="A68" s="20">
        <f>Resumen!A11</f>
        <v>7</v>
      </c>
      <c r="B68" s="159" t="s">
        <v>36</v>
      </c>
      <c r="C68" s="20" t="str">
        <f>Resumen!C11</f>
        <v>Mgtr. Verónica Segarra</v>
      </c>
      <c r="D68" s="20" t="str">
        <f>Resumen!D11</f>
        <v>ENTREGADO</v>
      </c>
      <c r="E68" s="20" t="str">
        <f>Resumen!E11</f>
        <v>ENTREGADO</v>
      </c>
      <c r="F68" s="20" t="str">
        <f>Resumen!F11</f>
        <v>ENTREGADO</v>
      </c>
      <c r="G68" s="20" t="str">
        <f>Resumen!G11</f>
        <v>S/N</v>
      </c>
      <c r="H68" s="20" t="str">
        <f>Resumen!H11</f>
        <v>S/N</v>
      </c>
      <c r="I68" s="20" t="str">
        <f t="shared" ref="I68:J78" si="57">I46</f>
        <v>Estrategia 1</v>
      </c>
      <c r="J68" s="62" t="str">
        <f t="shared" si="57"/>
        <v>Objetivo 1</v>
      </c>
      <c r="K68" s="20" t="str">
        <f>Resumen!$I$11</f>
        <v>X</v>
      </c>
      <c r="L68" s="20" t="str">
        <f>Resumen!T11</f>
        <v>EVIDENCIAS POR COMPLETAR SEGUNDO SEMESTRE</v>
      </c>
      <c r="M68" s="62">
        <f>Resumen!U11</f>
        <v>0.84210526315789469</v>
      </c>
      <c r="N68" s="20">
        <v>2025</v>
      </c>
    </row>
    <row r="69" spans="1:14" ht="14.25" customHeight="1">
      <c r="A69" s="20">
        <f t="shared" ref="A69:A78" si="58">$A$68</f>
        <v>7</v>
      </c>
      <c r="B69" s="159" t="s">
        <v>36</v>
      </c>
      <c r="C69" s="20" t="str">
        <f t="shared" ref="C69:C78" si="59">$C$68</f>
        <v>Mgtr. Verónica Segarra</v>
      </c>
      <c r="D69" s="20" t="str">
        <f t="shared" ref="D69:D78" si="60">$D$68</f>
        <v>ENTREGADO</v>
      </c>
      <c r="E69" s="20" t="str">
        <f t="shared" ref="E69:E78" si="61">$E$68</f>
        <v>ENTREGADO</v>
      </c>
      <c r="F69" s="20" t="str">
        <f t="shared" ref="F69:F78" si="62">$F$68</f>
        <v>ENTREGADO</v>
      </c>
      <c r="G69" s="20" t="str">
        <f t="shared" ref="G69:G78" si="63">$G$68</f>
        <v>S/N</v>
      </c>
      <c r="H69" s="20" t="str">
        <f t="shared" ref="H69:H78" si="64">$H$68</f>
        <v>S/N</v>
      </c>
      <c r="I69" s="20" t="str">
        <f t="shared" si="57"/>
        <v>Estrategia 1</v>
      </c>
      <c r="J69" s="62" t="str">
        <f t="shared" si="57"/>
        <v>Objetivo 2</v>
      </c>
      <c r="K69" s="20" t="str">
        <f>Resumen!$J$11</f>
        <v>X</v>
      </c>
      <c r="L69" s="20" t="str">
        <f t="shared" ref="L69:L78" si="65">$L$68</f>
        <v>EVIDENCIAS POR COMPLETAR SEGUNDO SEMESTRE</v>
      </c>
      <c r="M69" s="62">
        <f t="shared" ref="M69:M78" si="66">$M$68</f>
        <v>0.84210526315789469</v>
      </c>
      <c r="N69" s="20">
        <v>2025</v>
      </c>
    </row>
    <row r="70" spans="1:14" ht="14.25" customHeight="1">
      <c r="A70" s="20">
        <f t="shared" si="58"/>
        <v>7</v>
      </c>
      <c r="B70" s="159" t="s">
        <v>36</v>
      </c>
      <c r="C70" s="20" t="str">
        <f t="shared" si="59"/>
        <v>Mgtr. Verónica Segarra</v>
      </c>
      <c r="D70" s="20" t="str">
        <f t="shared" si="60"/>
        <v>ENTREGADO</v>
      </c>
      <c r="E70" s="20" t="str">
        <f t="shared" si="61"/>
        <v>ENTREGADO</v>
      </c>
      <c r="F70" s="20" t="str">
        <f t="shared" si="62"/>
        <v>ENTREGADO</v>
      </c>
      <c r="G70" s="20" t="str">
        <f t="shared" si="63"/>
        <v>S/N</v>
      </c>
      <c r="H70" s="20" t="str">
        <f t="shared" si="64"/>
        <v>S/N</v>
      </c>
      <c r="I70" s="20" t="str">
        <f t="shared" si="57"/>
        <v>Estrategia 1</v>
      </c>
      <c r="J70" s="62" t="str">
        <f t="shared" si="57"/>
        <v>Objetivo 3</v>
      </c>
      <c r="K70" s="20" t="str">
        <f>Resumen!$K$11</f>
        <v>x</v>
      </c>
      <c r="L70" s="20" t="str">
        <f t="shared" si="65"/>
        <v>EVIDENCIAS POR COMPLETAR SEGUNDO SEMESTRE</v>
      </c>
      <c r="M70" s="62">
        <f t="shared" si="66"/>
        <v>0.84210526315789469</v>
      </c>
      <c r="N70" s="20">
        <v>2025</v>
      </c>
    </row>
    <row r="71" spans="1:14" ht="14.25" customHeight="1">
      <c r="A71" s="20">
        <f t="shared" si="58"/>
        <v>7</v>
      </c>
      <c r="B71" s="159" t="s">
        <v>36</v>
      </c>
      <c r="C71" s="20" t="str">
        <f t="shared" si="59"/>
        <v>Mgtr. Verónica Segarra</v>
      </c>
      <c r="D71" s="20" t="str">
        <f t="shared" si="60"/>
        <v>ENTREGADO</v>
      </c>
      <c r="E71" s="20" t="str">
        <f t="shared" si="61"/>
        <v>ENTREGADO</v>
      </c>
      <c r="F71" s="20" t="str">
        <f t="shared" si="62"/>
        <v>ENTREGADO</v>
      </c>
      <c r="G71" s="20" t="str">
        <f t="shared" si="63"/>
        <v>S/N</v>
      </c>
      <c r="H71" s="20" t="str">
        <f t="shared" si="64"/>
        <v>S/N</v>
      </c>
      <c r="I71" s="20" t="str">
        <f t="shared" si="57"/>
        <v>Estrategia 1</v>
      </c>
      <c r="J71" s="62" t="str">
        <f t="shared" si="57"/>
        <v>Objetivo 4</v>
      </c>
      <c r="K71" s="20" t="str">
        <f>Resumen!$L$11</f>
        <v>x</v>
      </c>
      <c r="L71" s="20" t="str">
        <f t="shared" si="65"/>
        <v>EVIDENCIAS POR COMPLETAR SEGUNDO SEMESTRE</v>
      </c>
      <c r="M71" s="62">
        <f t="shared" si="66"/>
        <v>0.84210526315789469</v>
      </c>
      <c r="N71" s="20">
        <v>2025</v>
      </c>
    </row>
    <row r="72" spans="1:14" ht="14.25" customHeight="1">
      <c r="A72" s="20">
        <f t="shared" si="58"/>
        <v>7</v>
      </c>
      <c r="B72" s="159" t="s">
        <v>36</v>
      </c>
      <c r="C72" s="20" t="str">
        <f t="shared" si="59"/>
        <v>Mgtr. Verónica Segarra</v>
      </c>
      <c r="D72" s="20" t="str">
        <f t="shared" si="60"/>
        <v>ENTREGADO</v>
      </c>
      <c r="E72" s="20" t="str">
        <f t="shared" si="61"/>
        <v>ENTREGADO</v>
      </c>
      <c r="F72" s="20" t="str">
        <f t="shared" si="62"/>
        <v>ENTREGADO</v>
      </c>
      <c r="G72" s="20" t="str">
        <f t="shared" si="63"/>
        <v>S/N</v>
      </c>
      <c r="H72" s="20" t="str">
        <f t="shared" si="64"/>
        <v>S/N</v>
      </c>
      <c r="I72" s="20" t="str">
        <f t="shared" si="57"/>
        <v>Estrategia 2</v>
      </c>
      <c r="J72" s="62" t="str">
        <f t="shared" si="57"/>
        <v>Objetivo 1</v>
      </c>
      <c r="K72" s="20" t="str">
        <f>Resumen!$M$11</f>
        <v>x</v>
      </c>
      <c r="L72" s="20" t="str">
        <f t="shared" si="65"/>
        <v>EVIDENCIAS POR COMPLETAR SEGUNDO SEMESTRE</v>
      </c>
      <c r="M72" s="62">
        <f t="shared" si="66"/>
        <v>0.84210526315789469</v>
      </c>
      <c r="N72" s="20">
        <v>2025</v>
      </c>
    </row>
    <row r="73" spans="1:14" ht="14.25" customHeight="1">
      <c r="A73" s="20">
        <f t="shared" si="58"/>
        <v>7</v>
      </c>
      <c r="B73" s="159" t="s">
        <v>36</v>
      </c>
      <c r="C73" s="20" t="str">
        <f t="shared" si="59"/>
        <v>Mgtr. Verónica Segarra</v>
      </c>
      <c r="D73" s="20" t="str">
        <f t="shared" si="60"/>
        <v>ENTREGADO</v>
      </c>
      <c r="E73" s="20" t="str">
        <f t="shared" si="61"/>
        <v>ENTREGADO</v>
      </c>
      <c r="F73" s="20" t="str">
        <f t="shared" si="62"/>
        <v>ENTREGADO</v>
      </c>
      <c r="G73" s="20" t="str">
        <f t="shared" si="63"/>
        <v>S/N</v>
      </c>
      <c r="H73" s="20" t="str">
        <f t="shared" si="64"/>
        <v>S/N</v>
      </c>
      <c r="I73" s="20" t="str">
        <f t="shared" si="57"/>
        <v>Estrategia 2</v>
      </c>
      <c r="J73" s="62" t="str">
        <f t="shared" si="57"/>
        <v>Objetivo 2</v>
      </c>
      <c r="K73" s="20" t="str">
        <f>Resumen!$N$11</f>
        <v>x</v>
      </c>
      <c r="L73" s="20" t="str">
        <f t="shared" si="65"/>
        <v>EVIDENCIAS POR COMPLETAR SEGUNDO SEMESTRE</v>
      </c>
      <c r="M73" s="62">
        <f t="shared" si="66"/>
        <v>0.84210526315789469</v>
      </c>
      <c r="N73" s="20">
        <v>2025</v>
      </c>
    </row>
    <row r="74" spans="1:14" ht="14.25" customHeight="1">
      <c r="A74" s="20">
        <f t="shared" si="58"/>
        <v>7</v>
      </c>
      <c r="B74" s="159" t="s">
        <v>36</v>
      </c>
      <c r="C74" s="20" t="str">
        <f t="shared" si="59"/>
        <v>Mgtr. Verónica Segarra</v>
      </c>
      <c r="D74" s="20" t="str">
        <f t="shared" si="60"/>
        <v>ENTREGADO</v>
      </c>
      <c r="E74" s="20" t="str">
        <f t="shared" si="61"/>
        <v>ENTREGADO</v>
      </c>
      <c r="F74" s="20" t="str">
        <f t="shared" si="62"/>
        <v>ENTREGADO</v>
      </c>
      <c r="G74" s="20" t="str">
        <f t="shared" si="63"/>
        <v>S/N</v>
      </c>
      <c r="H74" s="20" t="str">
        <f t="shared" si="64"/>
        <v>S/N</v>
      </c>
      <c r="I74" s="20" t="str">
        <f t="shared" si="57"/>
        <v>Estrategia 2</v>
      </c>
      <c r="J74" s="62" t="str">
        <f t="shared" si="57"/>
        <v>Objetivo 3</v>
      </c>
      <c r="K74" s="20" t="str">
        <f>Resumen!$O$11</f>
        <v>X</v>
      </c>
      <c r="L74" s="20" t="str">
        <f t="shared" si="65"/>
        <v>EVIDENCIAS POR COMPLETAR SEGUNDO SEMESTRE</v>
      </c>
      <c r="M74" s="62">
        <f t="shared" si="66"/>
        <v>0.84210526315789469</v>
      </c>
      <c r="N74" s="20">
        <v>2025</v>
      </c>
    </row>
    <row r="75" spans="1:14" ht="14.25" customHeight="1">
      <c r="A75" s="20">
        <f t="shared" si="58"/>
        <v>7</v>
      </c>
      <c r="B75" s="159" t="s">
        <v>36</v>
      </c>
      <c r="C75" s="20" t="str">
        <f t="shared" si="59"/>
        <v>Mgtr. Verónica Segarra</v>
      </c>
      <c r="D75" s="20" t="str">
        <f t="shared" si="60"/>
        <v>ENTREGADO</v>
      </c>
      <c r="E75" s="20" t="str">
        <f t="shared" si="61"/>
        <v>ENTREGADO</v>
      </c>
      <c r="F75" s="20" t="str">
        <f t="shared" si="62"/>
        <v>ENTREGADO</v>
      </c>
      <c r="G75" s="20" t="str">
        <f t="shared" si="63"/>
        <v>S/N</v>
      </c>
      <c r="H75" s="20" t="str">
        <f t="shared" si="64"/>
        <v>S/N</v>
      </c>
      <c r="I75" s="20" t="str">
        <f t="shared" si="57"/>
        <v>Estrategia 3</v>
      </c>
      <c r="J75" s="62" t="str">
        <f t="shared" si="57"/>
        <v>Objetivo 1</v>
      </c>
      <c r="K75" s="20" t="str">
        <f>Resumen!$P$11</f>
        <v>X</v>
      </c>
      <c r="L75" s="20" t="str">
        <f t="shared" si="65"/>
        <v>EVIDENCIAS POR COMPLETAR SEGUNDO SEMESTRE</v>
      </c>
      <c r="M75" s="62">
        <f t="shared" si="66"/>
        <v>0.84210526315789469</v>
      </c>
      <c r="N75" s="20">
        <v>2025</v>
      </c>
    </row>
    <row r="76" spans="1:14" ht="14.25" customHeight="1">
      <c r="A76" s="20">
        <f t="shared" si="58"/>
        <v>7</v>
      </c>
      <c r="B76" s="159" t="s">
        <v>36</v>
      </c>
      <c r="C76" s="20" t="str">
        <f t="shared" si="59"/>
        <v>Mgtr. Verónica Segarra</v>
      </c>
      <c r="D76" s="20" t="str">
        <f t="shared" si="60"/>
        <v>ENTREGADO</v>
      </c>
      <c r="E76" s="20" t="str">
        <f t="shared" si="61"/>
        <v>ENTREGADO</v>
      </c>
      <c r="F76" s="20" t="str">
        <f t="shared" si="62"/>
        <v>ENTREGADO</v>
      </c>
      <c r="G76" s="20" t="str">
        <f t="shared" si="63"/>
        <v>S/N</v>
      </c>
      <c r="H76" s="20" t="str">
        <f t="shared" si="64"/>
        <v>S/N</v>
      </c>
      <c r="I76" s="20" t="str">
        <f t="shared" si="57"/>
        <v>Estrategia 3</v>
      </c>
      <c r="J76" s="62" t="str">
        <f t="shared" si="57"/>
        <v>Objetivo 2</v>
      </c>
      <c r="K76" s="20" t="str">
        <f>Resumen!$Q$11</f>
        <v>X</v>
      </c>
      <c r="L76" s="20" t="str">
        <f t="shared" si="65"/>
        <v>EVIDENCIAS POR COMPLETAR SEGUNDO SEMESTRE</v>
      </c>
      <c r="M76" s="62">
        <f t="shared" si="66"/>
        <v>0.84210526315789469</v>
      </c>
      <c r="N76" s="20">
        <v>2025</v>
      </c>
    </row>
    <row r="77" spans="1:14" ht="14.25" customHeight="1">
      <c r="A77" s="20">
        <f t="shared" si="58"/>
        <v>7</v>
      </c>
      <c r="B77" s="159" t="s">
        <v>36</v>
      </c>
      <c r="C77" s="20" t="str">
        <f t="shared" si="59"/>
        <v>Mgtr. Verónica Segarra</v>
      </c>
      <c r="D77" s="20" t="str">
        <f t="shared" si="60"/>
        <v>ENTREGADO</v>
      </c>
      <c r="E77" s="20" t="str">
        <f t="shared" si="61"/>
        <v>ENTREGADO</v>
      </c>
      <c r="F77" s="20" t="str">
        <f t="shared" si="62"/>
        <v>ENTREGADO</v>
      </c>
      <c r="G77" s="20" t="str">
        <f t="shared" si="63"/>
        <v>S/N</v>
      </c>
      <c r="H77" s="20" t="str">
        <f t="shared" si="64"/>
        <v>S/N</v>
      </c>
      <c r="I77" s="20" t="str">
        <f t="shared" si="57"/>
        <v>Estrategia 3</v>
      </c>
      <c r="J77" s="62" t="str">
        <f t="shared" si="57"/>
        <v>Objetivo 3</v>
      </c>
      <c r="K77" s="20" t="str">
        <f>Resumen!$R$11</f>
        <v>X</v>
      </c>
      <c r="L77" s="20" t="str">
        <f t="shared" si="65"/>
        <v>EVIDENCIAS POR COMPLETAR SEGUNDO SEMESTRE</v>
      </c>
      <c r="M77" s="62">
        <f t="shared" si="66"/>
        <v>0.84210526315789469</v>
      </c>
      <c r="N77" s="20">
        <v>2025</v>
      </c>
    </row>
    <row r="78" spans="1:14" ht="14.25" customHeight="1">
      <c r="A78" s="20">
        <f t="shared" si="58"/>
        <v>7</v>
      </c>
      <c r="B78" s="159" t="s">
        <v>36</v>
      </c>
      <c r="C78" s="20" t="str">
        <f t="shared" si="59"/>
        <v>Mgtr. Verónica Segarra</v>
      </c>
      <c r="D78" s="20" t="str">
        <f t="shared" si="60"/>
        <v>ENTREGADO</v>
      </c>
      <c r="E78" s="20" t="str">
        <f t="shared" si="61"/>
        <v>ENTREGADO</v>
      </c>
      <c r="F78" s="20" t="str">
        <f t="shared" si="62"/>
        <v>ENTREGADO</v>
      </c>
      <c r="G78" s="20" t="str">
        <f t="shared" si="63"/>
        <v>S/N</v>
      </c>
      <c r="H78" s="20" t="str">
        <f t="shared" si="64"/>
        <v>S/N</v>
      </c>
      <c r="I78" s="20" t="str">
        <f t="shared" si="57"/>
        <v>Estrategia 4</v>
      </c>
      <c r="J78" s="62" t="str">
        <f t="shared" si="57"/>
        <v>Objetivo 1</v>
      </c>
      <c r="K78" s="20" t="str">
        <f>Resumen!$S$11</f>
        <v>X</v>
      </c>
      <c r="L78" s="20" t="str">
        <f t="shared" si="65"/>
        <v>EVIDENCIAS POR COMPLETAR SEGUNDO SEMESTRE</v>
      </c>
      <c r="M78" s="62">
        <f t="shared" si="66"/>
        <v>0.84210526315789469</v>
      </c>
      <c r="N78" s="20">
        <v>2025</v>
      </c>
    </row>
    <row r="79" spans="1:14" ht="14.25" customHeight="1">
      <c r="A79" s="20">
        <f>Resumen!A12</f>
        <v>8</v>
      </c>
      <c r="B79" s="159" t="s">
        <v>38</v>
      </c>
      <c r="C79" s="20" t="str">
        <f>Resumen!C12</f>
        <v>Mgtr. Catherine Alvear</v>
      </c>
      <c r="D79" s="20" t="str">
        <f>Resumen!D12</f>
        <v>ENTREGADO</v>
      </c>
      <c r="E79" s="20" t="str">
        <f>Resumen!E12</f>
        <v>ENTREGADO</v>
      </c>
      <c r="F79" s="20" t="str">
        <f>Resumen!F12</f>
        <v>ENTREGADO</v>
      </c>
      <c r="G79" s="20" t="str">
        <f>Resumen!G12</f>
        <v>S/N</v>
      </c>
      <c r="H79" s="20" t="str">
        <f>Resumen!H12</f>
        <v>S/N</v>
      </c>
      <c r="I79" s="20" t="str">
        <f t="shared" ref="I79:J98" si="67">I68</f>
        <v>Estrategia 1</v>
      </c>
      <c r="J79" s="62" t="str">
        <f t="shared" si="67"/>
        <v>Objetivo 1</v>
      </c>
      <c r="K79" s="20" t="str">
        <f>Resumen!$I$12</f>
        <v>X</v>
      </c>
      <c r="L79" s="20" t="str">
        <f>Resumen!T12</f>
        <v>EVIDENCIAS POR COMPLETAR SEGUNDO SEMESTRE</v>
      </c>
      <c r="M79" s="62">
        <f>Resumen!U12</f>
        <v>0.44736842105263158</v>
      </c>
      <c r="N79" s="20">
        <v>2025</v>
      </c>
    </row>
    <row r="80" spans="1:14" ht="14.25" customHeight="1">
      <c r="A80" s="20">
        <f t="shared" ref="A80:A89" si="68">$A$79</f>
        <v>8</v>
      </c>
      <c r="B80" s="159" t="s">
        <v>38</v>
      </c>
      <c r="C80" s="20" t="str">
        <f t="shared" ref="C80:C89" si="69">$C$79</f>
        <v>Mgtr. Catherine Alvear</v>
      </c>
      <c r="D80" s="20" t="str">
        <f t="shared" ref="D80:D89" si="70">$D$79</f>
        <v>ENTREGADO</v>
      </c>
      <c r="E80" s="20" t="str">
        <f t="shared" ref="E80:E89" si="71">$E$79</f>
        <v>ENTREGADO</v>
      </c>
      <c r="F80" s="20" t="str">
        <f t="shared" ref="F80:F89" si="72">$F$79</f>
        <v>ENTREGADO</v>
      </c>
      <c r="G80" s="20" t="str">
        <f t="shared" ref="G80:G89" si="73">$G$79</f>
        <v>S/N</v>
      </c>
      <c r="H80" s="20" t="str">
        <f t="shared" ref="H80:H89" si="74">$H$79</f>
        <v>S/N</v>
      </c>
      <c r="I80" s="20" t="str">
        <f t="shared" si="67"/>
        <v>Estrategia 1</v>
      </c>
      <c r="J80" s="62" t="str">
        <f t="shared" si="67"/>
        <v>Objetivo 2</v>
      </c>
      <c r="K80" s="20" t="str">
        <f>Resumen!$J$12</f>
        <v>X</v>
      </c>
      <c r="L80" s="20" t="str">
        <f t="shared" ref="L80:L89" si="75">$L$79</f>
        <v>EVIDENCIAS POR COMPLETAR SEGUNDO SEMESTRE</v>
      </c>
      <c r="M80" s="62">
        <f t="shared" ref="M80:M89" si="76">$M$79</f>
        <v>0.44736842105263158</v>
      </c>
      <c r="N80" s="20">
        <v>2025</v>
      </c>
    </row>
    <row r="81" spans="1:14" ht="14.25" customHeight="1">
      <c r="A81" s="20">
        <f t="shared" si="68"/>
        <v>8</v>
      </c>
      <c r="B81" s="159" t="s">
        <v>38</v>
      </c>
      <c r="C81" s="20" t="str">
        <f t="shared" si="69"/>
        <v>Mgtr. Catherine Alvear</v>
      </c>
      <c r="D81" s="20" t="str">
        <f t="shared" si="70"/>
        <v>ENTREGADO</v>
      </c>
      <c r="E81" s="20" t="str">
        <f t="shared" si="71"/>
        <v>ENTREGADO</v>
      </c>
      <c r="F81" s="20" t="str">
        <f t="shared" si="72"/>
        <v>ENTREGADO</v>
      </c>
      <c r="G81" s="20" t="str">
        <f t="shared" si="73"/>
        <v>S/N</v>
      </c>
      <c r="H81" s="20" t="str">
        <f t="shared" si="74"/>
        <v>S/N</v>
      </c>
      <c r="I81" s="20" t="str">
        <f t="shared" si="67"/>
        <v>Estrategia 1</v>
      </c>
      <c r="J81" s="62" t="str">
        <f t="shared" si="67"/>
        <v>Objetivo 3</v>
      </c>
      <c r="K81" s="20" t="str">
        <f>Resumen!$K$12</f>
        <v>x</v>
      </c>
      <c r="L81" s="20" t="str">
        <f t="shared" si="75"/>
        <v>EVIDENCIAS POR COMPLETAR SEGUNDO SEMESTRE</v>
      </c>
      <c r="M81" s="62">
        <f t="shared" si="76"/>
        <v>0.44736842105263158</v>
      </c>
      <c r="N81" s="20">
        <v>2025</v>
      </c>
    </row>
    <row r="82" spans="1:14" ht="14.25" customHeight="1">
      <c r="A82" s="20">
        <f t="shared" si="68"/>
        <v>8</v>
      </c>
      <c r="B82" s="159" t="s">
        <v>38</v>
      </c>
      <c r="C82" s="20" t="str">
        <f t="shared" si="69"/>
        <v>Mgtr. Catherine Alvear</v>
      </c>
      <c r="D82" s="20" t="str">
        <f t="shared" si="70"/>
        <v>ENTREGADO</v>
      </c>
      <c r="E82" s="20" t="str">
        <f t="shared" si="71"/>
        <v>ENTREGADO</v>
      </c>
      <c r="F82" s="20" t="str">
        <f t="shared" si="72"/>
        <v>ENTREGADO</v>
      </c>
      <c r="G82" s="20" t="str">
        <f t="shared" si="73"/>
        <v>S/N</v>
      </c>
      <c r="H82" s="20" t="str">
        <f t="shared" si="74"/>
        <v>S/N</v>
      </c>
      <c r="I82" s="20" t="str">
        <f t="shared" si="67"/>
        <v>Estrategia 1</v>
      </c>
      <c r="J82" s="62" t="str">
        <f t="shared" si="67"/>
        <v>Objetivo 4</v>
      </c>
      <c r="K82" s="20" t="str">
        <f>Resumen!$L$12</f>
        <v>x</v>
      </c>
      <c r="L82" s="20" t="str">
        <f t="shared" si="75"/>
        <v>EVIDENCIAS POR COMPLETAR SEGUNDO SEMESTRE</v>
      </c>
      <c r="M82" s="62">
        <f t="shared" si="76"/>
        <v>0.44736842105263158</v>
      </c>
      <c r="N82" s="20">
        <v>2025</v>
      </c>
    </row>
    <row r="83" spans="1:14" ht="14.25" customHeight="1">
      <c r="A83" s="20">
        <f t="shared" si="68"/>
        <v>8</v>
      </c>
      <c r="B83" s="159" t="s">
        <v>38</v>
      </c>
      <c r="C83" s="20" t="str">
        <f t="shared" si="69"/>
        <v>Mgtr. Catherine Alvear</v>
      </c>
      <c r="D83" s="20" t="str">
        <f t="shared" si="70"/>
        <v>ENTREGADO</v>
      </c>
      <c r="E83" s="20" t="str">
        <f t="shared" si="71"/>
        <v>ENTREGADO</v>
      </c>
      <c r="F83" s="20" t="str">
        <f t="shared" si="72"/>
        <v>ENTREGADO</v>
      </c>
      <c r="G83" s="20" t="str">
        <f t="shared" si="73"/>
        <v>S/N</v>
      </c>
      <c r="H83" s="20" t="str">
        <f t="shared" si="74"/>
        <v>S/N</v>
      </c>
      <c r="I83" s="20" t="str">
        <f t="shared" si="67"/>
        <v>Estrategia 2</v>
      </c>
      <c r="J83" s="62" t="str">
        <f t="shared" si="67"/>
        <v>Objetivo 1</v>
      </c>
      <c r="K83" s="20" t="str">
        <f>Resumen!$M$12</f>
        <v>x</v>
      </c>
      <c r="L83" s="20" t="str">
        <f t="shared" si="75"/>
        <v>EVIDENCIAS POR COMPLETAR SEGUNDO SEMESTRE</v>
      </c>
      <c r="M83" s="62">
        <f t="shared" si="76"/>
        <v>0.44736842105263158</v>
      </c>
      <c r="N83" s="20">
        <v>2025</v>
      </c>
    </row>
    <row r="84" spans="1:14" ht="14.25" customHeight="1">
      <c r="A84" s="20">
        <f t="shared" si="68"/>
        <v>8</v>
      </c>
      <c r="B84" s="159" t="s">
        <v>38</v>
      </c>
      <c r="C84" s="20" t="str">
        <f t="shared" si="69"/>
        <v>Mgtr. Catherine Alvear</v>
      </c>
      <c r="D84" s="20" t="str">
        <f t="shared" si="70"/>
        <v>ENTREGADO</v>
      </c>
      <c r="E84" s="20" t="str">
        <f t="shared" si="71"/>
        <v>ENTREGADO</v>
      </c>
      <c r="F84" s="20" t="str">
        <f t="shared" si="72"/>
        <v>ENTREGADO</v>
      </c>
      <c r="G84" s="20" t="str">
        <f t="shared" si="73"/>
        <v>S/N</v>
      </c>
      <c r="H84" s="20" t="str">
        <f t="shared" si="74"/>
        <v>S/N</v>
      </c>
      <c r="I84" s="20" t="str">
        <f t="shared" si="67"/>
        <v>Estrategia 2</v>
      </c>
      <c r="J84" s="62" t="str">
        <f t="shared" si="67"/>
        <v>Objetivo 2</v>
      </c>
      <c r="K84" s="20" t="str">
        <f>Resumen!$N$12</f>
        <v>x</v>
      </c>
      <c r="L84" s="20" t="str">
        <f t="shared" si="75"/>
        <v>EVIDENCIAS POR COMPLETAR SEGUNDO SEMESTRE</v>
      </c>
      <c r="M84" s="62">
        <f t="shared" si="76"/>
        <v>0.44736842105263158</v>
      </c>
      <c r="N84" s="20">
        <v>2025</v>
      </c>
    </row>
    <row r="85" spans="1:14" ht="14.25" customHeight="1">
      <c r="A85" s="20">
        <f t="shared" si="68"/>
        <v>8</v>
      </c>
      <c r="B85" s="159" t="s">
        <v>38</v>
      </c>
      <c r="C85" s="20" t="str">
        <f t="shared" si="69"/>
        <v>Mgtr. Catherine Alvear</v>
      </c>
      <c r="D85" s="20" t="str">
        <f t="shared" si="70"/>
        <v>ENTREGADO</v>
      </c>
      <c r="E85" s="20" t="str">
        <f t="shared" si="71"/>
        <v>ENTREGADO</v>
      </c>
      <c r="F85" s="20" t="str">
        <f t="shared" si="72"/>
        <v>ENTREGADO</v>
      </c>
      <c r="G85" s="20" t="str">
        <f t="shared" si="73"/>
        <v>S/N</v>
      </c>
      <c r="H85" s="20" t="str">
        <f t="shared" si="74"/>
        <v>S/N</v>
      </c>
      <c r="I85" s="20" t="str">
        <f t="shared" si="67"/>
        <v>Estrategia 2</v>
      </c>
      <c r="J85" s="62" t="str">
        <f t="shared" si="67"/>
        <v>Objetivo 3</v>
      </c>
      <c r="K85" s="20" t="str">
        <f>Resumen!$O$12</f>
        <v>X</v>
      </c>
      <c r="L85" s="20" t="str">
        <f t="shared" si="75"/>
        <v>EVIDENCIAS POR COMPLETAR SEGUNDO SEMESTRE</v>
      </c>
      <c r="M85" s="62">
        <f t="shared" si="76"/>
        <v>0.44736842105263158</v>
      </c>
      <c r="N85" s="20">
        <v>2025</v>
      </c>
    </row>
    <row r="86" spans="1:14" ht="14.25" customHeight="1">
      <c r="A86" s="20">
        <f t="shared" si="68"/>
        <v>8</v>
      </c>
      <c r="B86" s="159" t="s">
        <v>38</v>
      </c>
      <c r="C86" s="20" t="str">
        <f t="shared" si="69"/>
        <v>Mgtr. Catherine Alvear</v>
      </c>
      <c r="D86" s="20" t="str">
        <f t="shared" si="70"/>
        <v>ENTREGADO</v>
      </c>
      <c r="E86" s="20" t="str">
        <f t="shared" si="71"/>
        <v>ENTREGADO</v>
      </c>
      <c r="F86" s="20" t="str">
        <f t="shared" si="72"/>
        <v>ENTREGADO</v>
      </c>
      <c r="G86" s="20" t="str">
        <f t="shared" si="73"/>
        <v>S/N</v>
      </c>
      <c r="H86" s="20" t="str">
        <f t="shared" si="74"/>
        <v>S/N</v>
      </c>
      <c r="I86" s="20" t="str">
        <f t="shared" si="67"/>
        <v>Estrategia 3</v>
      </c>
      <c r="J86" s="62" t="str">
        <f t="shared" si="67"/>
        <v>Objetivo 1</v>
      </c>
      <c r="K86" s="20" t="str">
        <f>Resumen!$P$12</f>
        <v>X</v>
      </c>
      <c r="L86" s="20" t="str">
        <f t="shared" si="75"/>
        <v>EVIDENCIAS POR COMPLETAR SEGUNDO SEMESTRE</v>
      </c>
      <c r="M86" s="62">
        <f t="shared" si="76"/>
        <v>0.44736842105263158</v>
      </c>
      <c r="N86" s="20">
        <v>2025</v>
      </c>
    </row>
    <row r="87" spans="1:14" ht="14.25" customHeight="1">
      <c r="A87" s="20">
        <f t="shared" si="68"/>
        <v>8</v>
      </c>
      <c r="B87" s="159" t="s">
        <v>38</v>
      </c>
      <c r="C87" s="20" t="str">
        <f t="shared" si="69"/>
        <v>Mgtr. Catherine Alvear</v>
      </c>
      <c r="D87" s="20" t="str">
        <f t="shared" si="70"/>
        <v>ENTREGADO</v>
      </c>
      <c r="E87" s="20" t="str">
        <f t="shared" si="71"/>
        <v>ENTREGADO</v>
      </c>
      <c r="F87" s="20" t="str">
        <f t="shared" si="72"/>
        <v>ENTREGADO</v>
      </c>
      <c r="G87" s="20" t="str">
        <f t="shared" si="73"/>
        <v>S/N</v>
      </c>
      <c r="H87" s="20" t="str">
        <f t="shared" si="74"/>
        <v>S/N</v>
      </c>
      <c r="I87" s="20" t="str">
        <f t="shared" si="67"/>
        <v>Estrategia 3</v>
      </c>
      <c r="J87" s="62" t="str">
        <f t="shared" si="67"/>
        <v>Objetivo 2</v>
      </c>
      <c r="K87" s="20" t="str">
        <f>Resumen!$Q$12</f>
        <v>X</v>
      </c>
      <c r="L87" s="20" t="str">
        <f t="shared" si="75"/>
        <v>EVIDENCIAS POR COMPLETAR SEGUNDO SEMESTRE</v>
      </c>
      <c r="M87" s="62">
        <f t="shared" si="76"/>
        <v>0.44736842105263158</v>
      </c>
      <c r="N87" s="20">
        <v>2025</v>
      </c>
    </row>
    <row r="88" spans="1:14" ht="14.25" customHeight="1">
      <c r="A88" s="20">
        <f t="shared" si="68"/>
        <v>8</v>
      </c>
      <c r="B88" s="159" t="s">
        <v>38</v>
      </c>
      <c r="C88" s="20" t="str">
        <f t="shared" si="69"/>
        <v>Mgtr. Catherine Alvear</v>
      </c>
      <c r="D88" s="20" t="str">
        <f t="shared" si="70"/>
        <v>ENTREGADO</v>
      </c>
      <c r="E88" s="20" t="str">
        <f t="shared" si="71"/>
        <v>ENTREGADO</v>
      </c>
      <c r="F88" s="20" t="str">
        <f t="shared" si="72"/>
        <v>ENTREGADO</v>
      </c>
      <c r="G88" s="20" t="str">
        <f t="shared" si="73"/>
        <v>S/N</v>
      </c>
      <c r="H88" s="20" t="str">
        <f t="shared" si="74"/>
        <v>S/N</v>
      </c>
      <c r="I88" s="20" t="str">
        <f t="shared" si="67"/>
        <v>Estrategia 3</v>
      </c>
      <c r="J88" s="62" t="str">
        <f t="shared" si="67"/>
        <v>Objetivo 3</v>
      </c>
      <c r="K88" s="20" t="str">
        <f>Resumen!$R$12</f>
        <v>X</v>
      </c>
      <c r="L88" s="20" t="str">
        <f t="shared" si="75"/>
        <v>EVIDENCIAS POR COMPLETAR SEGUNDO SEMESTRE</v>
      </c>
      <c r="M88" s="62">
        <f t="shared" si="76"/>
        <v>0.44736842105263158</v>
      </c>
      <c r="N88" s="20">
        <v>2025</v>
      </c>
    </row>
    <row r="89" spans="1:14" ht="14.25" customHeight="1">
      <c r="A89" s="20">
        <f t="shared" si="68"/>
        <v>8</v>
      </c>
      <c r="B89" s="159" t="s">
        <v>38</v>
      </c>
      <c r="C89" s="20" t="str">
        <f t="shared" si="69"/>
        <v>Mgtr. Catherine Alvear</v>
      </c>
      <c r="D89" s="20" t="str">
        <f t="shared" si="70"/>
        <v>ENTREGADO</v>
      </c>
      <c r="E89" s="20" t="str">
        <f t="shared" si="71"/>
        <v>ENTREGADO</v>
      </c>
      <c r="F89" s="20" t="str">
        <f t="shared" si="72"/>
        <v>ENTREGADO</v>
      </c>
      <c r="G89" s="20" t="str">
        <f t="shared" si="73"/>
        <v>S/N</v>
      </c>
      <c r="H89" s="20" t="str">
        <f t="shared" si="74"/>
        <v>S/N</v>
      </c>
      <c r="I89" s="20" t="str">
        <f t="shared" si="67"/>
        <v>Estrategia 4</v>
      </c>
      <c r="J89" s="62" t="str">
        <f t="shared" si="67"/>
        <v>Objetivo 1</v>
      </c>
      <c r="K89" s="20" t="str">
        <f>Resumen!$S$12</f>
        <v>X</v>
      </c>
      <c r="L89" s="20" t="str">
        <f t="shared" si="75"/>
        <v>EVIDENCIAS POR COMPLETAR SEGUNDO SEMESTRE</v>
      </c>
      <c r="M89" s="62">
        <f t="shared" si="76"/>
        <v>0.44736842105263158</v>
      </c>
      <c r="N89" s="20">
        <v>2025</v>
      </c>
    </row>
    <row r="90" spans="1:14" ht="14.25" customHeight="1">
      <c r="A90" s="20">
        <f>Resumen!A13</f>
        <v>9</v>
      </c>
      <c r="B90" s="159" t="s">
        <v>40</v>
      </c>
      <c r="C90" s="20" t="str">
        <f>Resumen!C13</f>
        <v>Mgtr. Fernanda Manosalvas</v>
      </c>
      <c r="D90" s="20" t="str">
        <f>Resumen!D13</f>
        <v>ENTREGADO</v>
      </c>
      <c r="E90" s="20" t="str">
        <f>Resumen!E13</f>
        <v>ENTREGADO</v>
      </c>
      <c r="F90" s="20" t="str">
        <f>Resumen!F13</f>
        <v>ENTREGADO</v>
      </c>
      <c r="G90" s="20" t="str">
        <f>Resumen!G13</f>
        <v>S/N</v>
      </c>
      <c r="H90" s="20" t="str">
        <f>Resumen!H13</f>
        <v>S/N</v>
      </c>
      <c r="I90" s="20" t="str">
        <f t="shared" si="67"/>
        <v>Estrategia 1</v>
      </c>
      <c r="J90" s="62" t="str">
        <f t="shared" si="67"/>
        <v>Objetivo 1</v>
      </c>
      <c r="K90" s="20" t="str">
        <f>Resumen!$I$13</f>
        <v>X</v>
      </c>
      <c r="L90" s="20" t="str">
        <f>Resumen!T13</f>
        <v>EVIDENCIAS POR COMPLETAR SEGUNDO SEMESTRE</v>
      </c>
      <c r="M90" s="62">
        <f>Resumen!U13</f>
        <v>0.43684210526315792</v>
      </c>
      <c r="N90" s="20">
        <v>2025</v>
      </c>
    </row>
    <row r="91" spans="1:14" ht="14.25" customHeight="1">
      <c r="A91" s="20">
        <f t="shared" ref="A91:A100" si="77">$A$90</f>
        <v>9</v>
      </c>
      <c r="B91" s="159" t="s">
        <v>40</v>
      </c>
      <c r="C91" s="20" t="str">
        <f t="shared" ref="C91:C100" si="78">$C$90</f>
        <v>Mgtr. Fernanda Manosalvas</v>
      </c>
      <c r="D91" s="20" t="str">
        <f t="shared" ref="D91:D100" si="79">$D$90</f>
        <v>ENTREGADO</v>
      </c>
      <c r="E91" s="20" t="str">
        <f t="shared" ref="E91:E100" si="80">$E$90</f>
        <v>ENTREGADO</v>
      </c>
      <c r="F91" s="20" t="str">
        <f t="shared" ref="F91:F100" si="81">$F$90</f>
        <v>ENTREGADO</v>
      </c>
      <c r="G91" s="20" t="str">
        <f t="shared" ref="G91:G100" si="82">$G$90</f>
        <v>S/N</v>
      </c>
      <c r="H91" s="20" t="str">
        <f t="shared" ref="H91:H100" si="83">$H$90</f>
        <v>S/N</v>
      </c>
      <c r="I91" s="20" t="str">
        <f t="shared" si="67"/>
        <v>Estrategia 1</v>
      </c>
      <c r="J91" s="62" t="str">
        <f t="shared" si="67"/>
        <v>Objetivo 2</v>
      </c>
      <c r="K91" s="20" t="str">
        <f>Resumen!$J$13</f>
        <v>X</v>
      </c>
      <c r="L91" s="20" t="str">
        <f t="shared" ref="L91:L100" si="84">$L$90</f>
        <v>EVIDENCIAS POR COMPLETAR SEGUNDO SEMESTRE</v>
      </c>
      <c r="M91" s="62">
        <f t="shared" ref="M91:M100" si="85">$M$90</f>
        <v>0.43684210526315792</v>
      </c>
      <c r="N91" s="20">
        <v>2025</v>
      </c>
    </row>
    <row r="92" spans="1:14" ht="14.25" customHeight="1">
      <c r="A92" s="20">
        <f t="shared" si="77"/>
        <v>9</v>
      </c>
      <c r="B92" s="159" t="s">
        <v>40</v>
      </c>
      <c r="C92" s="20" t="str">
        <f t="shared" si="78"/>
        <v>Mgtr. Fernanda Manosalvas</v>
      </c>
      <c r="D92" s="20" t="str">
        <f t="shared" si="79"/>
        <v>ENTREGADO</v>
      </c>
      <c r="E92" s="20" t="str">
        <f t="shared" si="80"/>
        <v>ENTREGADO</v>
      </c>
      <c r="F92" s="20" t="str">
        <f t="shared" si="81"/>
        <v>ENTREGADO</v>
      </c>
      <c r="G92" s="20" t="str">
        <f t="shared" si="82"/>
        <v>S/N</v>
      </c>
      <c r="H92" s="20" t="str">
        <f t="shared" si="83"/>
        <v>S/N</v>
      </c>
      <c r="I92" s="20" t="str">
        <f t="shared" si="67"/>
        <v>Estrategia 1</v>
      </c>
      <c r="J92" s="62" t="str">
        <f t="shared" si="67"/>
        <v>Objetivo 3</v>
      </c>
      <c r="K92" s="20" t="str">
        <f>Resumen!$K$13</f>
        <v>x</v>
      </c>
      <c r="L92" s="20" t="str">
        <f t="shared" si="84"/>
        <v>EVIDENCIAS POR COMPLETAR SEGUNDO SEMESTRE</v>
      </c>
      <c r="M92" s="62">
        <f t="shared" si="85"/>
        <v>0.43684210526315792</v>
      </c>
      <c r="N92" s="20">
        <v>2025</v>
      </c>
    </row>
    <row r="93" spans="1:14" ht="14.25" customHeight="1">
      <c r="A93" s="20">
        <f t="shared" si="77"/>
        <v>9</v>
      </c>
      <c r="B93" s="159" t="s">
        <v>40</v>
      </c>
      <c r="C93" s="20" t="str">
        <f t="shared" si="78"/>
        <v>Mgtr. Fernanda Manosalvas</v>
      </c>
      <c r="D93" s="20" t="str">
        <f t="shared" si="79"/>
        <v>ENTREGADO</v>
      </c>
      <c r="E93" s="20" t="str">
        <f t="shared" si="80"/>
        <v>ENTREGADO</v>
      </c>
      <c r="F93" s="20" t="str">
        <f t="shared" si="81"/>
        <v>ENTREGADO</v>
      </c>
      <c r="G93" s="20" t="str">
        <f t="shared" si="82"/>
        <v>S/N</v>
      </c>
      <c r="H93" s="20" t="str">
        <f t="shared" si="83"/>
        <v>S/N</v>
      </c>
      <c r="I93" s="20" t="str">
        <f t="shared" si="67"/>
        <v>Estrategia 1</v>
      </c>
      <c r="J93" s="62" t="str">
        <f t="shared" si="67"/>
        <v>Objetivo 4</v>
      </c>
      <c r="K93" s="20" t="str">
        <f>Resumen!$L$13</f>
        <v>x</v>
      </c>
      <c r="L93" s="20" t="str">
        <f t="shared" si="84"/>
        <v>EVIDENCIAS POR COMPLETAR SEGUNDO SEMESTRE</v>
      </c>
      <c r="M93" s="62">
        <f t="shared" si="85"/>
        <v>0.43684210526315792</v>
      </c>
      <c r="N93" s="20">
        <v>2025</v>
      </c>
    </row>
    <row r="94" spans="1:14" ht="14.25" customHeight="1">
      <c r="A94" s="20">
        <f t="shared" si="77"/>
        <v>9</v>
      </c>
      <c r="B94" s="159" t="s">
        <v>40</v>
      </c>
      <c r="C94" s="20" t="str">
        <f t="shared" si="78"/>
        <v>Mgtr. Fernanda Manosalvas</v>
      </c>
      <c r="D94" s="20" t="str">
        <f t="shared" si="79"/>
        <v>ENTREGADO</v>
      </c>
      <c r="E94" s="20" t="str">
        <f t="shared" si="80"/>
        <v>ENTREGADO</v>
      </c>
      <c r="F94" s="20" t="str">
        <f t="shared" si="81"/>
        <v>ENTREGADO</v>
      </c>
      <c r="G94" s="20" t="str">
        <f t="shared" si="82"/>
        <v>S/N</v>
      </c>
      <c r="H94" s="20" t="str">
        <f t="shared" si="83"/>
        <v>S/N</v>
      </c>
      <c r="I94" s="20" t="str">
        <f t="shared" si="67"/>
        <v>Estrategia 2</v>
      </c>
      <c r="J94" s="62" t="str">
        <f t="shared" si="67"/>
        <v>Objetivo 1</v>
      </c>
      <c r="K94" s="20" t="str">
        <f>Resumen!$M$13</f>
        <v>x</v>
      </c>
      <c r="L94" s="20" t="str">
        <f t="shared" si="84"/>
        <v>EVIDENCIAS POR COMPLETAR SEGUNDO SEMESTRE</v>
      </c>
      <c r="M94" s="62">
        <f t="shared" si="85"/>
        <v>0.43684210526315792</v>
      </c>
      <c r="N94" s="20">
        <v>2025</v>
      </c>
    </row>
    <row r="95" spans="1:14" ht="14.25" customHeight="1">
      <c r="A95" s="20">
        <f t="shared" si="77"/>
        <v>9</v>
      </c>
      <c r="B95" s="159" t="s">
        <v>40</v>
      </c>
      <c r="C95" s="20" t="str">
        <f t="shared" si="78"/>
        <v>Mgtr. Fernanda Manosalvas</v>
      </c>
      <c r="D95" s="20" t="str">
        <f t="shared" si="79"/>
        <v>ENTREGADO</v>
      </c>
      <c r="E95" s="20" t="str">
        <f t="shared" si="80"/>
        <v>ENTREGADO</v>
      </c>
      <c r="F95" s="20" t="str">
        <f t="shared" si="81"/>
        <v>ENTREGADO</v>
      </c>
      <c r="G95" s="20" t="str">
        <f t="shared" si="82"/>
        <v>S/N</v>
      </c>
      <c r="H95" s="20" t="str">
        <f t="shared" si="83"/>
        <v>S/N</v>
      </c>
      <c r="I95" s="20" t="str">
        <f t="shared" si="67"/>
        <v>Estrategia 2</v>
      </c>
      <c r="J95" s="62" t="str">
        <f t="shared" si="67"/>
        <v>Objetivo 2</v>
      </c>
      <c r="K95" s="20" t="str">
        <f>Resumen!$N$13</f>
        <v>x</v>
      </c>
      <c r="L95" s="20" t="str">
        <f t="shared" si="84"/>
        <v>EVIDENCIAS POR COMPLETAR SEGUNDO SEMESTRE</v>
      </c>
      <c r="M95" s="62">
        <f t="shared" si="85"/>
        <v>0.43684210526315792</v>
      </c>
      <c r="N95" s="20">
        <v>2025</v>
      </c>
    </row>
    <row r="96" spans="1:14" ht="14.25" customHeight="1">
      <c r="A96" s="20">
        <f t="shared" si="77"/>
        <v>9</v>
      </c>
      <c r="B96" s="159" t="s">
        <v>40</v>
      </c>
      <c r="C96" s="20" t="str">
        <f t="shared" si="78"/>
        <v>Mgtr. Fernanda Manosalvas</v>
      </c>
      <c r="D96" s="20" t="str">
        <f t="shared" si="79"/>
        <v>ENTREGADO</v>
      </c>
      <c r="E96" s="20" t="str">
        <f t="shared" si="80"/>
        <v>ENTREGADO</v>
      </c>
      <c r="F96" s="20" t="str">
        <f t="shared" si="81"/>
        <v>ENTREGADO</v>
      </c>
      <c r="G96" s="20" t="str">
        <f t="shared" si="82"/>
        <v>S/N</v>
      </c>
      <c r="H96" s="20" t="str">
        <f t="shared" si="83"/>
        <v>S/N</v>
      </c>
      <c r="I96" s="20" t="str">
        <f t="shared" si="67"/>
        <v>Estrategia 2</v>
      </c>
      <c r="J96" s="62" t="str">
        <f t="shared" si="67"/>
        <v>Objetivo 3</v>
      </c>
      <c r="K96" s="20" t="str">
        <f>Resumen!$O$13</f>
        <v>X</v>
      </c>
      <c r="L96" s="20" t="str">
        <f t="shared" si="84"/>
        <v>EVIDENCIAS POR COMPLETAR SEGUNDO SEMESTRE</v>
      </c>
      <c r="M96" s="62">
        <f t="shared" si="85"/>
        <v>0.43684210526315792</v>
      </c>
      <c r="N96" s="20">
        <v>2025</v>
      </c>
    </row>
    <row r="97" spans="1:14" ht="14.25" customHeight="1">
      <c r="A97" s="20">
        <f t="shared" si="77"/>
        <v>9</v>
      </c>
      <c r="B97" s="159" t="s">
        <v>40</v>
      </c>
      <c r="C97" s="20" t="str">
        <f t="shared" si="78"/>
        <v>Mgtr. Fernanda Manosalvas</v>
      </c>
      <c r="D97" s="20" t="str">
        <f t="shared" si="79"/>
        <v>ENTREGADO</v>
      </c>
      <c r="E97" s="20" t="str">
        <f t="shared" si="80"/>
        <v>ENTREGADO</v>
      </c>
      <c r="F97" s="20" t="str">
        <f t="shared" si="81"/>
        <v>ENTREGADO</v>
      </c>
      <c r="G97" s="20" t="str">
        <f t="shared" si="82"/>
        <v>S/N</v>
      </c>
      <c r="H97" s="20" t="str">
        <f t="shared" si="83"/>
        <v>S/N</v>
      </c>
      <c r="I97" s="20" t="str">
        <f t="shared" si="67"/>
        <v>Estrategia 3</v>
      </c>
      <c r="J97" s="62" t="str">
        <f t="shared" si="67"/>
        <v>Objetivo 1</v>
      </c>
      <c r="K97" s="20" t="str">
        <f>Resumen!$P$13</f>
        <v>X</v>
      </c>
      <c r="L97" s="20" t="str">
        <f t="shared" si="84"/>
        <v>EVIDENCIAS POR COMPLETAR SEGUNDO SEMESTRE</v>
      </c>
      <c r="M97" s="62">
        <f t="shared" si="85"/>
        <v>0.43684210526315792</v>
      </c>
      <c r="N97" s="20">
        <v>2025</v>
      </c>
    </row>
    <row r="98" spans="1:14" ht="14.25" customHeight="1">
      <c r="A98" s="20">
        <f t="shared" si="77"/>
        <v>9</v>
      </c>
      <c r="B98" s="159" t="s">
        <v>40</v>
      </c>
      <c r="C98" s="20" t="str">
        <f t="shared" si="78"/>
        <v>Mgtr. Fernanda Manosalvas</v>
      </c>
      <c r="D98" s="20" t="str">
        <f t="shared" si="79"/>
        <v>ENTREGADO</v>
      </c>
      <c r="E98" s="20" t="str">
        <f t="shared" si="80"/>
        <v>ENTREGADO</v>
      </c>
      <c r="F98" s="20" t="str">
        <f t="shared" si="81"/>
        <v>ENTREGADO</v>
      </c>
      <c r="G98" s="20" t="str">
        <f t="shared" si="82"/>
        <v>S/N</v>
      </c>
      <c r="H98" s="20" t="str">
        <f t="shared" si="83"/>
        <v>S/N</v>
      </c>
      <c r="I98" s="20" t="str">
        <f t="shared" si="67"/>
        <v>Estrategia 3</v>
      </c>
      <c r="J98" s="62" t="str">
        <f t="shared" si="67"/>
        <v>Objetivo 2</v>
      </c>
      <c r="K98" s="20" t="str">
        <f>Resumen!$Q$13</f>
        <v>X</v>
      </c>
      <c r="L98" s="20" t="str">
        <f t="shared" si="84"/>
        <v>EVIDENCIAS POR COMPLETAR SEGUNDO SEMESTRE</v>
      </c>
      <c r="M98" s="62">
        <f t="shared" si="85"/>
        <v>0.43684210526315792</v>
      </c>
      <c r="N98" s="20">
        <v>2025</v>
      </c>
    </row>
    <row r="99" spans="1:14" ht="14.25" customHeight="1">
      <c r="A99" s="20">
        <f t="shared" si="77"/>
        <v>9</v>
      </c>
      <c r="B99" s="159" t="s">
        <v>40</v>
      </c>
      <c r="C99" s="20" t="str">
        <f t="shared" si="78"/>
        <v>Mgtr. Fernanda Manosalvas</v>
      </c>
      <c r="D99" s="20" t="str">
        <f t="shared" si="79"/>
        <v>ENTREGADO</v>
      </c>
      <c r="E99" s="20" t="str">
        <f t="shared" si="80"/>
        <v>ENTREGADO</v>
      </c>
      <c r="F99" s="20" t="str">
        <f t="shared" si="81"/>
        <v>ENTREGADO</v>
      </c>
      <c r="G99" s="20" t="str">
        <f t="shared" si="82"/>
        <v>S/N</v>
      </c>
      <c r="H99" s="20" t="str">
        <f t="shared" si="83"/>
        <v>S/N</v>
      </c>
      <c r="I99" s="20" t="str">
        <f t="shared" ref="I99:J118" si="86">I88</f>
        <v>Estrategia 3</v>
      </c>
      <c r="J99" s="62" t="str">
        <f t="shared" si="86"/>
        <v>Objetivo 3</v>
      </c>
      <c r="K99" s="20" t="str">
        <f>Resumen!$R$13</f>
        <v>X</v>
      </c>
      <c r="L99" s="20" t="str">
        <f t="shared" si="84"/>
        <v>EVIDENCIAS POR COMPLETAR SEGUNDO SEMESTRE</v>
      </c>
      <c r="M99" s="62">
        <f t="shared" si="85"/>
        <v>0.43684210526315792</v>
      </c>
      <c r="N99" s="20">
        <v>2025</v>
      </c>
    </row>
    <row r="100" spans="1:14" ht="14.25" customHeight="1">
      <c r="A100" s="20">
        <f t="shared" si="77"/>
        <v>9</v>
      </c>
      <c r="B100" s="159" t="s">
        <v>40</v>
      </c>
      <c r="C100" s="20" t="str">
        <f t="shared" si="78"/>
        <v>Mgtr. Fernanda Manosalvas</v>
      </c>
      <c r="D100" s="20" t="str">
        <f t="shared" si="79"/>
        <v>ENTREGADO</v>
      </c>
      <c r="E100" s="20" t="str">
        <f t="shared" si="80"/>
        <v>ENTREGADO</v>
      </c>
      <c r="F100" s="20" t="str">
        <f t="shared" si="81"/>
        <v>ENTREGADO</v>
      </c>
      <c r="G100" s="20" t="str">
        <f t="shared" si="82"/>
        <v>S/N</v>
      </c>
      <c r="H100" s="20" t="str">
        <f t="shared" si="83"/>
        <v>S/N</v>
      </c>
      <c r="I100" s="20" t="str">
        <f t="shared" si="86"/>
        <v>Estrategia 4</v>
      </c>
      <c r="J100" s="62" t="str">
        <f t="shared" si="86"/>
        <v>Objetivo 1</v>
      </c>
      <c r="K100" s="20" t="str">
        <f>Resumen!$S$13</f>
        <v>X</v>
      </c>
      <c r="L100" s="20" t="str">
        <f t="shared" si="84"/>
        <v>EVIDENCIAS POR COMPLETAR SEGUNDO SEMESTRE</v>
      </c>
      <c r="M100" s="62">
        <f t="shared" si="85"/>
        <v>0.43684210526315792</v>
      </c>
      <c r="N100" s="20">
        <v>2025</v>
      </c>
    </row>
    <row r="101" spans="1:14" ht="14.25" customHeight="1">
      <c r="A101" s="20">
        <f>Resumen!A14</f>
        <v>10</v>
      </c>
      <c r="B101" s="159" t="s">
        <v>42</v>
      </c>
      <c r="C101" s="20" t="str">
        <f>Resumen!C14</f>
        <v>Mgtr. Adrián Criollo</v>
      </c>
      <c r="D101" s="20" t="str">
        <f>Resumen!D14</f>
        <v>ENTREGADO</v>
      </c>
      <c r="E101" s="20" t="str">
        <f>Resumen!E14</f>
        <v>ENTREGADO</v>
      </c>
      <c r="F101" s="20" t="str">
        <f>Resumen!F14</f>
        <v>ENTREGADO</v>
      </c>
      <c r="G101" s="20" t="str">
        <f>Resumen!G14</f>
        <v>S/N</v>
      </c>
      <c r="H101" s="20" t="str">
        <f>Resumen!H14</f>
        <v>S/N</v>
      </c>
      <c r="I101" s="20" t="str">
        <f t="shared" si="86"/>
        <v>Estrategia 1</v>
      </c>
      <c r="J101" s="62" t="str">
        <f t="shared" si="86"/>
        <v>Objetivo 1</v>
      </c>
      <c r="K101" s="20" t="str">
        <f>Resumen!$I$14</f>
        <v>X</v>
      </c>
      <c r="L101" s="20" t="str">
        <f>Resumen!T14</f>
        <v>EVIDENCIAS POR COMPLETAR SEGUNDO SEMESTRE</v>
      </c>
      <c r="M101" s="62">
        <f>Resumen!U14</f>
        <v>0.86315789473684201</v>
      </c>
      <c r="N101" s="20">
        <v>2025</v>
      </c>
    </row>
    <row r="102" spans="1:14" ht="14.25" customHeight="1">
      <c r="A102" s="20">
        <f t="shared" ref="A102:A111" si="87">$A$101</f>
        <v>10</v>
      </c>
      <c r="B102" s="159" t="s">
        <v>42</v>
      </c>
      <c r="C102" s="20" t="str">
        <f t="shared" ref="C102:C111" si="88">$C$101</f>
        <v>Mgtr. Adrián Criollo</v>
      </c>
      <c r="D102" s="20" t="str">
        <f t="shared" ref="D102:D110" si="89">$D$101</f>
        <v>ENTREGADO</v>
      </c>
      <c r="E102" s="20" t="str">
        <f t="shared" ref="E102:E110" si="90">$E$101</f>
        <v>ENTREGADO</v>
      </c>
      <c r="F102" s="20" t="str">
        <f t="shared" ref="F102:F111" si="91">$F$101</f>
        <v>ENTREGADO</v>
      </c>
      <c r="G102" s="20" t="str">
        <f t="shared" ref="G102:G111" si="92">$G$101</f>
        <v>S/N</v>
      </c>
      <c r="H102" s="20" t="str">
        <f t="shared" ref="H102:H111" si="93">$H$101</f>
        <v>S/N</v>
      </c>
      <c r="I102" s="20" t="str">
        <f t="shared" si="86"/>
        <v>Estrategia 1</v>
      </c>
      <c r="J102" s="62" t="str">
        <f t="shared" si="86"/>
        <v>Objetivo 2</v>
      </c>
      <c r="K102" s="20" t="str">
        <f>Resumen!$J$14</f>
        <v>X</v>
      </c>
      <c r="L102" s="20" t="str">
        <f t="shared" ref="L102:L111" si="94">$L$101</f>
        <v>EVIDENCIAS POR COMPLETAR SEGUNDO SEMESTRE</v>
      </c>
      <c r="M102" s="62">
        <f t="shared" ref="M102:M111" si="95">$M$101</f>
        <v>0.86315789473684201</v>
      </c>
      <c r="N102" s="20">
        <v>2025</v>
      </c>
    </row>
    <row r="103" spans="1:14" ht="14.25" customHeight="1">
      <c r="A103" s="20">
        <f t="shared" si="87"/>
        <v>10</v>
      </c>
      <c r="B103" s="159" t="s">
        <v>42</v>
      </c>
      <c r="C103" s="20" t="str">
        <f t="shared" si="88"/>
        <v>Mgtr. Adrián Criollo</v>
      </c>
      <c r="D103" s="20" t="str">
        <f t="shared" si="89"/>
        <v>ENTREGADO</v>
      </c>
      <c r="E103" s="20" t="str">
        <f t="shared" si="90"/>
        <v>ENTREGADO</v>
      </c>
      <c r="F103" s="20" t="str">
        <f t="shared" si="91"/>
        <v>ENTREGADO</v>
      </c>
      <c r="G103" s="20" t="str">
        <f t="shared" si="92"/>
        <v>S/N</v>
      </c>
      <c r="H103" s="20" t="str">
        <f t="shared" si="93"/>
        <v>S/N</v>
      </c>
      <c r="I103" s="20" t="str">
        <f t="shared" si="86"/>
        <v>Estrategia 1</v>
      </c>
      <c r="J103" s="62" t="str">
        <f t="shared" si="86"/>
        <v>Objetivo 3</v>
      </c>
      <c r="K103" s="20" t="str">
        <f>Resumen!$K$14</f>
        <v>x</v>
      </c>
      <c r="L103" s="20" t="str">
        <f t="shared" si="94"/>
        <v>EVIDENCIAS POR COMPLETAR SEGUNDO SEMESTRE</v>
      </c>
      <c r="M103" s="62">
        <f t="shared" si="95"/>
        <v>0.86315789473684201</v>
      </c>
      <c r="N103" s="20">
        <v>2025</v>
      </c>
    </row>
    <row r="104" spans="1:14" ht="14.25" customHeight="1">
      <c r="A104" s="20">
        <f t="shared" si="87"/>
        <v>10</v>
      </c>
      <c r="B104" s="159" t="s">
        <v>42</v>
      </c>
      <c r="C104" s="20" t="str">
        <f t="shared" si="88"/>
        <v>Mgtr. Adrián Criollo</v>
      </c>
      <c r="D104" s="20" t="str">
        <f t="shared" si="89"/>
        <v>ENTREGADO</v>
      </c>
      <c r="E104" s="20" t="str">
        <f t="shared" si="90"/>
        <v>ENTREGADO</v>
      </c>
      <c r="F104" s="20" t="str">
        <f t="shared" si="91"/>
        <v>ENTREGADO</v>
      </c>
      <c r="G104" s="20" t="str">
        <f t="shared" si="92"/>
        <v>S/N</v>
      </c>
      <c r="H104" s="20" t="str">
        <f t="shared" si="93"/>
        <v>S/N</v>
      </c>
      <c r="I104" s="20" t="str">
        <f t="shared" si="86"/>
        <v>Estrategia 1</v>
      </c>
      <c r="J104" s="62" t="str">
        <f t="shared" si="86"/>
        <v>Objetivo 4</v>
      </c>
      <c r="K104" s="20" t="str">
        <f>Resumen!$L$14</f>
        <v>x</v>
      </c>
      <c r="L104" s="20" t="str">
        <f t="shared" si="94"/>
        <v>EVIDENCIAS POR COMPLETAR SEGUNDO SEMESTRE</v>
      </c>
      <c r="M104" s="62">
        <f t="shared" si="95"/>
        <v>0.86315789473684201</v>
      </c>
      <c r="N104" s="20">
        <v>2025</v>
      </c>
    </row>
    <row r="105" spans="1:14" ht="14.25" customHeight="1">
      <c r="A105" s="20">
        <f t="shared" si="87"/>
        <v>10</v>
      </c>
      <c r="B105" s="159" t="s">
        <v>42</v>
      </c>
      <c r="C105" s="20" t="str">
        <f t="shared" si="88"/>
        <v>Mgtr. Adrián Criollo</v>
      </c>
      <c r="D105" s="20" t="str">
        <f t="shared" si="89"/>
        <v>ENTREGADO</v>
      </c>
      <c r="E105" s="20" t="str">
        <f t="shared" si="90"/>
        <v>ENTREGADO</v>
      </c>
      <c r="F105" s="20" t="str">
        <f t="shared" si="91"/>
        <v>ENTREGADO</v>
      </c>
      <c r="G105" s="20" t="str">
        <f t="shared" si="92"/>
        <v>S/N</v>
      </c>
      <c r="H105" s="20" t="str">
        <f t="shared" si="93"/>
        <v>S/N</v>
      </c>
      <c r="I105" s="20" t="str">
        <f t="shared" si="86"/>
        <v>Estrategia 2</v>
      </c>
      <c r="J105" s="62" t="str">
        <f t="shared" si="86"/>
        <v>Objetivo 1</v>
      </c>
      <c r="K105" s="20" t="str">
        <f>Resumen!$M$14</f>
        <v>x</v>
      </c>
      <c r="L105" s="20" t="str">
        <f t="shared" si="94"/>
        <v>EVIDENCIAS POR COMPLETAR SEGUNDO SEMESTRE</v>
      </c>
      <c r="M105" s="62">
        <f t="shared" si="95"/>
        <v>0.86315789473684201</v>
      </c>
      <c r="N105" s="20">
        <v>2025</v>
      </c>
    </row>
    <row r="106" spans="1:14" ht="14.25" customHeight="1">
      <c r="A106" s="20">
        <f t="shared" si="87"/>
        <v>10</v>
      </c>
      <c r="B106" s="159" t="s">
        <v>42</v>
      </c>
      <c r="C106" s="20" t="str">
        <f t="shared" si="88"/>
        <v>Mgtr. Adrián Criollo</v>
      </c>
      <c r="D106" s="20" t="str">
        <f t="shared" si="89"/>
        <v>ENTREGADO</v>
      </c>
      <c r="E106" s="20" t="str">
        <f t="shared" si="90"/>
        <v>ENTREGADO</v>
      </c>
      <c r="F106" s="20" t="str">
        <f t="shared" si="91"/>
        <v>ENTREGADO</v>
      </c>
      <c r="G106" s="20" t="str">
        <f t="shared" si="92"/>
        <v>S/N</v>
      </c>
      <c r="H106" s="20" t="str">
        <f t="shared" si="93"/>
        <v>S/N</v>
      </c>
      <c r="I106" s="20" t="str">
        <f t="shared" si="86"/>
        <v>Estrategia 2</v>
      </c>
      <c r="J106" s="62" t="str">
        <f t="shared" si="86"/>
        <v>Objetivo 2</v>
      </c>
      <c r="K106" s="20" t="str">
        <f>Resumen!$N$14</f>
        <v>x</v>
      </c>
      <c r="L106" s="20" t="str">
        <f t="shared" si="94"/>
        <v>EVIDENCIAS POR COMPLETAR SEGUNDO SEMESTRE</v>
      </c>
      <c r="M106" s="62">
        <f t="shared" si="95"/>
        <v>0.86315789473684201</v>
      </c>
      <c r="N106" s="20">
        <v>2025</v>
      </c>
    </row>
    <row r="107" spans="1:14" ht="14.25" customHeight="1">
      <c r="A107" s="20">
        <f t="shared" si="87"/>
        <v>10</v>
      </c>
      <c r="B107" s="159" t="s">
        <v>42</v>
      </c>
      <c r="C107" s="20" t="str">
        <f t="shared" si="88"/>
        <v>Mgtr. Adrián Criollo</v>
      </c>
      <c r="D107" s="20" t="str">
        <f t="shared" si="89"/>
        <v>ENTREGADO</v>
      </c>
      <c r="E107" s="20" t="str">
        <f t="shared" si="90"/>
        <v>ENTREGADO</v>
      </c>
      <c r="F107" s="20" t="str">
        <f t="shared" si="91"/>
        <v>ENTREGADO</v>
      </c>
      <c r="G107" s="20" t="str">
        <f t="shared" si="92"/>
        <v>S/N</v>
      </c>
      <c r="H107" s="20" t="str">
        <f t="shared" si="93"/>
        <v>S/N</v>
      </c>
      <c r="I107" s="20" t="str">
        <f t="shared" si="86"/>
        <v>Estrategia 2</v>
      </c>
      <c r="J107" s="62" t="str">
        <f t="shared" si="86"/>
        <v>Objetivo 3</v>
      </c>
      <c r="K107" s="20" t="str">
        <f>Resumen!$O$14</f>
        <v>X</v>
      </c>
      <c r="L107" s="20" t="str">
        <f t="shared" si="94"/>
        <v>EVIDENCIAS POR COMPLETAR SEGUNDO SEMESTRE</v>
      </c>
      <c r="M107" s="62">
        <f t="shared" si="95"/>
        <v>0.86315789473684201</v>
      </c>
      <c r="N107" s="20">
        <v>2025</v>
      </c>
    </row>
    <row r="108" spans="1:14" ht="14.25" customHeight="1">
      <c r="A108" s="20">
        <f t="shared" si="87"/>
        <v>10</v>
      </c>
      <c r="B108" s="159" t="s">
        <v>42</v>
      </c>
      <c r="C108" s="20" t="str">
        <f t="shared" si="88"/>
        <v>Mgtr. Adrián Criollo</v>
      </c>
      <c r="D108" s="20" t="str">
        <f t="shared" si="89"/>
        <v>ENTREGADO</v>
      </c>
      <c r="E108" s="20" t="str">
        <f t="shared" si="90"/>
        <v>ENTREGADO</v>
      </c>
      <c r="F108" s="20" t="str">
        <f t="shared" si="91"/>
        <v>ENTREGADO</v>
      </c>
      <c r="G108" s="20" t="str">
        <f t="shared" si="92"/>
        <v>S/N</v>
      </c>
      <c r="H108" s="20" t="str">
        <f t="shared" si="93"/>
        <v>S/N</v>
      </c>
      <c r="I108" s="20" t="str">
        <f t="shared" si="86"/>
        <v>Estrategia 3</v>
      </c>
      <c r="J108" s="62" t="str">
        <f t="shared" si="86"/>
        <v>Objetivo 1</v>
      </c>
      <c r="K108" s="20" t="str">
        <f>Resumen!$P$14</f>
        <v>X</v>
      </c>
      <c r="L108" s="20" t="str">
        <f t="shared" si="94"/>
        <v>EVIDENCIAS POR COMPLETAR SEGUNDO SEMESTRE</v>
      </c>
      <c r="M108" s="62">
        <f t="shared" si="95"/>
        <v>0.86315789473684201</v>
      </c>
      <c r="N108" s="20">
        <v>2025</v>
      </c>
    </row>
    <row r="109" spans="1:14" ht="14.25" customHeight="1">
      <c r="A109" s="20">
        <f t="shared" si="87"/>
        <v>10</v>
      </c>
      <c r="B109" s="159" t="s">
        <v>42</v>
      </c>
      <c r="C109" s="20" t="str">
        <f t="shared" si="88"/>
        <v>Mgtr. Adrián Criollo</v>
      </c>
      <c r="D109" s="20" t="str">
        <f t="shared" si="89"/>
        <v>ENTREGADO</v>
      </c>
      <c r="E109" s="20" t="str">
        <f t="shared" si="90"/>
        <v>ENTREGADO</v>
      </c>
      <c r="F109" s="20" t="str">
        <f t="shared" si="91"/>
        <v>ENTREGADO</v>
      </c>
      <c r="G109" s="20" t="str">
        <f t="shared" si="92"/>
        <v>S/N</v>
      </c>
      <c r="H109" s="20" t="str">
        <f t="shared" si="93"/>
        <v>S/N</v>
      </c>
      <c r="I109" s="20" t="str">
        <f t="shared" si="86"/>
        <v>Estrategia 3</v>
      </c>
      <c r="J109" s="62" t="str">
        <f t="shared" si="86"/>
        <v>Objetivo 2</v>
      </c>
      <c r="K109" s="20" t="str">
        <f>Resumen!$Q$14</f>
        <v>X</v>
      </c>
      <c r="L109" s="20" t="str">
        <f t="shared" si="94"/>
        <v>EVIDENCIAS POR COMPLETAR SEGUNDO SEMESTRE</v>
      </c>
      <c r="M109" s="62">
        <f t="shared" si="95"/>
        <v>0.86315789473684201</v>
      </c>
      <c r="N109" s="20">
        <v>2025</v>
      </c>
    </row>
    <row r="110" spans="1:14" ht="14.25" customHeight="1">
      <c r="A110" s="20">
        <f t="shared" si="87"/>
        <v>10</v>
      </c>
      <c r="B110" s="159" t="s">
        <v>42</v>
      </c>
      <c r="C110" s="20" t="str">
        <f t="shared" si="88"/>
        <v>Mgtr. Adrián Criollo</v>
      </c>
      <c r="D110" s="20" t="str">
        <f t="shared" si="89"/>
        <v>ENTREGADO</v>
      </c>
      <c r="E110" s="20" t="str">
        <f t="shared" si="90"/>
        <v>ENTREGADO</v>
      </c>
      <c r="F110" s="20" t="str">
        <f t="shared" si="91"/>
        <v>ENTREGADO</v>
      </c>
      <c r="G110" s="20" t="str">
        <f t="shared" si="92"/>
        <v>S/N</v>
      </c>
      <c r="H110" s="20" t="str">
        <f t="shared" si="93"/>
        <v>S/N</v>
      </c>
      <c r="I110" s="20" t="str">
        <f t="shared" si="86"/>
        <v>Estrategia 3</v>
      </c>
      <c r="J110" s="62" t="str">
        <f t="shared" si="86"/>
        <v>Objetivo 3</v>
      </c>
      <c r="K110" s="20" t="str">
        <f>Resumen!$R$14</f>
        <v>X</v>
      </c>
      <c r="L110" s="20" t="str">
        <f t="shared" si="94"/>
        <v>EVIDENCIAS POR COMPLETAR SEGUNDO SEMESTRE</v>
      </c>
      <c r="M110" s="62">
        <f t="shared" si="95"/>
        <v>0.86315789473684201</v>
      </c>
      <c r="N110" s="20">
        <v>2025</v>
      </c>
    </row>
    <row r="111" spans="1:14" ht="14.25" customHeight="1">
      <c r="A111" s="20">
        <f t="shared" si="87"/>
        <v>10</v>
      </c>
      <c r="B111" s="159" t="s">
        <v>42</v>
      </c>
      <c r="C111" s="20" t="str">
        <f t="shared" si="88"/>
        <v>Mgtr. Adrián Criollo</v>
      </c>
      <c r="D111" s="20" t="str">
        <f>$D$110</f>
        <v>ENTREGADO</v>
      </c>
      <c r="E111" s="20" t="str">
        <f>$E$110</f>
        <v>ENTREGADO</v>
      </c>
      <c r="F111" s="20" t="str">
        <f t="shared" si="91"/>
        <v>ENTREGADO</v>
      </c>
      <c r="G111" s="20" t="str">
        <f t="shared" si="92"/>
        <v>S/N</v>
      </c>
      <c r="H111" s="20" t="str">
        <f t="shared" si="93"/>
        <v>S/N</v>
      </c>
      <c r="I111" s="20" t="str">
        <f t="shared" si="86"/>
        <v>Estrategia 4</v>
      </c>
      <c r="J111" s="62" t="str">
        <f t="shared" si="86"/>
        <v>Objetivo 1</v>
      </c>
      <c r="K111" s="20" t="str">
        <f>Resumen!$S$14</f>
        <v>X</v>
      </c>
      <c r="L111" s="20" t="str">
        <f t="shared" si="94"/>
        <v>EVIDENCIAS POR COMPLETAR SEGUNDO SEMESTRE</v>
      </c>
      <c r="M111" s="62">
        <f t="shared" si="95"/>
        <v>0.86315789473684201</v>
      </c>
      <c r="N111" s="20">
        <v>2025</v>
      </c>
    </row>
    <row r="112" spans="1:14" ht="14.25" customHeight="1">
      <c r="A112" s="20">
        <f>Resumen!A15</f>
        <v>11</v>
      </c>
      <c r="B112" s="159" t="s">
        <v>44</v>
      </c>
      <c r="C112" s="20" t="str">
        <f>Resumen!C15</f>
        <v>Mgtr. Ivan Vera</v>
      </c>
      <c r="D112" s="20" t="str">
        <f>Resumen!D15</f>
        <v>ENTREGADO</v>
      </c>
      <c r="E112" s="20" t="str">
        <f>Resumen!E15</f>
        <v>ENTREGADO</v>
      </c>
      <c r="F112" s="20" t="str">
        <f>Resumen!F15</f>
        <v>ENTREGADO</v>
      </c>
      <c r="G112" s="20" t="str">
        <f>Resumen!G15</f>
        <v>S/N</v>
      </c>
      <c r="H112" s="20" t="str">
        <f>Resumen!H15</f>
        <v>S/N</v>
      </c>
      <c r="I112" s="20" t="str">
        <f t="shared" si="86"/>
        <v>Estrategia 1</v>
      </c>
      <c r="J112" s="62" t="str">
        <f t="shared" si="86"/>
        <v>Objetivo 1</v>
      </c>
      <c r="K112" s="20" t="str">
        <f>Resumen!$I$16</f>
        <v>X</v>
      </c>
      <c r="L112" s="20" t="str">
        <f>Resumen!T15</f>
        <v>EVIDENCIAS POR COMPLETAR SEGUNDO SEMESTRE</v>
      </c>
      <c r="M112" s="62">
        <f>Resumen!U15</f>
        <v>0.82894736842105265</v>
      </c>
      <c r="N112" s="20">
        <v>2025</v>
      </c>
    </row>
    <row r="113" spans="1:14" ht="14.25" customHeight="1">
      <c r="A113" s="20">
        <f t="shared" ref="A113:A122" si="96">$A$112</f>
        <v>11</v>
      </c>
      <c r="B113" s="159" t="s">
        <v>44</v>
      </c>
      <c r="C113" s="20" t="str">
        <f t="shared" ref="C113:C122" si="97">$C$112</f>
        <v>Mgtr. Ivan Vera</v>
      </c>
      <c r="D113" s="20" t="str">
        <f t="shared" ref="D113:D122" si="98">$D$112</f>
        <v>ENTREGADO</v>
      </c>
      <c r="E113" s="20" t="str">
        <f t="shared" ref="E113:E122" si="99">$E$112</f>
        <v>ENTREGADO</v>
      </c>
      <c r="F113" s="20" t="str">
        <f t="shared" ref="F113:F122" si="100">$F$112</f>
        <v>ENTREGADO</v>
      </c>
      <c r="G113" s="20" t="str">
        <f t="shared" ref="G113:G122" si="101">$G$112</f>
        <v>S/N</v>
      </c>
      <c r="H113" s="20" t="str">
        <f t="shared" ref="H113:H122" si="102">$H$112</f>
        <v>S/N</v>
      </c>
      <c r="I113" s="20" t="str">
        <f t="shared" si="86"/>
        <v>Estrategia 1</v>
      </c>
      <c r="J113" s="62" t="str">
        <f t="shared" si="86"/>
        <v>Objetivo 2</v>
      </c>
      <c r="K113" s="20" t="str">
        <f>Resumen!$J$15</f>
        <v>X</v>
      </c>
      <c r="L113" s="20" t="str">
        <f t="shared" ref="L113:L122" si="103">$L$112</f>
        <v>EVIDENCIAS POR COMPLETAR SEGUNDO SEMESTRE</v>
      </c>
      <c r="M113" s="62">
        <f t="shared" ref="M113:M122" si="104">$M$112</f>
        <v>0.82894736842105265</v>
      </c>
      <c r="N113" s="20">
        <v>2025</v>
      </c>
    </row>
    <row r="114" spans="1:14" ht="14.25" customHeight="1">
      <c r="A114" s="20">
        <f t="shared" si="96"/>
        <v>11</v>
      </c>
      <c r="B114" s="159" t="s">
        <v>44</v>
      </c>
      <c r="C114" s="20" t="str">
        <f t="shared" si="97"/>
        <v>Mgtr. Ivan Vera</v>
      </c>
      <c r="D114" s="20" t="str">
        <f t="shared" si="98"/>
        <v>ENTREGADO</v>
      </c>
      <c r="E114" s="20" t="str">
        <f t="shared" si="99"/>
        <v>ENTREGADO</v>
      </c>
      <c r="F114" s="20" t="str">
        <f t="shared" si="100"/>
        <v>ENTREGADO</v>
      </c>
      <c r="G114" s="20" t="str">
        <f t="shared" si="101"/>
        <v>S/N</v>
      </c>
      <c r="H114" s="20" t="str">
        <f t="shared" si="102"/>
        <v>S/N</v>
      </c>
      <c r="I114" s="20" t="str">
        <f t="shared" si="86"/>
        <v>Estrategia 1</v>
      </c>
      <c r="J114" s="62" t="str">
        <f t="shared" si="86"/>
        <v>Objetivo 3</v>
      </c>
      <c r="K114" s="20" t="str">
        <f>Resumen!$K$15</f>
        <v>x</v>
      </c>
      <c r="L114" s="20" t="str">
        <f t="shared" si="103"/>
        <v>EVIDENCIAS POR COMPLETAR SEGUNDO SEMESTRE</v>
      </c>
      <c r="M114" s="62">
        <f t="shared" si="104"/>
        <v>0.82894736842105265</v>
      </c>
      <c r="N114" s="20">
        <v>2025</v>
      </c>
    </row>
    <row r="115" spans="1:14" ht="14.25" customHeight="1">
      <c r="A115" s="20">
        <f t="shared" si="96"/>
        <v>11</v>
      </c>
      <c r="B115" s="159" t="s">
        <v>44</v>
      </c>
      <c r="C115" s="20" t="str">
        <f t="shared" si="97"/>
        <v>Mgtr. Ivan Vera</v>
      </c>
      <c r="D115" s="20" t="str">
        <f t="shared" si="98"/>
        <v>ENTREGADO</v>
      </c>
      <c r="E115" s="20" t="str">
        <f t="shared" si="99"/>
        <v>ENTREGADO</v>
      </c>
      <c r="F115" s="20" t="str">
        <f t="shared" si="100"/>
        <v>ENTREGADO</v>
      </c>
      <c r="G115" s="20" t="str">
        <f t="shared" si="101"/>
        <v>S/N</v>
      </c>
      <c r="H115" s="20" t="str">
        <f t="shared" si="102"/>
        <v>S/N</v>
      </c>
      <c r="I115" s="20" t="str">
        <f t="shared" si="86"/>
        <v>Estrategia 1</v>
      </c>
      <c r="J115" s="62" t="str">
        <f t="shared" si="86"/>
        <v>Objetivo 4</v>
      </c>
      <c r="K115" s="20" t="str">
        <f>Resumen!$L$15</f>
        <v>x</v>
      </c>
      <c r="L115" s="20" t="str">
        <f t="shared" si="103"/>
        <v>EVIDENCIAS POR COMPLETAR SEGUNDO SEMESTRE</v>
      </c>
      <c r="M115" s="62">
        <f t="shared" si="104"/>
        <v>0.82894736842105265</v>
      </c>
      <c r="N115" s="20">
        <v>2025</v>
      </c>
    </row>
    <row r="116" spans="1:14" ht="14.25" customHeight="1">
      <c r="A116" s="20">
        <f t="shared" si="96"/>
        <v>11</v>
      </c>
      <c r="B116" s="159" t="s">
        <v>44</v>
      </c>
      <c r="C116" s="20" t="str">
        <f t="shared" si="97"/>
        <v>Mgtr. Ivan Vera</v>
      </c>
      <c r="D116" s="20" t="str">
        <f t="shared" si="98"/>
        <v>ENTREGADO</v>
      </c>
      <c r="E116" s="20" t="str">
        <f t="shared" si="99"/>
        <v>ENTREGADO</v>
      </c>
      <c r="F116" s="20" t="str">
        <f t="shared" si="100"/>
        <v>ENTREGADO</v>
      </c>
      <c r="G116" s="20" t="str">
        <f t="shared" si="101"/>
        <v>S/N</v>
      </c>
      <c r="H116" s="20" t="str">
        <f t="shared" si="102"/>
        <v>S/N</v>
      </c>
      <c r="I116" s="20" t="str">
        <f t="shared" si="86"/>
        <v>Estrategia 2</v>
      </c>
      <c r="J116" s="62" t="str">
        <f t="shared" si="86"/>
        <v>Objetivo 1</v>
      </c>
      <c r="K116" s="20" t="str">
        <f>Resumen!$M$15</f>
        <v>x</v>
      </c>
      <c r="L116" s="20" t="str">
        <f t="shared" si="103"/>
        <v>EVIDENCIAS POR COMPLETAR SEGUNDO SEMESTRE</v>
      </c>
      <c r="M116" s="62">
        <f t="shared" si="104"/>
        <v>0.82894736842105265</v>
      </c>
      <c r="N116" s="20">
        <v>2025</v>
      </c>
    </row>
    <row r="117" spans="1:14" ht="14.25" customHeight="1">
      <c r="A117" s="20">
        <f t="shared" si="96"/>
        <v>11</v>
      </c>
      <c r="B117" s="159" t="s">
        <v>44</v>
      </c>
      <c r="C117" s="20" t="str">
        <f t="shared" si="97"/>
        <v>Mgtr. Ivan Vera</v>
      </c>
      <c r="D117" s="20" t="str">
        <f t="shared" si="98"/>
        <v>ENTREGADO</v>
      </c>
      <c r="E117" s="20" t="str">
        <f t="shared" si="99"/>
        <v>ENTREGADO</v>
      </c>
      <c r="F117" s="20" t="str">
        <f t="shared" si="100"/>
        <v>ENTREGADO</v>
      </c>
      <c r="G117" s="20" t="str">
        <f t="shared" si="101"/>
        <v>S/N</v>
      </c>
      <c r="H117" s="20" t="str">
        <f t="shared" si="102"/>
        <v>S/N</v>
      </c>
      <c r="I117" s="20" t="str">
        <f t="shared" si="86"/>
        <v>Estrategia 2</v>
      </c>
      <c r="J117" s="62" t="str">
        <f t="shared" si="86"/>
        <v>Objetivo 2</v>
      </c>
      <c r="K117" s="20" t="str">
        <f>Resumen!$N$15</f>
        <v>x</v>
      </c>
      <c r="L117" s="20" t="str">
        <f t="shared" si="103"/>
        <v>EVIDENCIAS POR COMPLETAR SEGUNDO SEMESTRE</v>
      </c>
      <c r="M117" s="62">
        <f t="shared" si="104"/>
        <v>0.82894736842105265</v>
      </c>
      <c r="N117" s="20">
        <v>2025</v>
      </c>
    </row>
    <row r="118" spans="1:14" ht="14.25" customHeight="1">
      <c r="A118" s="20">
        <f t="shared" si="96"/>
        <v>11</v>
      </c>
      <c r="B118" s="159" t="s">
        <v>44</v>
      </c>
      <c r="C118" s="20" t="str">
        <f t="shared" si="97"/>
        <v>Mgtr. Ivan Vera</v>
      </c>
      <c r="D118" s="20" t="str">
        <f t="shared" si="98"/>
        <v>ENTREGADO</v>
      </c>
      <c r="E118" s="20" t="str">
        <f t="shared" si="99"/>
        <v>ENTREGADO</v>
      </c>
      <c r="F118" s="20" t="str">
        <f t="shared" si="100"/>
        <v>ENTREGADO</v>
      </c>
      <c r="G118" s="20" t="str">
        <f t="shared" si="101"/>
        <v>S/N</v>
      </c>
      <c r="H118" s="20" t="str">
        <f t="shared" si="102"/>
        <v>S/N</v>
      </c>
      <c r="I118" s="20" t="str">
        <f t="shared" si="86"/>
        <v>Estrategia 2</v>
      </c>
      <c r="J118" s="62" t="str">
        <f t="shared" si="86"/>
        <v>Objetivo 3</v>
      </c>
      <c r="K118" s="20" t="str">
        <f>Resumen!$O$15</f>
        <v>X</v>
      </c>
      <c r="L118" s="20" t="str">
        <f t="shared" si="103"/>
        <v>EVIDENCIAS POR COMPLETAR SEGUNDO SEMESTRE</v>
      </c>
      <c r="M118" s="62">
        <f t="shared" si="104"/>
        <v>0.82894736842105265</v>
      </c>
      <c r="N118" s="20">
        <v>2025</v>
      </c>
    </row>
    <row r="119" spans="1:14" ht="14.25" customHeight="1">
      <c r="A119" s="20">
        <f t="shared" si="96"/>
        <v>11</v>
      </c>
      <c r="B119" s="159" t="s">
        <v>44</v>
      </c>
      <c r="C119" s="20" t="str">
        <f t="shared" si="97"/>
        <v>Mgtr. Ivan Vera</v>
      </c>
      <c r="D119" s="20" t="str">
        <f t="shared" si="98"/>
        <v>ENTREGADO</v>
      </c>
      <c r="E119" s="20" t="str">
        <f t="shared" si="99"/>
        <v>ENTREGADO</v>
      </c>
      <c r="F119" s="20" t="str">
        <f t="shared" si="100"/>
        <v>ENTREGADO</v>
      </c>
      <c r="G119" s="20" t="str">
        <f t="shared" si="101"/>
        <v>S/N</v>
      </c>
      <c r="H119" s="20" t="str">
        <f t="shared" si="102"/>
        <v>S/N</v>
      </c>
      <c r="I119" s="20" t="str">
        <f t="shared" ref="I119:J138" si="105">I108</f>
        <v>Estrategia 3</v>
      </c>
      <c r="J119" s="62" t="str">
        <f t="shared" si="105"/>
        <v>Objetivo 1</v>
      </c>
      <c r="K119" s="20" t="str">
        <f>Resumen!$P$15</f>
        <v>X</v>
      </c>
      <c r="L119" s="20" t="str">
        <f t="shared" si="103"/>
        <v>EVIDENCIAS POR COMPLETAR SEGUNDO SEMESTRE</v>
      </c>
      <c r="M119" s="62">
        <f t="shared" si="104"/>
        <v>0.82894736842105265</v>
      </c>
      <c r="N119" s="20">
        <v>2025</v>
      </c>
    </row>
    <row r="120" spans="1:14" ht="14.25" customHeight="1">
      <c r="A120" s="20">
        <f t="shared" si="96"/>
        <v>11</v>
      </c>
      <c r="B120" s="159" t="s">
        <v>44</v>
      </c>
      <c r="C120" s="20" t="str">
        <f t="shared" si="97"/>
        <v>Mgtr. Ivan Vera</v>
      </c>
      <c r="D120" s="20" t="str">
        <f t="shared" si="98"/>
        <v>ENTREGADO</v>
      </c>
      <c r="E120" s="20" t="str">
        <f t="shared" si="99"/>
        <v>ENTREGADO</v>
      </c>
      <c r="F120" s="20" t="str">
        <f t="shared" si="100"/>
        <v>ENTREGADO</v>
      </c>
      <c r="G120" s="20" t="str">
        <f t="shared" si="101"/>
        <v>S/N</v>
      </c>
      <c r="H120" s="20" t="str">
        <f t="shared" si="102"/>
        <v>S/N</v>
      </c>
      <c r="I120" s="20" t="str">
        <f t="shared" si="105"/>
        <v>Estrategia 3</v>
      </c>
      <c r="J120" s="62" t="str">
        <f t="shared" si="105"/>
        <v>Objetivo 2</v>
      </c>
      <c r="K120" s="20" t="str">
        <f>Resumen!$Q$15</f>
        <v>X</v>
      </c>
      <c r="L120" s="20" t="str">
        <f t="shared" si="103"/>
        <v>EVIDENCIAS POR COMPLETAR SEGUNDO SEMESTRE</v>
      </c>
      <c r="M120" s="62">
        <f t="shared" si="104"/>
        <v>0.82894736842105265</v>
      </c>
      <c r="N120" s="20">
        <v>2025</v>
      </c>
    </row>
    <row r="121" spans="1:14" ht="14.25" customHeight="1">
      <c r="A121" s="20">
        <f t="shared" si="96"/>
        <v>11</v>
      </c>
      <c r="B121" s="159" t="s">
        <v>44</v>
      </c>
      <c r="C121" s="20" t="str">
        <f t="shared" si="97"/>
        <v>Mgtr. Ivan Vera</v>
      </c>
      <c r="D121" s="20" t="str">
        <f t="shared" si="98"/>
        <v>ENTREGADO</v>
      </c>
      <c r="E121" s="20" t="str">
        <f t="shared" si="99"/>
        <v>ENTREGADO</v>
      </c>
      <c r="F121" s="20" t="str">
        <f t="shared" si="100"/>
        <v>ENTREGADO</v>
      </c>
      <c r="G121" s="20" t="str">
        <f t="shared" si="101"/>
        <v>S/N</v>
      </c>
      <c r="H121" s="20" t="str">
        <f t="shared" si="102"/>
        <v>S/N</v>
      </c>
      <c r="I121" s="20" t="str">
        <f t="shared" si="105"/>
        <v>Estrategia 3</v>
      </c>
      <c r="J121" s="62" t="str">
        <f t="shared" si="105"/>
        <v>Objetivo 3</v>
      </c>
      <c r="K121" s="20" t="str">
        <f>Resumen!$R$15</f>
        <v>X</v>
      </c>
      <c r="L121" s="20" t="str">
        <f t="shared" si="103"/>
        <v>EVIDENCIAS POR COMPLETAR SEGUNDO SEMESTRE</v>
      </c>
      <c r="M121" s="62">
        <f t="shared" si="104"/>
        <v>0.82894736842105265</v>
      </c>
      <c r="N121" s="20">
        <v>2025</v>
      </c>
    </row>
    <row r="122" spans="1:14" ht="14.25" customHeight="1">
      <c r="A122" s="20">
        <f t="shared" si="96"/>
        <v>11</v>
      </c>
      <c r="B122" s="159" t="s">
        <v>44</v>
      </c>
      <c r="C122" s="20" t="str">
        <f t="shared" si="97"/>
        <v>Mgtr. Ivan Vera</v>
      </c>
      <c r="D122" s="20" t="str">
        <f t="shared" si="98"/>
        <v>ENTREGADO</v>
      </c>
      <c r="E122" s="20" t="str">
        <f t="shared" si="99"/>
        <v>ENTREGADO</v>
      </c>
      <c r="F122" s="20" t="str">
        <f t="shared" si="100"/>
        <v>ENTREGADO</v>
      </c>
      <c r="G122" s="20" t="str">
        <f t="shared" si="101"/>
        <v>S/N</v>
      </c>
      <c r="H122" s="20" t="str">
        <f t="shared" si="102"/>
        <v>S/N</v>
      </c>
      <c r="I122" s="20" t="str">
        <f t="shared" si="105"/>
        <v>Estrategia 4</v>
      </c>
      <c r="J122" s="62" t="str">
        <f t="shared" si="105"/>
        <v>Objetivo 1</v>
      </c>
      <c r="K122" s="20" t="str">
        <f>Resumen!$S$15</f>
        <v>X</v>
      </c>
      <c r="L122" s="20" t="str">
        <f t="shared" si="103"/>
        <v>EVIDENCIAS POR COMPLETAR SEGUNDO SEMESTRE</v>
      </c>
      <c r="M122" s="62">
        <f t="shared" si="104"/>
        <v>0.82894736842105265</v>
      </c>
      <c r="N122" s="20">
        <v>2025</v>
      </c>
    </row>
    <row r="123" spans="1:14" ht="14.25" customHeight="1">
      <c r="A123" s="20">
        <f>Resumen!A16</f>
        <v>12</v>
      </c>
      <c r="B123" s="159" t="s">
        <v>46</v>
      </c>
      <c r="C123" s="20" t="str">
        <f>Resumen!C16</f>
        <v>Mgtr. Pablo Narváez</v>
      </c>
      <c r="D123" s="20" t="str">
        <f>Resumen!D16</f>
        <v>ENTREGADO</v>
      </c>
      <c r="E123" s="20" t="str">
        <f>Resumen!E16</f>
        <v>ENTREGADO</v>
      </c>
      <c r="F123" s="20" t="str">
        <f>Resumen!F16</f>
        <v>ENTREGADO</v>
      </c>
      <c r="G123" s="20" t="str">
        <f>Resumen!G16</f>
        <v>S/N</v>
      </c>
      <c r="H123" s="20" t="str">
        <f>Resumen!H16</f>
        <v>S/N</v>
      </c>
      <c r="I123" s="20" t="str">
        <f t="shared" si="105"/>
        <v>Estrategia 1</v>
      </c>
      <c r="J123" s="62" t="str">
        <f t="shared" si="105"/>
        <v>Objetivo 1</v>
      </c>
      <c r="K123" s="20" t="str">
        <f>Resumen!$S$15</f>
        <v>X</v>
      </c>
      <c r="L123" s="20" t="str">
        <f>Resumen!T16</f>
        <v>EVIDENCIAS POR COMPLETAR SEGUNDO SEMESTRE</v>
      </c>
      <c r="M123" s="62">
        <f>Resumen!U16</f>
        <v>0.98684210526315785</v>
      </c>
      <c r="N123" s="20">
        <v>2025</v>
      </c>
    </row>
    <row r="124" spans="1:14" ht="14.25" customHeight="1">
      <c r="A124" s="20">
        <f t="shared" ref="A124:A133" si="106">$A$123</f>
        <v>12</v>
      </c>
      <c r="B124" s="159" t="s">
        <v>46</v>
      </c>
      <c r="C124" s="20" t="str">
        <f t="shared" ref="C124:C133" si="107">$C$123</f>
        <v>Mgtr. Pablo Narváez</v>
      </c>
      <c r="D124" s="20" t="str">
        <f t="shared" ref="D124:D133" si="108">$D$123</f>
        <v>ENTREGADO</v>
      </c>
      <c r="E124" s="20" t="str">
        <f t="shared" ref="E124:E133" si="109">$E$123</f>
        <v>ENTREGADO</v>
      </c>
      <c r="F124" s="20" t="str">
        <f t="shared" ref="F124:F133" si="110">$F$123</f>
        <v>ENTREGADO</v>
      </c>
      <c r="G124" s="20" t="str">
        <f t="shared" ref="G124:G133" si="111">$G$123</f>
        <v>S/N</v>
      </c>
      <c r="H124" s="20" t="str">
        <f t="shared" ref="H124:H133" si="112">$H$123</f>
        <v>S/N</v>
      </c>
      <c r="I124" s="20" t="str">
        <f t="shared" si="105"/>
        <v>Estrategia 1</v>
      </c>
      <c r="J124" s="62" t="str">
        <f t="shared" si="105"/>
        <v>Objetivo 2</v>
      </c>
      <c r="K124" s="20" t="str">
        <f>Resumen!$J$16</f>
        <v>X</v>
      </c>
      <c r="L124" s="20" t="str">
        <f t="shared" ref="L124:L133" si="113">$L$123</f>
        <v>EVIDENCIAS POR COMPLETAR SEGUNDO SEMESTRE</v>
      </c>
      <c r="M124" s="62">
        <f t="shared" ref="M124:M133" si="114">$M$123</f>
        <v>0.98684210526315785</v>
      </c>
      <c r="N124" s="20">
        <v>2025</v>
      </c>
    </row>
    <row r="125" spans="1:14" ht="14.25" customHeight="1">
      <c r="A125" s="20">
        <f t="shared" si="106"/>
        <v>12</v>
      </c>
      <c r="B125" s="159" t="s">
        <v>46</v>
      </c>
      <c r="C125" s="20" t="str">
        <f t="shared" si="107"/>
        <v>Mgtr. Pablo Narváez</v>
      </c>
      <c r="D125" s="20" t="str">
        <f t="shared" si="108"/>
        <v>ENTREGADO</v>
      </c>
      <c r="E125" s="20" t="str">
        <f t="shared" si="109"/>
        <v>ENTREGADO</v>
      </c>
      <c r="F125" s="20" t="str">
        <f t="shared" si="110"/>
        <v>ENTREGADO</v>
      </c>
      <c r="G125" s="20" t="str">
        <f t="shared" si="111"/>
        <v>S/N</v>
      </c>
      <c r="H125" s="20" t="str">
        <f t="shared" si="112"/>
        <v>S/N</v>
      </c>
      <c r="I125" s="20" t="str">
        <f t="shared" si="105"/>
        <v>Estrategia 1</v>
      </c>
      <c r="J125" s="62" t="str">
        <f t="shared" si="105"/>
        <v>Objetivo 3</v>
      </c>
      <c r="K125" s="20" t="str">
        <f>Resumen!$K$16</f>
        <v>X</v>
      </c>
      <c r="L125" s="20" t="str">
        <f t="shared" si="113"/>
        <v>EVIDENCIAS POR COMPLETAR SEGUNDO SEMESTRE</v>
      </c>
      <c r="M125" s="62">
        <f t="shared" si="114"/>
        <v>0.98684210526315785</v>
      </c>
      <c r="N125" s="20">
        <v>2025</v>
      </c>
    </row>
    <row r="126" spans="1:14" ht="14.25" customHeight="1">
      <c r="A126" s="20">
        <f t="shared" si="106"/>
        <v>12</v>
      </c>
      <c r="B126" s="159" t="s">
        <v>46</v>
      </c>
      <c r="C126" s="20" t="str">
        <f t="shared" si="107"/>
        <v>Mgtr. Pablo Narváez</v>
      </c>
      <c r="D126" s="20" t="str">
        <f t="shared" si="108"/>
        <v>ENTREGADO</v>
      </c>
      <c r="E126" s="20" t="str">
        <f t="shared" si="109"/>
        <v>ENTREGADO</v>
      </c>
      <c r="F126" s="20" t="str">
        <f t="shared" si="110"/>
        <v>ENTREGADO</v>
      </c>
      <c r="G126" s="20" t="str">
        <f t="shared" si="111"/>
        <v>S/N</v>
      </c>
      <c r="H126" s="20" t="str">
        <f t="shared" si="112"/>
        <v>S/N</v>
      </c>
      <c r="I126" s="20" t="str">
        <f t="shared" si="105"/>
        <v>Estrategia 1</v>
      </c>
      <c r="J126" s="62" t="str">
        <f t="shared" si="105"/>
        <v>Objetivo 4</v>
      </c>
      <c r="K126" s="20" t="str">
        <f>Resumen!$L$16</f>
        <v>X</v>
      </c>
      <c r="L126" s="20" t="str">
        <f t="shared" si="113"/>
        <v>EVIDENCIAS POR COMPLETAR SEGUNDO SEMESTRE</v>
      </c>
      <c r="M126" s="62">
        <f t="shared" si="114"/>
        <v>0.98684210526315785</v>
      </c>
      <c r="N126" s="20">
        <v>2025</v>
      </c>
    </row>
    <row r="127" spans="1:14" ht="14.25" customHeight="1">
      <c r="A127" s="20">
        <f t="shared" si="106"/>
        <v>12</v>
      </c>
      <c r="B127" s="159" t="s">
        <v>46</v>
      </c>
      <c r="C127" s="20" t="str">
        <f t="shared" si="107"/>
        <v>Mgtr. Pablo Narváez</v>
      </c>
      <c r="D127" s="20" t="str">
        <f t="shared" si="108"/>
        <v>ENTREGADO</v>
      </c>
      <c r="E127" s="20" t="str">
        <f t="shared" si="109"/>
        <v>ENTREGADO</v>
      </c>
      <c r="F127" s="20" t="str">
        <f t="shared" si="110"/>
        <v>ENTREGADO</v>
      </c>
      <c r="G127" s="20" t="str">
        <f t="shared" si="111"/>
        <v>S/N</v>
      </c>
      <c r="H127" s="20" t="str">
        <f t="shared" si="112"/>
        <v>S/N</v>
      </c>
      <c r="I127" s="20" t="str">
        <f t="shared" si="105"/>
        <v>Estrategia 2</v>
      </c>
      <c r="J127" s="62" t="str">
        <f t="shared" si="105"/>
        <v>Objetivo 1</v>
      </c>
      <c r="K127" s="20" t="str">
        <f>Resumen!$M$16</f>
        <v>X</v>
      </c>
      <c r="L127" s="20" t="str">
        <f t="shared" si="113"/>
        <v>EVIDENCIAS POR COMPLETAR SEGUNDO SEMESTRE</v>
      </c>
      <c r="M127" s="62">
        <f t="shared" si="114"/>
        <v>0.98684210526315785</v>
      </c>
      <c r="N127" s="20">
        <v>2025</v>
      </c>
    </row>
    <row r="128" spans="1:14" ht="14.25" customHeight="1">
      <c r="A128" s="20">
        <f t="shared" si="106"/>
        <v>12</v>
      </c>
      <c r="B128" s="159" t="s">
        <v>46</v>
      </c>
      <c r="C128" s="20" t="str">
        <f t="shared" si="107"/>
        <v>Mgtr. Pablo Narváez</v>
      </c>
      <c r="D128" s="20" t="str">
        <f t="shared" si="108"/>
        <v>ENTREGADO</v>
      </c>
      <c r="E128" s="20" t="str">
        <f t="shared" si="109"/>
        <v>ENTREGADO</v>
      </c>
      <c r="F128" s="20" t="str">
        <f t="shared" si="110"/>
        <v>ENTREGADO</v>
      </c>
      <c r="G128" s="20" t="str">
        <f t="shared" si="111"/>
        <v>S/N</v>
      </c>
      <c r="H128" s="20" t="str">
        <f t="shared" si="112"/>
        <v>S/N</v>
      </c>
      <c r="I128" s="20" t="str">
        <f t="shared" si="105"/>
        <v>Estrategia 2</v>
      </c>
      <c r="J128" s="62" t="str">
        <f t="shared" si="105"/>
        <v>Objetivo 2</v>
      </c>
      <c r="K128" s="20" t="str">
        <f>Resumen!$N$16</f>
        <v>X</v>
      </c>
      <c r="L128" s="20" t="str">
        <f t="shared" si="113"/>
        <v>EVIDENCIAS POR COMPLETAR SEGUNDO SEMESTRE</v>
      </c>
      <c r="M128" s="62">
        <f t="shared" si="114"/>
        <v>0.98684210526315785</v>
      </c>
      <c r="N128" s="20">
        <v>2025</v>
      </c>
    </row>
    <row r="129" spans="1:14" ht="14.25" customHeight="1">
      <c r="A129" s="20">
        <f t="shared" si="106"/>
        <v>12</v>
      </c>
      <c r="B129" s="159" t="s">
        <v>46</v>
      </c>
      <c r="C129" s="20" t="str">
        <f t="shared" si="107"/>
        <v>Mgtr. Pablo Narváez</v>
      </c>
      <c r="D129" s="20" t="str">
        <f t="shared" si="108"/>
        <v>ENTREGADO</v>
      </c>
      <c r="E129" s="20" t="str">
        <f t="shared" si="109"/>
        <v>ENTREGADO</v>
      </c>
      <c r="F129" s="20" t="str">
        <f t="shared" si="110"/>
        <v>ENTREGADO</v>
      </c>
      <c r="G129" s="20" t="str">
        <f t="shared" si="111"/>
        <v>S/N</v>
      </c>
      <c r="H129" s="20" t="str">
        <f t="shared" si="112"/>
        <v>S/N</v>
      </c>
      <c r="I129" s="20" t="str">
        <f t="shared" si="105"/>
        <v>Estrategia 2</v>
      </c>
      <c r="J129" s="62" t="str">
        <f t="shared" si="105"/>
        <v>Objetivo 3</v>
      </c>
      <c r="K129" s="20" t="str">
        <f>Resumen!$O$16</f>
        <v>X</v>
      </c>
      <c r="L129" s="20" t="str">
        <f t="shared" si="113"/>
        <v>EVIDENCIAS POR COMPLETAR SEGUNDO SEMESTRE</v>
      </c>
      <c r="M129" s="62">
        <f t="shared" si="114"/>
        <v>0.98684210526315785</v>
      </c>
      <c r="N129" s="20">
        <v>2025</v>
      </c>
    </row>
    <row r="130" spans="1:14" ht="14.25" customHeight="1">
      <c r="A130" s="20">
        <f t="shared" si="106"/>
        <v>12</v>
      </c>
      <c r="B130" s="159" t="s">
        <v>46</v>
      </c>
      <c r="C130" s="20" t="str">
        <f t="shared" si="107"/>
        <v>Mgtr. Pablo Narváez</v>
      </c>
      <c r="D130" s="20" t="str">
        <f t="shared" si="108"/>
        <v>ENTREGADO</v>
      </c>
      <c r="E130" s="20" t="str">
        <f t="shared" si="109"/>
        <v>ENTREGADO</v>
      </c>
      <c r="F130" s="20" t="str">
        <f t="shared" si="110"/>
        <v>ENTREGADO</v>
      </c>
      <c r="G130" s="20" t="str">
        <f t="shared" si="111"/>
        <v>S/N</v>
      </c>
      <c r="H130" s="20" t="str">
        <f t="shared" si="112"/>
        <v>S/N</v>
      </c>
      <c r="I130" s="20" t="str">
        <f t="shared" si="105"/>
        <v>Estrategia 3</v>
      </c>
      <c r="J130" s="62" t="str">
        <f t="shared" si="105"/>
        <v>Objetivo 1</v>
      </c>
      <c r="K130" s="20" t="str">
        <f>Resumen!$P$16</f>
        <v>X</v>
      </c>
      <c r="L130" s="20" t="str">
        <f t="shared" si="113"/>
        <v>EVIDENCIAS POR COMPLETAR SEGUNDO SEMESTRE</v>
      </c>
      <c r="M130" s="62">
        <f t="shared" si="114"/>
        <v>0.98684210526315785</v>
      </c>
      <c r="N130" s="20">
        <v>2025</v>
      </c>
    </row>
    <row r="131" spans="1:14" ht="14.25" customHeight="1">
      <c r="A131" s="20">
        <f t="shared" si="106"/>
        <v>12</v>
      </c>
      <c r="B131" s="159" t="s">
        <v>46</v>
      </c>
      <c r="C131" s="20" t="str">
        <f t="shared" si="107"/>
        <v>Mgtr. Pablo Narváez</v>
      </c>
      <c r="D131" s="20" t="str">
        <f t="shared" si="108"/>
        <v>ENTREGADO</v>
      </c>
      <c r="E131" s="20" t="str">
        <f t="shared" si="109"/>
        <v>ENTREGADO</v>
      </c>
      <c r="F131" s="20" t="str">
        <f t="shared" si="110"/>
        <v>ENTREGADO</v>
      </c>
      <c r="G131" s="20" t="str">
        <f t="shared" si="111"/>
        <v>S/N</v>
      </c>
      <c r="H131" s="20" t="str">
        <f t="shared" si="112"/>
        <v>S/N</v>
      </c>
      <c r="I131" s="20" t="str">
        <f t="shared" si="105"/>
        <v>Estrategia 3</v>
      </c>
      <c r="J131" s="62" t="str">
        <f t="shared" si="105"/>
        <v>Objetivo 2</v>
      </c>
      <c r="K131" s="20" t="str">
        <f>Resumen!$Q$16</f>
        <v>X</v>
      </c>
      <c r="L131" s="20" t="str">
        <f t="shared" si="113"/>
        <v>EVIDENCIAS POR COMPLETAR SEGUNDO SEMESTRE</v>
      </c>
      <c r="M131" s="62">
        <f t="shared" si="114"/>
        <v>0.98684210526315785</v>
      </c>
      <c r="N131" s="20">
        <v>2025</v>
      </c>
    </row>
    <row r="132" spans="1:14" ht="14.25" customHeight="1">
      <c r="A132" s="20">
        <f t="shared" si="106"/>
        <v>12</v>
      </c>
      <c r="B132" s="159" t="s">
        <v>46</v>
      </c>
      <c r="C132" s="20" t="str">
        <f t="shared" si="107"/>
        <v>Mgtr. Pablo Narváez</v>
      </c>
      <c r="D132" s="20" t="str">
        <f t="shared" si="108"/>
        <v>ENTREGADO</v>
      </c>
      <c r="E132" s="20" t="str">
        <f t="shared" si="109"/>
        <v>ENTREGADO</v>
      </c>
      <c r="F132" s="20" t="str">
        <f t="shared" si="110"/>
        <v>ENTREGADO</v>
      </c>
      <c r="G132" s="20" t="str">
        <f t="shared" si="111"/>
        <v>S/N</v>
      </c>
      <c r="H132" s="20" t="str">
        <f t="shared" si="112"/>
        <v>S/N</v>
      </c>
      <c r="I132" s="20" t="str">
        <f t="shared" si="105"/>
        <v>Estrategia 3</v>
      </c>
      <c r="J132" s="62" t="str">
        <f t="shared" si="105"/>
        <v>Objetivo 3</v>
      </c>
      <c r="K132" s="20" t="str">
        <f>Resumen!$R$16</f>
        <v>X</v>
      </c>
      <c r="L132" s="20" t="str">
        <f t="shared" si="113"/>
        <v>EVIDENCIAS POR COMPLETAR SEGUNDO SEMESTRE</v>
      </c>
      <c r="M132" s="62">
        <f t="shared" si="114"/>
        <v>0.98684210526315785</v>
      </c>
      <c r="N132" s="20">
        <v>2025</v>
      </c>
    </row>
    <row r="133" spans="1:14" ht="14.25" customHeight="1">
      <c r="A133" s="20">
        <f t="shared" si="106"/>
        <v>12</v>
      </c>
      <c r="B133" s="159" t="s">
        <v>46</v>
      </c>
      <c r="C133" s="20" t="str">
        <f t="shared" si="107"/>
        <v>Mgtr. Pablo Narváez</v>
      </c>
      <c r="D133" s="20" t="str">
        <f t="shared" si="108"/>
        <v>ENTREGADO</v>
      </c>
      <c r="E133" s="20" t="str">
        <f t="shared" si="109"/>
        <v>ENTREGADO</v>
      </c>
      <c r="F133" s="20" t="str">
        <f t="shared" si="110"/>
        <v>ENTREGADO</v>
      </c>
      <c r="G133" s="20" t="str">
        <f t="shared" si="111"/>
        <v>S/N</v>
      </c>
      <c r="H133" s="20" t="str">
        <f t="shared" si="112"/>
        <v>S/N</v>
      </c>
      <c r="I133" s="20" t="str">
        <f t="shared" si="105"/>
        <v>Estrategia 4</v>
      </c>
      <c r="J133" s="62" t="str">
        <f t="shared" si="105"/>
        <v>Objetivo 1</v>
      </c>
      <c r="K133" s="20" t="str">
        <f>Resumen!$S$16</f>
        <v>X</v>
      </c>
      <c r="L133" s="20" t="str">
        <f t="shared" si="113"/>
        <v>EVIDENCIAS POR COMPLETAR SEGUNDO SEMESTRE</v>
      </c>
      <c r="M133" s="62">
        <f t="shared" si="114"/>
        <v>0.98684210526315785</v>
      </c>
      <c r="N133" s="20">
        <v>2025</v>
      </c>
    </row>
    <row r="134" spans="1:14" ht="14.25" customHeight="1">
      <c r="A134" s="20">
        <f>Resumen!A17</f>
        <v>13</v>
      </c>
      <c r="B134" s="159" t="s">
        <v>48</v>
      </c>
      <c r="C134" s="20" t="str">
        <f>Resumen!C17</f>
        <v>Mgtr. Pablo Ñauta</v>
      </c>
      <c r="D134" s="20" t="str">
        <f>Resumen!D17</f>
        <v>ENTREGADO</v>
      </c>
      <c r="E134" s="20" t="str">
        <f>Resumen!E17</f>
        <v>ENTREGADO</v>
      </c>
      <c r="F134" s="20" t="str">
        <f>Resumen!F17</f>
        <v>NO ENTREGADO</v>
      </c>
      <c r="G134" s="20" t="str">
        <f>Resumen!G17</f>
        <v>S/N</v>
      </c>
      <c r="H134" s="20" t="str">
        <f>Resumen!H17</f>
        <v>S/N</v>
      </c>
      <c r="I134" s="20" t="str">
        <f t="shared" si="105"/>
        <v>Estrategia 1</v>
      </c>
      <c r="J134" s="62" t="str">
        <f t="shared" si="105"/>
        <v>Objetivo 1</v>
      </c>
      <c r="K134" s="20" t="str">
        <f>Resumen!$I$17</f>
        <v>S/N</v>
      </c>
      <c r="L134" s="20" t="str">
        <f>Resumen!T17</f>
        <v>NO SE APERTURÓ ESTE PERIODO</v>
      </c>
      <c r="M134" s="62">
        <f>Resumen!U17</f>
        <v>0</v>
      </c>
      <c r="N134" s="20">
        <v>2025</v>
      </c>
    </row>
    <row r="135" spans="1:14" ht="14.25" customHeight="1">
      <c r="A135" s="20">
        <f t="shared" ref="A135:A144" si="115">$A$134</f>
        <v>13</v>
      </c>
      <c r="B135" s="159" t="s">
        <v>48</v>
      </c>
      <c r="C135" s="20" t="str">
        <f t="shared" ref="C135:C144" si="116">$C$134</f>
        <v>Mgtr. Pablo Ñauta</v>
      </c>
      <c r="D135" s="20" t="str">
        <f t="shared" ref="D135:D144" si="117">$D$134</f>
        <v>ENTREGADO</v>
      </c>
      <c r="E135" s="20" t="str">
        <f t="shared" ref="E135:E144" si="118">$E$134</f>
        <v>ENTREGADO</v>
      </c>
      <c r="F135" s="20" t="str">
        <f t="shared" ref="F135:F144" si="119">$F$134</f>
        <v>NO ENTREGADO</v>
      </c>
      <c r="G135" s="20" t="str">
        <f t="shared" ref="G135:G144" si="120">$G$134</f>
        <v>S/N</v>
      </c>
      <c r="H135" s="20" t="str">
        <f t="shared" ref="H135:H144" si="121">$H$134</f>
        <v>S/N</v>
      </c>
      <c r="I135" s="20" t="str">
        <f t="shared" si="105"/>
        <v>Estrategia 1</v>
      </c>
      <c r="J135" s="62" t="str">
        <f t="shared" si="105"/>
        <v>Objetivo 2</v>
      </c>
      <c r="K135" s="20" t="str">
        <f>Resumen!$J$17</f>
        <v>S/N</v>
      </c>
      <c r="L135" s="20" t="str">
        <f t="shared" ref="L135:L144" si="122">$L$134</f>
        <v>NO SE APERTURÓ ESTE PERIODO</v>
      </c>
      <c r="M135" s="62">
        <f t="shared" ref="M135:M144" si="123">$M$134</f>
        <v>0</v>
      </c>
      <c r="N135" s="20">
        <v>2025</v>
      </c>
    </row>
    <row r="136" spans="1:14" ht="14.25" customHeight="1">
      <c r="A136" s="20">
        <f t="shared" si="115"/>
        <v>13</v>
      </c>
      <c r="B136" s="159" t="s">
        <v>48</v>
      </c>
      <c r="C136" s="20" t="str">
        <f t="shared" si="116"/>
        <v>Mgtr. Pablo Ñauta</v>
      </c>
      <c r="D136" s="20" t="str">
        <f t="shared" si="117"/>
        <v>ENTREGADO</v>
      </c>
      <c r="E136" s="20" t="str">
        <f t="shared" si="118"/>
        <v>ENTREGADO</v>
      </c>
      <c r="F136" s="20" t="str">
        <f t="shared" si="119"/>
        <v>NO ENTREGADO</v>
      </c>
      <c r="G136" s="20" t="str">
        <f t="shared" si="120"/>
        <v>S/N</v>
      </c>
      <c r="H136" s="20" t="str">
        <f t="shared" si="121"/>
        <v>S/N</v>
      </c>
      <c r="I136" s="20" t="str">
        <f t="shared" si="105"/>
        <v>Estrategia 1</v>
      </c>
      <c r="J136" s="62" t="str">
        <f t="shared" si="105"/>
        <v>Objetivo 3</v>
      </c>
      <c r="K136" s="20" t="str">
        <f>Resumen!$K$17</f>
        <v>S/N</v>
      </c>
      <c r="L136" s="20" t="str">
        <f t="shared" si="122"/>
        <v>NO SE APERTURÓ ESTE PERIODO</v>
      </c>
      <c r="M136" s="62">
        <f t="shared" si="123"/>
        <v>0</v>
      </c>
      <c r="N136" s="20">
        <v>2025</v>
      </c>
    </row>
    <row r="137" spans="1:14" ht="14.25" customHeight="1">
      <c r="A137" s="20">
        <f t="shared" si="115"/>
        <v>13</v>
      </c>
      <c r="B137" s="159" t="s">
        <v>48</v>
      </c>
      <c r="C137" s="20" t="str">
        <f t="shared" si="116"/>
        <v>Mgtr. Pablo Ñauta</v>
      </c>
      <c r="D137" s="20" t="str">
        <f t="shared" si="117"/>
        <v>ENTREGADO</v>
      </c>
      <c r="E137" s="20" t="str">
        <f t="shared" si="118"/>
        <v>ENTREGADO</v>
      </c>
      <c r="F137" s="20" t="str">
        <f t="shared" si="119"/>
        <v>NO ENTREGADO</v>
      </c>
      <c r="G137" s="20" t="str">
        <f t="shared" si="120"/>
        <v>S/N</v>
      </c>
      <c r="H137" s="20" t="str">
        <f t="shared" si="121"/>
        <v>S/N</v>
      </c>
      <c r="I137" s="20" t="str">
        <f t="shared" si="105"/>
        <v>Estrategia 1</v>
      </c>
      <c r="J137" s="62" t="str">
        <f t="shared" si="105"/>
        <v>Objetivo 4</v>
      </c>
      <c r="K137" s="20" t="str">
        <f>Resumen!$L$17</f>
        <v>S/N</v>
      </c>
      <c r="L137" s="20" t="str">
        <f t="shared" si="122"/>
        <v>NO SE APERTURÓ ESTE PERIODO</v>
      </c>
      <c r="M137" s="62">
        <f t="shared" si="123"/>
        <v>0</v>
      </c>
      <c r="N137" s="20">
        <v>2025</v>
      </c>
    </row>
    <row r="138" spans="1:14" ht="14.25" customHeight="1">
      <c r="A138" s="20">
        <f t="shared" si="115"/>
        <v>13</v>
      </c>
      <c r="B138" s="159" t="s">
        <v>48</v>
      </c>
      <c r="C138" s="20" t="str">
        <f t="shared" si="116"/>
        <v>Mgtr. Pablo Ñauta</v>
      </c>
      <c r="D138" s="20" t="str">
        <f t="shared" si="117"/>
        <v>ENTREGADO</v>
      </c>
      <c r="E138" s="20" t="str">
        <f t="shared" si="118"/>
        <v>ENTREGADO</v>
      </c>
      <c r="F138" s="20" t="str">
        <f t="shared" si="119"/>
        <v>NO ENTREGADO</v>
      </c>
      <c r="G138" s="20" t="str">
        <f t="shared" si="120"/>
        <v>S/N</v>
      </c>
      <c r="H138" s="20" t="str">
        <f t="shared" si="121"/>
        <v>S/N</v>
      </c>
      <c r="I138" s="20" t="str">
        <f t="shared" si="105"/>
        <v>Estrategia 2</v>
      </c>
      <c r="J138" s="62" t="str">
        <f t="shared" si="105"/>
        <v>Objetivo 1</v>
      </c>
      <c r="K138" s="20" t="str">
        <f>Resumen!$M$17</f>
        <v>S/N</v>
      </c>
      <c r="L138" s="20" t="str">
        <f t="shared" si="122"/>
        <v>NO SE APERTURÓ ESTE PERIODO</v>
      </c>
      <c r="M138" s="62">
        <f t="shared" si="123"/>
        <v>0</v>
      </c>
      <c r="N138" s="20">
        <v>2025</v>
      </c>
    </row>
    <row r="139" spans="1:14" ht="14.25" customHeight="1">
      <c r="A139" s="20">
        <f t="shared" si="115"/>
        <v>13</v>
      </c>
      <c r="B139" s="159" t="s">
        <v>48</v>
      </c>
      <c r="C139" s="20" t="str">
        <f t="shared" si="116"/>
        <v>Mgtr. Pablo Ñauta</v>
      </c>
      <c r="D139" s="20" t="str">
        <f t="shared" si="117"/>
        <v>ENTREGADO</v>
      </c>
      <c r="E139" s="20" t="str">
        <f t="shared" si="118"/>
        <v>ENTREGADO</v>
      </c>
      <c r="F139" s="20" t="str">
        <f t="shared" si="119"/>
        <v>NO ENTREGADO</v>
      </c>
      <c r="G139" s="20" t="str">
        <f t="shared" si="120"/>
        <v>S/N</v>
      </c>
      <c r="H139" s="20" t="str">
        <f t="shared" si="121"/>
        <v>S/N</v>
      </c>
      <c r="I139" s="20" t="str">
        <f t="shared" ref="I139:J158" si="124">I128</f>
        <v>Estrategia 2</v>
      </c>
      <c r="J139" s="62" t="str">
        <f t="shared" si="124"/>
        <v>Objetivo 2</v>
      </c>
      <c r="K139" s="20" t="str">
        <f>Resumen!$N$17</f>
        <v>S/N</v>
      </c>
      <c r="L139" s="20" t="str">
        <f t="shared" si="122"/>
        <v>NO SE APERTURÓ ESTE PERIODO</v>
      </c>
      <c r="M139" s="62">
        <f t="shared" si="123"/>
        <v>0</v>
      </c>
      <c r="N139" s="20">
        <v>2025</v>
      </c>
    </row>
    <row r="140" spans="1:14" ht="14.25" customHeight="1">
      <c r="A140" s="20">
        <f t="shared" si="115"/>
        <v>13</v>
      </c>
      <c r="B140" s="159" t="s">
        <v>48</v>
      </c>
      <c r="C140" s="20" t="str">
        <f t="shared" si="116"/>
        <v>Mgtr. Pablo Ñauta</v>
      </c>
      <c r="D140" s="20" t="str">
        <f t="shared" si="117"/>
        <v>ENTREGADO</v>
      </c>
      <c r="E140" s="20" t="str">
        <f t="shared" si="118"/>
        <v>ENTREGADO</v>
      </c>
      <c r="F140" s="20" t="str">
        <f t="shared" si="119"/>
        <v>NO ENTREGADO</v>
      </c>
      <c r="G140" s="20" t="str">
        <f t="shared" si="120"/>
        <v>S/N</v>
      </c>
      <c r="H140" s="20" t="str">
        <f t="shared" si="121"/>
        <v>S/N</v>
      </c>
      <c r="I140" s="20" t="str">
        <f t="shared" si="124"/>
        <v>Estrategia 2</v>
      </c>
      <c r="J140" s="62" t="str">
        <f t="shared" si="124"/>
        <v>Objetivo 3</v>
      </c>
      <c r="K140" s="20" t="str">
        <f>Resumen!$O$17</f>
        <v>S/N</v>
      </c>
      <c r="L140" s="20" t="str">
        <f t="shared" si="122"/>
        <v>NO SE APERTURÓ ESTE PERIODO</v>
      </c>
      <c r="M140" s="62">
        <f t="shared" si="123"/>
        <v>0</v>
      </c>
      <c r="N140" s="20">
        <v>2025</v>
      </c>
    </row>
    <row r="141" spans="1:14" ht="14.25" customHeight="1">
      <c r="A141" s="20">
        <f t="shared" si="115"/>
        <v>13</v>
      </c>
      <c r="B141" s="159" t="s">
        <v>48</v>
      </c>
      <c r="C141" s="20" t="str">
        <f t="shared" si="116"/>
        <v>Mgtr. Pablo Ñauta</v>
      </c>
      <c r="D141" s="20" t="str">
        <f t="shared" si="117"/>
        <v>ENTREGADO</v>
      </c>
      <c r="E141" s="20" t="str">
        <f t="shared" si="118"/>
        <v>ENTREGADO</v>
      </c>
      <c r="F141" s="20" t="str">
        <f t="shared" si="119"/>
        <v>NO ENTREGADO</v>
      </c>
      <c r="G141" s="20" t="str">
        <f t="shared" si="120"/>
        <v>S/N</v>
      </c>
      <c r="H141" s="20" t="str">
        <f t="shared" si="121"/>
        <v>S/N</v>
      </c>
      <c r="I141" s="20" t="str">
        <f t="shared" si="124"/>
        <v>Estrategia 3</v>
      </c>
      <c r="J141" s="62" t="str">
        <f t="shared" si="124"/>
        <v>Objetivo 1</v>
      </c>
      <c r="K141" s="20" t="str">
        <f>Resumen!$P$17</f>
        <v>S/N</v>
      </c>
      <c r="L141" s="20" t="str">
        <f t="shared" si="122"/>
        <v>NO SE APERTURÓ ESTE PERIODO</v>
      </c>
      <c r="M141" s="62">
        <f t="shared" si="123"/>
        <v>0</v>
      </c>
      <c r="N141" s="20">
        <v>2025</v>
      </c>
    </row>
    <row r="142" spans="1:14" ht="14.25" customHeight="1">
      <c r="A142" s="20">
        <f t="shared" si="115"/>
        <v>13</v>
      </c>
      <c r="B142" s="159" t="s">
        <v>48</v>
      </c>
      <c r="C142" s="20" t="str">
        <f t="shared" si="116"/>
        <v>Mgtr. Pablo Ñauta</v>
      </c>
      <c r="D142" s="20" t="str">
        <f t="shared" si="117"/>
        <v>ENTREGADO</v>
      </c>
      <c r="E142" s="20" t="str">
        <f t="shared" si="118"/>
        <v>ENTREGADO</v>
      </c>
      <c r="F142" s="20" t="str">
        <f t="shared" si="119"/>
        <v>NO ENTREGADO</v>
      </c>
      <c r="G142" s="20" t="str">
        <f t="shared" si="120"/>
        <v>S/N</v>
      </c>
      <c r="H142" s="20" t="str">
        <f t="shared" si="121"/>
        <v>S/N</v>
      </c>
      <c r="I142" s="20" t="str">
        <f t="shared" si="124"/>
        <v>Estrategia 3</v>
      </c>
      <c r="J142" s="62" t="str">
        <f t="shared" si="124"/>
        <v>Objetivo 2</v>
      </c>
      <c r="K142" s="20" t="str">
        <f>Resumen!$Q$17</f>
        <v>S/N</v>
      </c>
      <c r="L142" s="20" t="str">
        <f t="shared" si="122"/>
        <v>NO SE APERTURÓ ESTE PERIODO</v>
      </c>
      <c r="M142" s="62">
        <f t="shared" si="123"/>
        <v>0</v>
      </c>
      <c r="N142" s="20">
        <v>2025</v>
      </c>
    </row>
    <row r="143" spans="1:14" ht="14.25" customHeight="1">
      <c r="A143" s="20">
        <f t="shared" si="115"/>
        <v>13</v>
      </c>
      <c r="B143" s="159" t="s">
        <v>48</v>
      </c>
      <c r="C143" s="20" t="str">
        <f t="shared" si="116"/>
        <v>Mgtr. Pablo Ñauta</v>
      </c>
      <c r="D143" s="20" t="str">
        <f t="shared" si="117"/>
        <v>ENTREGADO</v>
      </c>
      <c r="E143" s="20" t="str">
        <f t="shared" si="118"/>
        <v>ENTREGADO</v>
      </c>
      <c r="F143" s="20" t="str">
        <f t="shared" si="119"/>
        <v>NO ENTREGADO</v>
      </c>
      <c r="G143" s="20" t="str">
        <f t="shared" si="120"/>
        <v>S/N</v>
      </c>
      <c r="H143" s="20" t="str">
        <f t="shared" si="121"/>
        <v>S/N</v>
      </c>
      <c r="I143" s="20" t="str">
        <f t="shared" si="124"/>
        <v>Estrategia 3</v>
      </c>
      <c r="J143" s="62" t="str">
        <f t="shared" si="124"/>
        <v>Objetivo 3</v>
      </c>
      <c r="K143" s="20" t="str">
        <f>Resumen!$R$17</f>
        <v>S/N</v>
      </c>
      <c r="L143" s="20" t="str">
        <f t="shared" si="122"/>
        <v>NO SE APERTURÓ ESTE PERIODO</v>
      </c>
      <c r="M143" s="62">
        <f t="shared" si="123"/>
        <v>0</v>
      </c>
      <c r="N143" s="20">
        <v>2025</v>
      </c>
    </row>
    <row r="144" spans="1:14" ht="14.25" customHeight="1">
      <c r="A144" s="20">
        <f t="shared" si="115"/>
        <v>13</v>
      </c>
      <c r="B144" s="159" t="s">
        <v>48</v>
      </c>
      <c r="C144" s="20" t="str">
        <f t="shared" si="116"/>
        <v>Mgtr. Pablo Ñauta</v>
      </c>
      <c r="D144" s="20" t="str">
        <f t="shared" si="117"/>
        <v>ENTREGADO</v>
      </c>
      <c r="E144" s="20" t="str">
        <f t="shared" si="118"/>
        <v>ENTREGADO</v>
      </c>
      <c r="F144" s="20" t="str">
        <f t="shared" si="119"/>
        <v>NO ENTREGADO</v>
      </c>
      <c r="G144" s="20" t="str">
        <f t="shared" si="120"/>
        <v>S/N</v>
      </c>
      <c r="H144" s="20" t="str">
        <f t="shared" si="121"/>
        <v>S/N</v>
      </c>
      <c r="I144" s="20" t="str">
        <f t="shared" si="124"/>
        <v>Estrategia 4</v>
      </c>
      <c r="J144" s="62" t="str">
        <f t="shared" si="124"/>
        <v>Objetivo 1</v>
      </c>
      <c r="K144" s="20" t="str">
        <f>Resumen!$S$17</f>
        <v>S/N</v>
      </c>
      <c r="L144" s="20" t="str">
        <f t="shared" si="122"/>
        <v>NO SE APERTURÓ ESTE PERIODO</v>
      </c>
      <c r="M144" s="62">
        <f t="shared" si="123"/>
        <v>0</v>
      </c>
      <c r="N144" s="20">
        <v>2025</v>
      </c>
    </row>
    <row r="145" spans="1:14" ht="14.25" customHeight="1">
      <c r="A145" s="20">
        <f>Resumen!A18</f>
        <v>14</v>
      </c>
      <c r="B145" s="159" t="s">
        <v>52</v>
      </c>
      <c r="C145" s="20" t="str">
        <f>Resumen!C18</f>
        <v>Mgtr. Lizett Pesántez</v>
      </c>
      <c r="D145" s="20" t="str">
        <f>Resumen!D18</f>
        <v>ENTREGADO</v>
      </c>
      <c r="E145" s="20" t="str">
        <f>Resumen!E18</f>
        <v>ENTREGADO</v>
      </c>
      <c r="F145" s="20" t="str">
        <f>Resumen!F18</f>
        <v>ENTREGADO</v>
      </c>
      <c r="G145" s="20" t="str">
        <f>Resumen!G18</f>
        <v>S/N</v>
      </c>
      <c r="H145" s="20" t="str">
        <f>Resumen!H18</f>
        <v>S/N</v>
      </c>
      <c r="I145" s="20" t="str">
        <f t="shared" si="124"/>
        <v>Estrategia 1</v>
      </c>
      <c r="J145" s="62" t="str">
        <f t="shared" si="124"/>
        <v>Objetivo 1</v>
      </c>
      <c r="K145" s="20" t="str">
        <f>Resumen!$I$18</f>
        <v>X</v>
      </c>
      <c r="L145" s="20" t="str">
        <f>Resumen!T18</f>
        <v>EVIDENCIAS POR COMPLETAR SEGUNDO SEMESTRE</v>
      </c>
      <c r="M145" s="62">
        <f>Resumen!U18</f>
        <v>0.60526315789473684</v>
      </c>
      <c r="N145" s="20">
        <v>2025</v>
      </c>
    </row>
    <row r="146" spans="1:14" ht="14.25" customHeight="1">
      <c r="A146" s="20">
        <f t="shared" ref="A146:A155" si="125">$A$145</f>
        <v>14</v>
      </c>
      <c r="B146" s="159" t="s">
        <v>52</v>
      </c>
      <c r="C146" s="20" t="str">
        <f t="shared" ref="C146:C155" si="126">$C$145</f>
        <v>Mgtr. Lizett Pesántez</v>
      </c>
      <c r="D146" s="20" t="str">
        <f t="shared" ref="D146:D155" si="127">$D$145</f>
        <v>ENTREGADO</v>
      </c>
      <c r="E146" s="20" t="str">
        <f t="shared" ref="E146:E155" si="128">$E$145</f>
        <v>ENTREGADO</v>
      </c>
      <c r="F146" s="20" t="str">
        <f t="shared" ref="F146:F155" si="129">$F$145</f>
        <v>ENTREGADO</v>
      </c>
      <c r="G146" s="20" t="str">
        <f t="shared" ref="G146:G155" si="130">$G$145</f>
        <v>S/N</v>
      </c>
      <c r="H146" s="20" t="str">
        <f t="shared" ref="H146:H155" si="131">$H$145</f>
        <v>S/N</v>
      </c>
      <c r="I146" s="20" t="str">
        <f t="shared" si="124"/>
        <v>Estrategia 1</v>
      </c>
      <c r="J146" s="62" t="str">
        <f t="shared" si="124"/>
        <v>Objetivo 2</v>
      </c>
      <c r="K146" s="20" t="str">
        <f>Resumen!$J$18</f>
        <v>X</v>
      </c>
      <c r="L146" s="20" t="str">
        <f t="shared" ref="L146:L155" si="132">$L$145</f>
        <v>EVIDENCIAS POR COMPLETAR SEGUNDO SEMESTRE</v>
      </c>
      <c r="M146" s="62">
        <f t="shared" ref="M146:M155" si="133">$M$145</f>
        <v>0.60526315789473684</v>
      </c>
      <c r="N146" s="20">
        <v>2025</v>
      </c>
    </row>
    <row r="147" spans="1:14" ht="14.25" customHeight="1">
      <c r="A147" s="20">
        <f t="shared" si="125"/>
        <v>14</v>
      </c>
      <c r="B147" s="159" t="s">
        <v>52</v>
      </c>
      <c r="C147" s="20" t="str">
        <f t="shared" si="126"/>
        <v>Mgtr. Lizett Pesántez</v>
      </c>
      <c r="D147" s="20" t="str">
        <f t="shared" si="127"/>
        <v>ENTREGADO</v>
      </c>
      <c r="E147" s="20" t="str">
        <f t="shared" si="128"/>
        <v>ENTREGADO</v>
      </c>
      <c r="F147" s="20" t="str">
        <f t="shared" si="129"/>
        <v>ENTREGADO</v>
      </c>
      <c r="G147" s="20" t="str">
        <f t="shared" si="130"/>
        <v>S/N</v>
      </c>
      <c r="H147" s="20" t="str">
        <f t="shared" si="131"/>
        <v>S/N</v>
      </c>
      <c r="I147" s="20" t="str">
        <f t="shared" si="124"/>
        <v>Estrategia 1</v>
      </c>
      <c r="J147" s="62" t="str">
        <f t="shared" si="124"/>
        <v>Objetivo 3</v>
      </c>
      <c r="K147" s="20" t="str">
        <f>Resumen!$K$18</f>
        <v>x</v>
      </c>
      <c r="L147" s="20" t="str">
        <f t="shared" si="132"/>
        <v>EVIDENCIAS POR COMPLETAR SEGUNDO SEMESTRE</v>
      </c>
      <c r="M147" s="62">
        <f t="shared" si="133"/>
        <v>0.60526315789473684</v>
      </c>
      <c r="N147" s="20">
        <v>2025</v>
      </c>
    </row>
    <row r="148" spans="1:14" ht="14.25" customHeight="1">
      <c r="A148" s="20">
        <f t="shared" si="125"/>
        <v>14</v>
      </c>
      <c r="B148" s="159" t="s">
        <v>52</v>
      </c>
      <c r="C148" s="20" t="str">
        <f t="shared" si="126"/>
        <v>Mgtr. Lizett Pesántez</v>
      </c>
      <c r="D148" s="20" t="str">
        <f t="shared" si="127"/>
        <v>ENTREGADO</v>
      </c>
      <c r="E148" s="20" t="str">
        <f t="shared" si="128"/>
        <v>ENTREGADO</v>
      </c>
      <c r="F148" s="20" t="str">
        <f t="shared" si="129"/>
        <v>ENTREGADO</v>
      </c>
      <c r="G148" s="20" t="str">
        <f t="shared" si="130"/>
        <v>S/N</v>
      </c>
      <c r="H148" s="20" t="str">
        <f t="shared" si="131"/>
        <v>S/N</v>
      </c>
      <c r="I148" s="20" t="str">
        <f t="shared" si="124"/>
        <v>Estrategia 1</v>
      </c>
      <c r="J148" s="62" t="str">
        <f t="shared" si="124"/>
        <v>Objetivo 4</v>
      </c>
      <c r="K148" s="20" t="str">
        <f>Resumen!$L$18</f>
        <v>x</v>
      </c>
      <c r="L148" s="20" t="str">
        <f t="shared" si="132"/>
        <v>EVIDENCIAS POR COMPLETAR SEGUNDO SEMESTRE</v>
      </c>
      <c r="M148" s="62">
        <f t="shared" si="133"/>
        <v>0.60526315789473684</v>
      </c>
      <c r="N148" s="20">
        <v>2025</v>
      </c>
    </row>
    <row r="149" spans="1:14" ht="14.25" customHeight="1">
      <c r="A149" s="20">
        <f t="shared" si="125"/>
        <v>14</v>
      </c>
      <c r="B149" s="159" t="s">
        <v>52</v>
      </c>
      <c r="C149" s="20" t="str">
        <f t="shared" si="126"/>
        <v>Mgtr. Lizett Pesántez</v>
      </c>
      <c r="D149" s="20" t="str">
        <f t="shared" si="127"/>
        <v>ENTREGADO</v>
      </c>
      <c r="E149" s="20" t="str">
        <f t="shared" si="128"/>
        <v>ENTREGADO</v>
      </c>
      <c r="F149" s="20" t="str">
        <f t="shared" si="129"/>
        <v>ENTREGADO</v>
      </c>
      <c r="G149" s="20" t="str">
        <f t="shared" si="130"/>
        <v>S/N</v>
      </c>
      <c r="H149" s="20" t="str">
        <f t="shared" si="131"/>
        <v>S/N</v>
      </c>
      <c r="I149" s="20" t="str">
        <f t="shared" si="124"/>
        <v>Estrategia 2</v>
      </c>
      <c r="J149" s="62" t="str">
        <f t="shared" si="124"/>
        <v>Objetivo 1</v>
      </c>
      <c r="K149" s="20" t="str">
        <f>Resumen!$M$18</f>
        <v>x</v>
      </c>
      <c r="L149" s="20" t="str">
        <f t="shared" si="132"/>
        <v>EVIDENCIAS POR COMPLETAR SEGUNDO SEMESTRE</v>
      </c>
      <c r="M149" s="62">
        <f t="shared" si="133"/>
        <v>0.60526315789473684</v>
      </c>
      <c r="N149" s="20">
        <v>2025</v>
      </c>
    </row>
    <row r="150" spans="1:14" ht="14.25" customHeight="1">
      <c r="A150" s="20">
        <f t="shared" si="125"/>
        <v>14</v>
      </c>
      <c r="B150" s="159" t="s">
        <v>52</v>
      </c>
      <c r="C150" s="20" t="str">
        <f t="shared" si="126"/>
        <v>Mgtr. Lizett Pesántez</v>
      </c>
      <c r="D150" s="20" t="str">
        <f t="shared" si="127"/>
        <v>ENTREGADO</v>
      </c>
      <c r="E150" s="20" t="str">
        <f t="shared" si="128"/>
        <v>ENTREGADO</v>
      </c>
      <c r="F150" s="20" t="str">
        <f t="shared" si="129"/>
        <v>ENTREGADO</v>
      </c>
      <c r="G150" s="20" t="str">
        <f t="shared" si="130"/>
        <v>S/N</v>
      </c>
      <c r="H150" s="20" t="str">
        <f t="shared" si="131"/>
        <v>S/N</v>
      </c>
      <c r="I150" s="20" t="str">
        <f t="shared" si="124"/>
        <v>Estrategia 2</v>
      </c>
      <c r="J150" s="62" t="str">
        <f t="shared" si="124"/>
        <v>Objetivo 2</v>
      </c>
      <c r="K150" s="20" t="str">
        <f>Resumen!$N$18</f>
        <v>x</v>
      </c>
      <c r="L150" s="20" t="str">
        <f t="shared" si="132"/>
        <v>EVIDENCIAS POR COMPLETAR SEGUNDO SEMESTRE</v>
      </c>
      <c r="M150" s="62">
        <f t="shared" si="133"/>
        <v>0.60526315789473684</v>
      </c>
      <c r="N150" s="20">
        <v>2025</v>
      </c>
    </row>
    <row r="151" spans="1:14" ht="14.25" customHeight="1">
      <c r="A151" s="20">
        <f t="shared" si="125"/>
        <v>14</v>
      </c>
      <c r="B151" s="159" t="s">
        <v>52</v>
      </c>
      <c r="C151" s="20" t="str">
        <f t="shared" si="126"/>
        <v>Mgtr. Lizett Pesántez</v>
      </c>
      <c r="D151" s="20" t="str">
        <f t="shared" si="127"/>
        <v>ENTREGADO</v>
      </c>
      <c r="E151" s="20" t="str">
        <f t="shared" si="128"/>
        <v>ENTREGADO</v>
      </c>
      <c r="F151" s="20" t="str">
        <f t="shared" si="129"/>
        <v>ENTREGADO</v>
      </c>
      <c r="G151" s="20" t="str">
        <f t="shared" si="130"/>
        <v>S/N</v>
      </c>
      <c r="H151" s="20" t="str">
        <f t="shared" si="131"/>
        <v>S/N</v>
      </c>
      <c r="I151" s="20" t="str">
        <f t="shared" si="124"/>
        <v>Estrategia 2</v>
      </c>
      <c r="J151" s="62" t="str">
        <f t="shared" si="124"/>
        <v>Objetivo 3</v>
      </c>
      <c r="K151" s="20" t="str">
        <f>Resumen!$O$18</f>
        <v>X</v>
      </c>
      <c r="L151" s="20" t="str">
        <f t="shared" si="132"/>
        <v>EVIDENCIAS POR COMPLETAR SEGUNDO SEMESTRE</v>
      </c>
      <c r="M151" s="62">
        <f t="shared" si="133"/>
        <v>0.60526315789473684</v>
      </c>
      <c r="N151" s="20">
        <v>2025</v>
      </c>
    </row>
    <row r="152" spans="1:14" ht="14.25" customHeight="1">
      <c r="A152" s="20">
        <f t="shared" si="125"/>
        <v>14</v>
      </c>
      <c r="B152" s="159" t="s">
        <v>52</v>
      </c>
      <c r="C152" s="20" t="str">
        <f t="shared" si="126"/>
        <v>Mgtr. Lizett Pesántez</v>
      </c>
      <c r="D152" s="20" t="str">
        <f t="shared" si="127"/>
        <v>ENTREGADO</v>
      </c>
      <c r="E152" s="20" t="str">
        <f t="shared" si="128"/>
        <v>ENTREGADO</v>
      </c>
      <c r="F152" s="20" t="str">
        <f t="shared" si="129"/>
        <v>ENTREGADO</v>
      </c>
      <c r="G152" s="20" t="str">
        <f t="shared" si="130"/>
        <v>S/N</v>
      </c>
      <c r="H152" s="20" t="str">
        <f t="shared" si="131"/>
        <v>S/N</v>
      </c>
      <c r="I152" s="20" t="str">
        <f t="shared" si="124"/>
        <v>Estrategia 3</v>
      </c>
      <c r="J152" s="62" t="str">
        <f t="shared" si="124"/>
        <v>Objetivo 1</v>
      </c>
      <c r="K152" s="20" t="str">
        <f>Resumen!$P$18</f>
        <v>X</v>
      </c>
      <c r="L152" s="20" t="str">
        <f t="shared" si="132"/>
        <v>EVIDENCIAS POR COMPLETAR SEGUNDO SEMESTRE</v>
      </c>
      <c r="M152" s="62">
        <f t="shared" si="133"/>
        <v>0.60526315789473684</v>
      </c>
      <c r="N152" s="20">
        <v>2025</v>
      </c>
    </row>
    <row r="153" spans="1:14" ht="14.25" customHeight="1">
      <c r="A153" s="20">
        <f t="shared" si="125"/>
        <v>14</v>
      </c>
      <c r="B153" s="159" t="s">
        <v>52</v>
      </c>
      <c r="C153" s="20" t="str">
        <f t="shared" si="126"/>
        <v>Mgtr. Lizett Pesántez</v>
      </c>
      <c r="D153" s="20" t="str">
        <f t="shared" si="127"/>
        <v>ENTREGADO</v>
      </c>
      <c r="E153" s="20" t="str">
        <f t="shared" si="128"/>
        <v>ENTREGADO</v>
      </c>
      <c r="F153" s="20" t="str">
        <f t="shared" si="129"/>
        <v>ENTREGADO</v>
      </c>
      <c r="G153" s="20" t="str">
        <f t="shared" si="130"/>
        <v>S/N</v>
      </c>
      <c r="H153" s="20" t="str">
        <f t="shared" si="131"/>
        <v>S/N</v>
      </c>
      <c r="I153" s="20" t="str">
        <f t="shared" si="124"/>
        <v>Estrategia 3</v>
      </c>
      <c r="J153" s="62" t="str">
        <f t="shared" si="124"/>
        <v>Objetivo 2</v>
      </c>
      <c r="K153" s="20" t="str">
        <f>Resumen!$Q$18</f>
        <v>X</v>
      </c>
      <c r="L153" s="20" t="str">
        <f t="shared" si="132"/>
        <v>EVIDENCIAS POR COMPLETAR SEGUNDO SEMESTRE</v>
      </c>
      <c r="M153" s="62">
        <f t="shared" si="133"/>
        <v>0.60526315789473684</v>
      </c>
      <c r="N153" s="20">
        <v>2025</v>
      </c>
    </row>
    <row r="154" spans="1:14" ht="14.25" customHeight="1">
      <c r="A154" s="20">
        <f t="shared" si="125"/>
        <v>14</v>
      </c>
      <c r="B154" s="159" t="s">
        <v>52</v>
      </c>
      <c r="C154" s="20" t="str">
        <f t="shared" si="126"/>
        <v>Mgtr. Lizett Pesántez</v>
      </c>
      <c r="D154" s="20" t="str">
        <f t="shared" si="127"/>
        <v>ENTREGADO</v>
      </c>
      <c r="E154" s="20" t="str">
        <f t="shared" si="128"/>
        <v>ENTREGADO</v>
      </c>
      <c r="F154" s="20" t="str">
        <f t="shared" si="129"/>
        <v>ENTREGADO</v>
      </c>
      <c r="G154" s="20" t="str">
        <f t="shared" si="130"/>
        <v>S/N</v>
      </c>
      <c r="H154" s="20" t="str">
        <f t="shared" si="131"/>
        <v>S/N</v>
      </c>
      <c r="I154" s="20" t="str">
        <f t="shared" si="124"/>
        <v>Estrategia 3</v>
      </c>
      <c r="J154" s="62" t="str">
        <f t="shared" si="124"/>
        <v>Objetivo 3</v>
      </c>
      <c r="K154" s="20" t="str">
        <f>Resumen!$R$18</f>
        <v>X</v>
      </c>
      <c r="L154" s="20" t="str">
        <f t="shared" si="132"/>
        <v>EVIDENCIAS POR COMPLETAR SEGUNDO SEMESTRE</v>
      </c>
      <c r="M154" s="62">
        <f t="shared" si="133"/>
        <v>0.60526315789473684</v>
      </c>
      <c r="N154" s="20">
        <v>2025</v>
      </c>
    </row>
    <row r="155" spans="1:14" ht="14.25" customHeight="1">
      <c r="A155" s="20">
        <f t="shared" si="125"/>
        <v>14</v>
      </c>
      <c r="B155" s="159" t="s">
        <v>52</v>
      </c>
      <c r="C155" s="20" t="str">
        <f t="shared" si="126"/>
        <v>Mgtr. Lizett Pesántez</v>
      </c>
      <c r="D155" s="20" t="str">
        <f t="shared" si="127"/>
        <v>ENTREGADO</v>
      </c>
      <c r="E155" s="20" t="str">
        <f t="shared" si="128"/>
        <v>ENTREGADO</v>
      </c>
      <c r="F155" s="20" t="str">
        <f t="shared" si="129"/>
        <v>ENTREGADO</v>
      </c>
      <c r="G155" s="20" t="str">
        <f t="shared" si="130"/>
        <v>S/N</v>
      </c>
      <c r="H155" s="20" t="str">
        <f t="shared" si="131"/>
        <v>S/N</v>
      </c>
      <c r="I155" s="20" t="str">
        <f t="shared" si="124"/>
        <v>Estrategia 4</v>
      </c>
      <c r="J155" s="62" t="str">
        <f t="shared" si="124"/>
        <v>Objetivo 1</v>
      </c>
      <c r="K155" s="20" t="str">
        <f>Resumen!$S$18</f>
        <v>X</v>
      </c>
      <c r="L155" s="20" t="str">
        <f t="shared" si="132"/>
        <v>EVIDENCIAS POR COMPLETAR SEGUNDO SEMESTRE</v>
      </c>
      <c r="M155" s="62">
        <f t="shared" si="133"/>
        <v>0.60526315789473684</v>
      </c>
      <c r="N155" s="20">
        <v>2025</v>
      </c>
    </row>
    <row r="156" spans="1:14" ht="14.25" customHeight="1">
      <c r="A156" s="20">
        <f>Resumen!A19</f>
        <v>15</v>
      </c>
      <c r="B156" s="159" t="s">
        <v>54</v>
      </c>
      <c r="C156" s="20" t="str">
        <f>Resumen!C19</f>
        <v>Mgtr. Patricio Seminario</v>
      </c>
      <c r="D156" s="20" t="str">
        <f>Resumen!D19</f>
        <v>ENTREGADO</v>
      </c>
      <c r="E156" s="20" t="str">
        <f>Resumen!E19</f>
        <v>ENTREGADO</v>
      </c>
      <c r="F156" s="20" t="str">
        <f>Resumen!F19</f>
        <v>ENTREGADO</v>
      </c>
      <c r="G156" s="20" t="str">
        <f>Resumen!G19</f>
        <v>S/N</v>
      </c>
      <c r="H156" s="20" t="str">
        <f>Resumen!H19</f>
        <v>S/N</v>
      </c>
      <c r="I156" s="20" t="str">
        <f t="shared" si="124"/>
        <v>Estrategia 1</v>
      </c>
      <c r="J156" s="62" t="str">
        <f t="shared" si="124"/>
        <v>Objetivo 1</v>
      </c>
      <c r="K156" s="20" t="str">
        <f>Resumen!$I$19</f>
        <v>X</v>
      </c>
      <c r="L156" s="20" t="str">
        <f>Resumen!T19</f>
        <v>EVIDENCIAS POR COMPLETAR SEGUNDO SEMESTRE</v>
      </c>
      <c r="M156" s="62">
        <f>Resumen!U19</f>
        <v>0.94736842105263153</v>
      </c>
      <c r="N156" s="20">
        <v>2025</v>
      </c>
    </row>
    <row r="157" spans="1:14" ht="14.25" customHeight="1">
      <c r="A157" s="20">
        <f t="shared" ref="A157:A166" si="134">$A$156</f>
        <v>15</v>
      </c>
      <c r="B157" s="159" t="s">
        <v>54</v>
      </c>
      <c r="C157" s="20" t="str">
        <f t="shared" ref="C157:C166" si="135">$C$156</f>
        <v>Mgtr. Patricio Seminario</v>
      </c>
      <c r="D157" s="20" t="str">
        <f t="shared" ref="D157:D166" si="136">$D$156</f>
        <v>ENTREGADO</v>
      </c>
      <c r="E157" s="20" t="str">
        <f t="shared" ref="E157:E166" si="137">$E$156</f>
        <v>ENTREGADO</v>
      </c>
      <c r="F157" s="20" t="str">
        <f t="shared" ref="F157:F166" si="138">$F$156</f>
        <v>ENTREGADO</v>
      </c>
      <c r="G157" s="20" t="str">
        <f t="shared" ref="G157:G166" si="139">$G$156</f>
        <v>S/N</v>
      </c>
      <c r="H157" s="20" t="str">
        <f t="shared" ref="H157:H166" si="140">$H$156</f>
        <v>S/N</v>
      </c>
      <c r="I157" s="20" t="str">
        <f t="shared" si="124"/>
        <v>Estrategia 1</v>
      </c>
      <c r="J157" s="62" t="str">
        <f t="shared" si="124"/>
        <v>Objetivo 2</v>
      </c>
      <c r="K157" s="20" t="str">
        <f>Resumen!$J$19</f>
        <v>X</v>
      </c>
      <c r="L157" s="20" t="str">
        <f t="shared" ref="L157:L166" si="141">$L$156</f>
        <v>EVIDENCIAS POR COMPLETAR SEGUNDO SEMESTRE</v>
      </c>
      <c r="M157" s="62">
        <f t="shared" ref="M157:M166" si="142">$M$156</f>
        <v>0.94736842105263153</v>
      </c>
      <c r="N157" s="20">
        <v>2025</v>
      </c>
    </row>
    <row r="158" spans="1:14" ht="14.25" customHeight="1">
      <c r="A158" s="20">
        <f t="shared" si="134"/>
        <v>15</v>
      </c>
      <c r="B158" s="159" t="s">
        <v>54</v>
      </c>
      <c r="C158" s="20" t="str">
        <f t="shared" si="135"/>
        <v>Mgtr. Patricio Seminario</v>
      </c>
      <c r="D158" s="20" t="str">
        <f t="shared" si="136"/>
        <v>ENTREGADO</v>
      </c>
      <c r="E158" s="20" t="str">
        <f t="shared" si="137"/>
        <v>ENTREGADO</v>
      </c>
      <c r="F158" s="20" t="str">
        <f t="shared" si="138"/>
        <v>ENTREGADO</v>
      </c>
      <c r="G158" s="20" t="str">
        <f t="shared" si="139"/>
        <v>S/N</v>
      </c>
      <c r="H158" s="20" t="str">
        <f t="shared" si="140"/>
        <v>S/N</v>
      </c>
      <c r="I158" s="20" t="str">
        <f t="shared" si="124"/>
        <v>Estrategia 1</v>
      </c>
      <c r="J158" s="62" t="str">
        <f t="shared" si="124"/>
        <v>Objetivo 3</v>
      </c>
      <c r="K158" s="20" t="str">
        <f>Resumen!$K$19</f>
        <v>x</v>
      </c>
      <c r="L158" s="20" t="str">
        <f t="shared" si="141"/>
        <v>EVIDENCIAS POR COMPLETAR SEGUNDO SEMESTRE</v>
      </c>
      <c r="M158" s="62">
        <f t="shared" si="142"/>
        <v>0.94736842105263153</v>
      </c>
      <c r="N158" s="20">
        <v>2025</v>
      </c>
    </row>
    <row r="159" spans="1:14" ht="14.25" customHeight="1">
      <c r="A159" s="20">
        <f t="shared" si="134"/>
        <v>15</v>
      </c>
      <c r="B159" s="159" t="s">
        <v>54</v>
      </c>
      <c r="C159" s="20" t="str">
        <f t="shared" si="135"/>
        <v>Mgtr. Patricio Seminario</v>
      </c>
      <c r="D159" s="20" t="str">
        <f t="shared" si="136"/>
        <v>ENTREGADO</v>
      </c>
      <c r="E159" s="20" t="str">
        <f t="shared" si="137"/>
        <v>ENTREGADO</v>
      </c>
      <c r="F159" s="20" t="str">
        <f t="shared" si="138"/>
        <v>ENTREGADO</v>
      </c>
      <c r="G159" s="20" t="str">
        <f t="shared" si="139"/>
        <v>S/N</v>
      </c>
      <c r="H159" s="20" t="str">
        <f t="shared" si="140"/>
        <v>S/N</v>
      </c>
      <c r="I159" s="20" t="str">
        <f t="shared" ref="I159:J178" si="143">I148</f>
        <v>Estrategia 1</v>
      </c>
      <c r="J159" s="62" t="str">
        <f t="shared" si="143"/>
        <v>Objetivo 4</v>
      </c>
      <c r="K159" s="20" t="str">
        <f>Resumen!$L$19</f>
        <v>x</v>
      </c>
      <c r="L159" s="20" t="str">
        <f t="shared" si="141"/>
        <v>EVIDENCIAS POR COMPLETAR SEGUNDO SEMESTRE</v>
      </c>
      <c r="M159" s="62">
        <f t="shared" si="142"/>
        <v>0.94736842105263153</v>
      </c>
      <c r="N159" s="20">
        <v>2025</v>
      </c>
    </row>
    <row r="160" spans="1:14" ht="14.25" customHeight="1">
      <c r="A160" s="20">
        <f t="shared" si="134"/>
        <v>15</v>
      </c>
      <c r="B160" s="159" t="s">
        <v>54</v>
      </c>
      <c r="C160" s="20" t="str">
        <f t="shared" si="135"/>
        <v>Mgtr. Patricio Seminario</v>
      </c>
      <c r="D160" s="20" t="str">
        <f t="shared" si="136"/>
        <v>ENTREGADO</v>
      </c>
      <c r="E160" s="20" t="str">
        <f t="shared" si="137"/>
        <v>ENTREGADO</v>
      </c>
      <c r="F160" s="20" t="str">
        <f t="shared" si="138"/>
        <v>ENTREGADO</v>
      </c>
      <c r="G160" s="20" t="str">
        <f t="shared" si="139"/>
        <v>S/N</v>
      </c>
      <c r="H160" s="20" t="str">
        <f t="shared" si="140"/>
        <v>S/N</v>
      </c>
      <c r="I160" s="20" t="str">
        <f t="shared" si="143"/>
        <v>Estrategia 2</v>
      </c>
      <c r="J160" s="62" t="str">
        <f t="shared" si="143"/>
        <v>Objetivo 1</v>
      </c>
      <c r="K160" s="20" t="str">
        <f>Resumen!$M$19</f>
        <v>x</v>
      </c>
      <c r="L160" s="20" t="str">
        <f t="shared" si="141"/>
        <v>EVIDENCIAS POR COMPLETAR SEGUNDO SEMESTRE</v>
      </c>
      <c r="M160" s="62">
        <f t="shared" si="142"/>
        <v>0.94736842105263153</v>
      </c>
      <c r="N160" s="20">
        <v>2025</v>
      </c>
    </row>
    <row r="161" spans="1:14" ht="14.25" customHeight="1">
      <c r="A161" s="20">
        <f t="shared" si="134"/>
        <v>15</v>
      </c>
      <c r="B161" s="159" t="s">
        <v>54</v>
      </c>
      <c r="C161" s="20" t="str">
        <f t="shared" si="135"/>
        <v>Mgtr. Patricio Seminario</v>
      </c>
      <c r="D161" s="20" t="str">
        <f t="shared" si="136"/>
        <v>ENTREGADO</v>
      </c>
      <c r="E161" s="20" t="str">
        <f t="shared" si="137"/>
        <v>ENTREGADO</v>
      </c>
      <c r="F161" s="20" t="str">
        <f t="shared" si="138"/>
        <v>ENTREGADO</v>
      </c>
      <c r="G161" s="20" t="str">
        <f t="shared" si="139"/>
        <v>S/N</v>
      </c>
      <c r="H161" s="20" t="str">
        <f t="shared" si="140"/>
        <v>S/N</v>
      </c>
      <c r="I161" s="20" t="str">
        <f t="shared" si="143"/>
        <v>Estrategia 2</v>
      </c>
      <c r="J161" s="62" t="str">
        <f t="shared" si="143"/>
        <v>Objetivo 2</v>
      </c>
      <c r="K161" s="20" t="str">
        <f>Resumen!$N$19</f>
        <v>x</v>
      </c>
      <c r="L161" s="20" t="str">
        <f t="shared" si="141"/>
        <v>EVIDENCIAS POR COMPLETAR SEGUNDO SEMESTRE</v>
      </c>
      <c r="M161" s="62">
        <f t="shared" si="142"/>
        <v>0.94736842105263153</v>
      </c>
      <c r="N161" s="20">
        <v>2025</v>
      </c>
    </row>
    <row r="162" spans="1:14" ht="14.25" customHeight="1">
      <c r="A162" s="20">
        <f t="shared" si="134"/>
        <v>15</v>
      </c>
      <c r="B162" s="159" t="s">
        <v>54</v>
      </c>
      <c r="C162" s="20" t="str">
        <f t="shared" si="135"/>
        <v>Mgtr. Patricio Seminario</v>
      </c>
      <c r="D162" s="20" t="str">
        <f t="shared" si="136"/>
        <v>ENTREGADO</v>
      </c>
      <c r="E162" s="20" t="str">
        <f t="shared" si="137"/>
        <v>ENTREGADO</v>
      </c>
      <c r="F162" s="20" t="str">
        <f t="shared" si="138"/>
        <v>ENTREGADO</v>
      </c>
      <c r="G162" s="20" t="str">
        <f t="shared" si="139"/>
        <v>S/N</v>
      </c>
      <c r="H162" s="20" t="str">
        <f t="shared" si="140"/>
        <v>S/N</v>
      </c>
      <c r="I162" s="20" t="str">
        <f t="shared" si="143"/>
        <v>Estrategia 2</v>
      </c>
      <c r="J162" s="62" t="str">
        <f t="shared" si="143"/>
        <v>Objetivo 3</v>
      </c>
      <c r="K162" s="20" t="str">
        <f>Resumen!$O$19</f>
        <v>X</v>
      </c>
      <c r="L162" s="20" t="str">
        <f t="shared" si="141"/>
        <v>EVIDENCIAS POR COMPLETAR SEGUNDO SEMESTRE</v>
      </c>
      <c r="M162" s="62">
        <f t="shared" si="142"/>
        <v>0.94736842105263153</v>
      </c>
      <c r="N162" s="20">
        <v>2025</v>
      </c>
    </row>
    <row r="163" spans="1:14" ht="14.25" customHeight="1">
      <c r="A163" s="20">
        <f t="shared" si="134"/>
        <v>15</v>
      </c>
      <c r="B163" s="159" t="s">
        <v>54</v>
      </c>
      <c r="C163" s="20" t="str">
        <f t="shared" si="135"/>
        <v>Mgtr. Patricio Seminario</v>
      </c>
      <c r="D163" s="20" t="str">
        <f t="shared" si="136"/>
        <v>ENTREGADO</v>
      </c>
      <c r="E163" s="20" t="str">
        <f t="shared" si="137"/>
        <v>ENTREGADO</v>
      </c>
      <c r="F163" s="20" t="str">
        <f t="shared" si="138"/>
        <v>ENTREGADO</v>
      </c>
      <c r="G163" s="20" t="str">
        <f t="shared" si="139"/>
        <v>S/N</v>
      </c>
      <c r="H163" s="20" t="str">
        <f t="shared" si="140"/>
        <v>S/N</v>
      </c>
      <c r="I163" s="20" t="str">
        <f t="shared" si="143"/>
        <v>Estrategia 3</v>
      </c>
      <c r="J163" s="62" t="str">
        <f t="shared" si="143"/>
        <v>Objetivo 1</v>
      </c>
      <c r="K163" s="20" t="str">
        <f>Resumen!$P$19</f>
        <v>X</v>
      </c>
      <c r="L163" s="20" t="str">
        <f t="shared" si="141"/>
        <v>EVIDENCIAS POR COMPLETAR SEGUNDO SEMESTRE</v>
      </c>
      <c r="M163" s="62">
        <f t="shared" si="142"/>
        <v>0.94736842105263153</v>
      </c>
      <c r="N163" s="20">
        <v>2025</v>
      </c>
    </row>
    <row r="164" spans="1:14" ht="14.25" customHeight="1">
      <c r="A164" s="20">
        <f t="shared" si="134"/>
        <v>15</v>
      </c>
      <c r="B164" s="159" t="s">
        <v>54</v>
      </c>
      <c r="C164" s="20" t="str">
        <f t="shared" si="135"/>
        <v>Mgtr. Patricio Seminario</v>
      </c>
      <c r="D164" s="20" t="str">
        <f t="shared" si="136"/>
        <v>ENTREGADO</v>
      </c>
      <c r="E164" s="20" t="str">
        <f t="shared" si="137"/>
        <v>ENTREGADO</v>
      </c>
      <c r="F164" s="20" t="str">
        <f t="shared" si="138"/>
        <v>ENTREGADO</v>
      </c>
      <c r="G164" s="20" t="str">
        <f t="shared" si="139"/>
        <v>S/N</v>
      </c>
      <c r="H164" s="20" t="str">
        <f t="shared" si="140"/>
        <v>S/N</v>
      </c>
      <c r="I164" s="20" t="str">
        <f t="shared" si="143"/>
        <v>Estrategia 3</v>
      </c>
      <c r="J164" s="62" t="str">
        <f t="shared" si="143"/>
        <v>Objetivo 2</v>
      </c>
      <c r="K164" s="20" t="str">
        <f>Resumen!$Q$19</f>
        <v>X</v>
      </c>
      <c r="L164" s="20" t="str">
        <f t="shared" si="141"/>
        <v>EVIDENCIAS POR COMPLETAR SEGUNDO SEMESTRE</v>
      </c>
      <c r="M164" s="62">
        <f t="shared" si="142"/>
        <v>0.94736842105263153</v>
      </c>
      <c r="N164" s="20">
        <v>2025</v>
      </c>
    </row>
    <row r="165" spans="1:14" ht="14.25" customHeight="1">
      <c r="A165" s="20">
        <f t="shared" si="134"/>
        <v>15</v>
      </c>
      <c r="B165" s="159" t="s">
        <v>54</v>
      </c>
      <c r="C165" s="20" t="str">
        <f t="shared" si="135"/>
        <v>Mgtr. Patricio Seminario</v>
      </c>
      <c r="D165" s="20" t="str">
        <f t="shared" si="136"/>
        <v>ENTREGADO</v>
      </c>
      <c r="E165" s="20" t="str">
        <f t="shared" si="137"/>
        <v>ENTREGADO</v>
      </c>
      <c r="F165" s="20" t="str">
        <f t="shared" si="138"/>
        <v>ENTREGADO</v>
      </c>
      <c r="G165" s="20" t="str">
        <f t="shared" si="139"/>
        <v>S/N</v>
      </c>
      <c r="H165" s="20" t="str">
        <f t="shared" si="140"/>
        <v>S/N</v>
      </c>
      <c r="I165" s="20" t="str">
        <f t="shared" si="143"/>
        <v>Estrategia 3</v>
      </c>
      <c r="J165" s="62" t="str">
        <f t="shared" si="143"/>
        <v>Objetivo 3</v>
      </c>
      <c r="K165" s="20" t="str">
        <f>Resumen!$R$19</f>
        <v>X</v>
      </c>
      <c r="L165" s="20" t="str">
        <f t="shared" si="141"/>
        <v>EVIDENCIAS POR COMPLETAR SEGUNDO SEMESTRE</v>
      </c>
      <c r="M165" s="62">
        <f t="shared" si="142"/>
        <v>0.94736842105263153</v>
      </c>
      <c r="N165" s="20">
        <v>2025</v>
      </c>
    </row>
    <row r="166" spans="1:14" ht="14.25" customHeight="1">
      <c r="A166" s="20">
        <f t="shared" si="134"/>
        <v>15</v>
      </c>
      <c r="B166" s="159" t="s">
        <v>54</v>
      </c>
      <c r="C166" s="20" t="str">
        <f t="shared" si="135"/>
        <v>Mgtr. Patricio Seminario</v>
      </c>
      <c r="D166" s="20" t="str">
        <f t="shared" si="136"/>
        <v>ENTREGADO</v>
      </c>
      <c r="E166" s="20" t="str">
        <f t="shared" si="137"/>
        <v>ENTREGADO</v>
      </c>
      <c r="F166" s="20" t="str">
        <f t="shared" si="138"/>
        <v>ENTREGADO</v>
      </c>
      <c r="G166" s="20" t="str">
        <f t="shared" si="139"/>
        <v>S/N</v>
      </c>
      <c r="H166" s="20" t="str">
        <f t="shared" si="140"/>
        <v>S/N</v>
      </c>
      <c r="I166" s="20" t="str">
        <f t="shared" si="143"/>
        <v>Estrategia 4</v>
      </c>
      <c r="J166" s="62" t="str">
        <f t="shared" si="143"/>
        <v>Objetivo 1</v>
      </c>
      <c r="K166" s="20" t="str">
        <f>Resumen!$S$19</f>
        <v>X</v>
      </c>
      <c r="L166" s="20" t="str">
        <f t="shared" si="141"/>
        <v>EVIDENCIAS POR COMPLETAR SEGUNDO SEMESTRE</v>
      </c>
      <c r="M166" s="62">
        <f t="shared" si="142"/>
        <v>0.94736842105263153</v>
      </c>
      <c r="N166" s="20">
        <v>2025</v>
      </c>
    </row>
    <row r="167" spans="1:14" ht="14.25" customHeight="1">
      <c r="A167" s="20">
        <f>Resumen!A20</f>
        <v>16</v>
      </c>
      <c r="B167" s="159" t="s">
        <v>56</v>
      </c>
      <c r="C167" s="20" t="str">
        <f>Resumen!C20</f>
        <v>Mgtr. Verónica Segarra</v>
      </c>
      <c r="D167" s="20" t="str">
        <f>Resumen!D20</f>
        <v>ENTREGADO</v>
      </c>
      <c r="E167" s="20" t="str">
        <f>Resumen!E20</f>
        <v>ENTREGADO</v>
      </c>
      <c r="F167" s="20" t="str">
        <f>Resumen!F20</f>
        <v>ENTREGADO</v>
      </c>
      <c r="G167" s="20" t="str">
        <f>Resumen!G20</f>
        <v>S/N</v>
      </c>
      <c r="H167" s="20" t="str">
        <f>Resumen!H20</f>
        <v>S/N</v>
      </c>
      <c r="I167" s="20" t="str">
        <f t="shared" si="143"/>
        <v>Estrategia 1</v>
      </c>
      <c r="J167" s="62" t="str">
        <f t="shared" si="143"/>
        <v>Objetivo 1</v>
      </c>
      <c r="K167" s="20" t="str">
        <f>Resumen!$I$20</f>
        <v>X</v>
      </c>
      <c r="L167" s="20" t="str">
        <f>Resumen!T20</f>
        <v>EVIDENCIAS POR COMPLETAR SEGUNDO SEMESTRE</v>
      </c>
      <c r="M167" s="62">
        <f>Resumen!U20</f>
        <v>0.85526315789473684</v>
      </c>
      <c r="N167" s="20">
        <v>2025</v>
      </c>
    </row>
    <row r="168" spans="1:14" ht="14.25" customHeight="1">
      <c r="A168" s="20">
        <f t="shared" ref="A168:A177" si="144">$A$167</f>
        <v>16</v>
      </c>
      <c r="B168" s="159" t="s">
        <v>56</v>
      </c>
      <c r="C168" s="20" t="str">
        <f t="shared" ref="C168:C177" si="145">$C$167</f>
        <v>Mgtr. Verónica Segarra</v>
      </c>
      <c r="D168" s="20" t="str">
        <f t="shared" ref="D168:D177" si="146">$D$167</f>
        <v>ENTREGADO</v>
      </c>
      <c r="E168" s="20" t="str">
        <f t="shared" ref="E168:E177" si="147">$E$167</f>
        <v>ENTREGADO</v>
      </c>
      <c r="F168" s="20" t="str">
        <f t="shared" ref="F168:F177" si="148">$F$167</f>
        <v>ENTREGADO</v>
      </c>
      <c r="G168" s="20" t="str">
        <f t="shared" ref="G168:G177" si="149">$G$167</f>
        <v>S/N</v>
      </c>
      <c r="H168" s="20" t="str">
        <f t="shared" ref="H168:H177" si="150">$H$167</f>
        <v>S/N</v>
      </c>
      <c r="I168" s="20" t="str">
        <f t="shared" si="143"/>
        <v>Estrategia 1</v>
      </c>
      <c r="J168" s="62" t="str">
        <f t="shared" si="143"/>
        <v>Objetivo 2</v>
      </c>
      <c r="K168" s="20" t="str">
        <f>Resumen!$J$20</f>
        <v>X</v>
      </c>
      <c r="L168" s="20" t="str">
        <f t="shared" ref="L168:L177" si="151">$L$167</f>
        <v>EVIDENCIAS POR COMPLETAR SEGUNDO SEMESTRE</v>
      </c>
      <c r="M168" s="62">
        <f t="shared" ref="M168:M177" si="152">$M$167</f>
        <v>0.85526315789473684</v>
      </c>
      <c r="N168" s="20">
        <v>2025</v>
      </c>
    </row>
    <row r="169" spans="1:14" ht="14.25" customHeight="1">
      <c r="A169" s="20">
        <f t="shared" si="144"/>
        <v>16</v>
      </c>
      <c r="B169" s="159" t="s">
        <v>56</v>
      </c>
      <c r="C169" s="20" t="str">
        <f t="shared" si="145"/>
        <v>Mgtr. Verónica Segarra</v>
      </c>
      <c r="D169" s="20" t="str">
        <f t="shared" si="146"/>
        <v>ENTREGADO</v>
      </c>
      <c r="E169" s="20" t="str">
        <f t="shared" si="147"/>
        <v>ENTREGADO</v>
      </c>
      <c r="F169" s="20" t="str">
        <f t="shared" si="148"/>
        <v>ENTREGADO</v>
      </c>
      <c r="G169" s="20" t="str">
        <f t="shared" si="149"/>
        <v>S/N</v>
      </c>
      <c r="H169" s="20" t="str">
        <f t="shared" si="150"/>
        <v>S/N</v>
      </c>
      <c r="I169" s="20" t="str">
        <f t="shared" si="143"/>
        <v>Estrategia 1</v>
      </c>
      <c r="J169" s="62" t="str">
        <f t="shared" si="143"/>
        <v>Objetivo 3</v>
      </c>
      <c r="K169" s="20" t="str">
        <f>Resumen!$K$20</f>
        <v>x</v>
      </c>
      <c r="L169" s="20" t="str">
        <f t="shared" si="151"/>
        <v>EVIDENCIAS POR COMPLETAR SEGUNDO SEMESTRE</v>
      </c>
      <c r="M169" s="62">
        <f t="shared" si="152"/>
        <v>0.85526315789473684</v>
      </c>
      <c r="N169" s="20">
        <v>2025</v>
      </c>
    </row>
    <row r="170" spans="1:14" ht="14.25" customHeight="1">
      <c r="A170" s="20">
        <f t="shared" si="144"/>
        <v>16</v>
      </c>
      <c r="B170" s="159" t="s">
        <v>56</v>
      </c>
      <c r="C170" s="20" t="str">
        <f t="shared" si="145"/>
        <v>Mgtr. Verónica Segarra</v>
      </c>
      <c r="D170" s="20" t="str">
        <f t="shared" si="146"/>
        <v>ENTREGADO</v>
      </c>
      <c r="E170" s="20" t="str">
        <f t="shared" si="147"/>
        <v>ENTREGADO</v>
      </c>
      <c r="F170" s="20" t="str">
        <f t="shared" si="148"/>
        <v>ENTREGADO</v>
      </c>
      <c r="G170" s="20" t="str">
        <f t="shared" si="149"/>
        <v>S/N</v>
      </c>
      <c r="H170" s="20" t="str">
        <f t="shared" si="150"/>
        <v>S/N</v>
      </c>
      <c r="I170" s="20" t="str">
        <f t="shared" si="143"/>
        <v>Estrategia 1</v>
      </c>
      <c r="J170" s="62" t="str">
        <f t="shared" si="143"/>
        <v>Objetivo 4</v>
      </c>
      <c r="K170" s="20" t="str">
        <f>Resumen!$L$20</f>
        <v>x</v>
      </c>
      <c r="L170" s="20" t="str">
        <f t="shared" si="151"/>
        <v>EVIDENCIAS POR COMPLETAR SEGUNDO SEMESTRE</v>
      </c>
      <c r="M170" s="62">
        <f t="shared" si="152"/>
        <v>0.85526315789473684</v>
      </c>
      <c r="N170" s="20">
        <v>2025</v>
      </c>
    </row>
    <row r="171" spans="1:14" ht="14.25" customHeight="1">
      <c r="A171" s="20">
        <f t="shared" si="144"/>
        <v>16</v>
      </c>
      <c r="B171" s="159" t="s">
        <v>56</v>
      </c>
      <c r="C171" s="20" t="str">
        <f t="shared" si="145"/>
        <v>Mgtr. Verónica Segarra</v>
      </c>
      <c r="D171" s="20" t="str">
        <f t="shared" si="146"/>
        <v>ENTREGADO</v>
      </c>
      <c r="E171" s="20" t="str">
        <f t="shared" si="147"/>
        <v>ENTREGADO</v>
      </c>
      <c r="F171" s="20" t="str">
        <f t="shared" si="148"/>
        <v>ENTREGADO</v>
      </c>
      <c r="G171" s="20" t="str">
        <f t="shared" si="149"/>
        <v>S/N</v>
      </c>
      <c r="H171" s="20" t="str">
        <f t="shared" si="150"/>
        <v>S/N</v>
      </c>
      <c r="I171" s="20" t="str">
        <f t="shared" si="143"/>
        <v>Estrategia 2</v>
      </c>
      <c r="J171" s="62" t="str">
        <f t="shared" si="143"/>
        <v>Objetivo 1</v>
      </c>
      <c r="K171" s="20" t="str">
        <f>Resumen!$M$20</f>
        <v>x</v>
      </c>
      <c r="L171" s="20" t="str">
        <f t="shared" si="151"/>
        <v>EVIDENCIAS POR COMPLETAR SEGUNDO SEMESTRE</v>
      </c>
      <c r="M171" s="62">
        <f t="shared" si="152"/>
        <v>0.85526315789473684</v>
      </c>
      <c r="N171" s="20">
        <v>2025</v>
      </c>
    </row>
    <row r="172" spans="1:14" ht="14.25" customHeight="1">
      <c r="A172" s="20">
        <f t="shared" si="144"/>
        <v>16</v>
      </c>
      <c r="B172" s="159" t="s">
        <v>56</v>
      </c>
      <c r="C172" s="20" t="str">
        <f t="shared" si="145"/>
        <v>Mgtr. Verónica Segarra</v>
      </c>
      <c r="D172" s="20" t="str">
        <f t="shared" si="146"/>
        <v>ENTREGADO</v>
      </c>
      <c r="E172" s="20" t="str">
        <f t="shared" si="147"/>
        <v>ENTREGADO</v>
      </c>
      <c r="F172" s="20" t="str">
        <f t="shared" si="148"/>
        <v>ENTREGADO</v>
      </c>
      <c r="G172" s="20" t="str">
        <f t="shared" si="149"/>
        <v>S/N</v>
      </c>
      <c r="H172" s="20" t="str">
        <f t="shared" si="150"/>
        <v>S/N</v>
      </c>
      <c r="I172" s="20" t="str">
        <f t="shared" si="143"/>
        <v>Estrategia 2</v>
      </c>
      <c r="J172" s="62" t="str">
        <f t="shared" si="143"/>
        <v>Objetivo 2</v>
      </c>
      <c r="K172" s="20" t="str">
        <f>Resumen!$N$20</f>
        <v>x</v>
      </c>
      <c r="L172" s="20" t="str">
        <f t="shared" si="151"/>
        <v>EVIDENCIAS POR COMPLETAR SEGUNDO SEMESTRE</v>
      </c>
      <c r="M172" s="62">
        <f t="shared" si="152"/>
        <v>0.85526315789473684</v>
      </c>
      <c r="N172" s="20">
        <v>2025</v>
      </c>
    </row>
    <row r="173" spans="1:14" ht="14.25" customHeight="1">
      <c r="A173" s="20">
        <f t="shared" si="144"/>
        <v>16</v>
      </c>
      <c r="B173" s="159" t="s">
        <v>56</v>
      </c>
      <c r="C173" s="20" t="str">
        <f t="shared" si="145"/>
        <v>Mgtr. Verónica Segarra</v>
      </c>
      <c r="D173" s="20" t="str">
        <f t="shared" si="146"/>
        <v>ENTREGADO</v>
      </c>
      <c r="E173" s="20" t="str">
        <f t="shared" si="147"/>
        <v>ENTREGADO</v>
      </c>
      <c r="F173" s="20" t="str">
        <f t="shared" si="148"/>
        <v>ENTREGADO</v>
      </c>
      <c r="G173" s="20" t="str">
        <f t="shared" si="149"/>
        <v>S/N</v>
      </c>
      <c r="H173" s="20" t="str">
        <f t="shared" si="150"/>
        <v>S/N</v>
      </c>
      <c r="I173" s="20" t="str">
        <f t="shared" si="143"/>
        <v>Estrategia 2</v>
      </c>
      <c r="J173" s="62" t="str">
        <f t="shared" si="143"/>
        <v>Objetivo 3</v>
      </c>
      <c r="K173" s="20" t="str">
        <f>Resumen!$O$20</f>
        <v>X</v>
      </c>
      <c r="L173" s="20" t="str">
        <f t="shared" si="151"/>
        <v>EVIDENCIAS POR COMPLETAR SEGUNDO SEMESTRE</v>
      </c>
      <c r="M173" s="62">
        <f t="shared" si="152"/>
        <v>0.85526315789473684</v>
      </c>
      <c r="N173" s="20">
        <v>2025</v>
      </c>
    </row>
    <row r="174" spans="1:14" ht="14.25" customHeight="1">
      <c r="A174" s="20">
        <f t="shared" si="144"/>
        <v>16</v>
      </c>
      <c r="B174" s="159" t="s">
        <v>56</v>
      </c>
      <c r="C174" s="20" t="str">
        <f t="shared" si="145"/>
        <v>Mgtr. Verónica Segarra</v>
      </c>
      <c r="D174" s="20" t="str">
        <f t="shared" si="146"/>
        <v>ENTREGADO</v>
      </c>
      <c r="E174" s="20" t="str">
        <f t="shared" si="147"/>
        <v>ENTREGADO</v>
      </c>
      <c r="F174" s="20" t="str">
        <f t="shared" si="148"/>
        <v>ENTREGADO</v>
      </c>
      <c r="G174" s="20" t="str">
        <f t="shared" si="149"/>
        <v>S/N</v>
      </c>
      <c r="H174" s="20" t="str">
        <f t="shared" si="150"/>
        <v>S/N</v>
      </c>
      <c r="I174" s="20" t="str">
        <f t="shared" si="143"/>
        <v>Estrategia 3</v>
      </c>
      <c r="J174" s="62" t="str">
        <f t="shared" si="143"/>
        <v>Objetivo 1</v>
      </c>
      <c r="K174" s="20" t="str">
        <f>Resumen!$P$20</f>
        <v>X</v>
      </c>
      <c r="L174" s="20" t="str">
        <f t="shared" si="151"/>
        <v>EVIDENCIAS POR COMPLETAR SEGUNDO SEMESTRE</v>
      </c>
      <c r="M174" s="62">
        <f t="shared" si="152"/>
        <v>0.85526315789473684</v>
      </c>
      <c r="N174" s="20">
        <v>2025</v>
      </c>
    </row>
    <row r="175" spans="1:14" ht="14.25" customHeight="1">
      <c r="A175" s="20">
        <f t="shared" si="144"/>
        <v>16</v>
      </c>
      <c r="B175" s="159" t="s">
        <v>56</v>
      </c>
      <c r="C175" s="20" t="str">
        <f t="shared" si="145"/>
        <v>Mgtr. Verónica Segarra</v>
      </c>
      <c r="D175" s="20" t="str">
        <f t="shared" si="146"/>
        <v>ENTREGADO</v>
      </c>
      <c r="E175" s="20" t="str">
        <f t="shared" si="147"/>
        <v>ENTREGADO</v>
      </c>
      <c r="F175" s="20" t="str">
        <f t="shared" si="148"/>
        <v>ENTREGADO</v>
      </c>
      <c r="G175" s="20" t="str">
        <f t="shared" si="149"/>
        <v>S/N</v>
      </c>
      <c r="H175" s="20" t="str">
        <f t="shared" si="150"/>
        <v>S/N</v>
      </c>
      <c r="I175" s="20" t="str">
        <f t="shared" si="143"/>
        <v>Estrategia 3</v>
      </c>
      <c r="J175" s="62" t="str">
        <f t="shared" si="143"/>
        <v>Objetivo 2</v>
      </c>
      <c r="K175" s="20" t="str">
        <f>Resumen!$Q$20</f>
        <v>X</v>
      </c>
      <c r="L175" s="20" t="str">
        <f t="shared" si="151"/>
        <v>EVIDENCIAS POR COMPLETAR SEGUNDO SEMESTRE</v>
      </c>
      <c r="M175" s="62">
        <f t="shared" si="152"/>
        <v>0.85526315789473684</v>
      </c>
      <c r="N175" s="20">
        <v>2025</v>
      </c>
    </row>
    <row r="176" spans="1:14" ht="14.25" customHeight="1">
      <c r="A176" s="20">
        <f t="shared" si="144"/>
        <v>16</v>
      </c>
      <c r="B176" s="159" t="s">
        <v>56</v>
      </c>
      <c r="C176" s="20" t="str">
        <f t="shared" si="145"/>
        <v>Mgtr. Verónica Segarra</v>
      </c>
      <c r="D176" s="20" t="str">
        <f t="shared" si="146"/>
        <v>ENTREGADO</v>
      </c>
      <c r="E176" s="20" t="str">
        <f t="shared" si="147"/>
        <v>ENTREGADO</v>
      </c>
      <c r="F176" s="20" t="str">
        <f t="shared" si="148"/>
        <v>ENTREGADO</v>
      </c>
      <c r="G176" s="20" t="str">
        <f t="shared" si="149"/>
        <v>S/N</v>
      </c>
      <c r="H176" s="20" t="str">
        <f t="shared" si="150"/>
        <v>S/N</v>
      </c>
      <c r="I176" s="20" t="str">
        <f t="shared" si="143"/>
        <v>Estrategia 3</v>
      </c>
      <c r="J176" s="62" t="str">
        <f t="shared" si="143"/>
        <v>Objetivo 3</v>
      </c>
      <c r="K176" s="20" t="str">
        <f>Resumen!$R$20</f>
        <v>X</v>
      </c>
      <c r="L176" s="20" t="str">
        <f t="shared" si="151"/>
        <v>EVIDENCIAS POR COMPLETAR SEGUNDO SEMESTRE</v>
      </c>
      <c r="M176" s="62">
        <f t="shared" si="152"/>
        <v>0.85526315789473684</v>
      </c>
      <c r="N176" s="20">
        <v>2025</v>
      </c>
    </row>
    <row r="177" spans="1:14" ht="14.25" customHeight="1">
      <c r="A177" s="20">
        <f t="shared" si="144"/>
        <v>16</v>
      </c>
      <c r="B177" s="159" t="s">
        <v>56</v>
      </c>
      <c r="C177" s="20" t="str">
        <f t="shared" si="145"/>
        <v>Mgtr. Verónica Segarra</v>
      </c>
      <c r="D177" s="20" t="str">
        <f t="shared" si="146"/>
        <v>ENTREGADO</v>
      </c>
      <c r="E177" s="20" t="str">
        <f t="shared" si="147"/>
        <v>ENTREGADO</v>
      </c>
      <c r="F177" s="20" t="str">
        <f t="shared" si="148"/>
        <v>ENTREGADO</v>
      </c>
      <c r="G177" s="20" t="str">
        <f t="shared" si="149"/>
        <v>S/N</v>
      </c>
      <c r="H177" s="20" t="str">
        <f t="shared" si="150"/>
        <v>S/N</v>
      </c>
      <c r="I177" s="20" t="str">
        <f t="shared" si="143"/>
        <v>Estrategia 4</v>
      </c>
      <c r="J177" s="62" t="str">
        <f t="shared" si="143"/>
        <v>Objetivo 1</v>
      </c>
      <c r="K177" s="20" t="str">
        <f>Resumen!$S$20</f>
        <v>X</v>
      </c>
      <c r="L177" s="20" t="str">
        <f t="shared" si="151"/>
        <v>EVIDENCIAS POR COMPLETAR SEGUNDO SEMESTRE</v>
      </c>
      <c r="M177" s="62">
        <f t="shared" si="152"/>
        <v>0.85526315789473684</v>
      </c>
      <c r="N177" s="20">
        <v>2025</v>
      </c>
    </row>
    <row r="178" spans="1:14" ht="14.25" customHeight="1">
      <c r="A178" s="20">
        <f>Resumen!A21</f>
        <v>17</v>
      </c>
      <c r="B178" s="159" t="s">
        <v>57</v>
      </c>
      <c r="C178" s="20" t="str">
        <f>Resumen!C21</f>
        <v>Mgtr. Pablo Narváez</v>
      </c>
      <c r="D178" s="20" t="str">
        <f>Resumen!D21</f>
        <v>ENTREGADO</v>
      </c>
      <c r="E178" s="20" t="str">
        <f>Resumen!E21</f>
        <v>NO ENTREGADO</v>
      </c>
      <c r="F178" s="20" t="str">
        <f>Resumen!F21</f>
        <v>NO ENTREGADO</v>
      </c>
      <c r="G178" s="20" t="str">
        <f>Resumen!G21</f>
        <v>S/N</v>
      </c>
      <c r="H178" s="20" t="str">
        <f>Resumen!H21</f>
        <v>S/N</v>
      </c>
      <c r="I178" s="20" t="str">
        <f t="shared" si="143"/>
        <v>Estrategia 1</v>
      </c>
      <c r="J178" s="62" t="str">
        <f t="shared" si="143"/>
        <v>Objetivo 1</v>
      </c>
      <c r="K178" s="20" t="str">
        <f>Resumen!$I$21</f>
        <v>S/N</v>
      </c>
      <c r="L178" s="20" t="str">
        <f>Resumen!T21</f>
        <v>NO SE APERTURÓ ESTE PERIODO</v>
      </c>
      <c r="M178" s="62">
        <f>Resumen!U21</f>
        <v>0</v>
      </c>
      <c r="N178" s="20">
        <v>2025</v>
      </c>
    </row>
    <row r="179" spans="1:14" ht="14.25" customHeight="1">
      <c r="A179" s="20">
        <f t="shared" ref="A179:A188" si="153">$A$178</f>
        <v>17</v>
      </c>
      <c r="B179" s="159" t="s">
        <v>57</v>
      </c>
      <c r="C179" s="20" t="str">
        <f t="shared" ref="C179:C188" si="154">$C$178</f>
        <v>Mgtr. Pablo Narváez</v>
      </c>
      <c r="D179" s="20" t="str">
        <f t="shared" ref="D179:D188" si="155">$D$178</f>
        <v>ENTREGADO</v>
      </c>
      <c r="E179" s="20" t="str">
        <f t="shared" ref="E179:E188" si="156">$E$178</f>
        <v>NO ENTREGADO</v>
      </c>
      <c r="F179" s="20" t="str">
        <f t="shared" ref="F179:F188" si="157">$F$178</f>
        <v>NO ENTREGADO</v>
      </c>
      <c r="G179" s="20" t="str">
        <f t="shared" ref="G179:G188" si="158">$G$178</f>
        <v>S/N</v>
      </c>
      <c r="H179" s="20" t="str">
        <f t="shared" ref="H179:H188" si="159">$H$178</f>
        <v>S/N</v>
      </c>
      <c r="I179" s="20" t="str">
        <f t="shared" ref="I179:J198" si="160">I168</f>
        <v>Estrategia 1</v>
      </c>
      <c r="J179" s="62" t="str">
        <f t="shared" si="160"/>
        <v>Objetivo 2</v>
      </c>
      <c r="K179" s="20" t="str">
        <f>Resumen!$J$21</f>
        <v>S/N</v>
      </c>
      <c r="L179" s="20" t="str">
        <f t="shared" ref="L179:L188" si="161">$L$178</f>
        <v>NO SE APERTURÓ ESTE PERIODO</v>
      </c>
      <c r="M179" s="62">
        <f t="shared" ref="M179:M188" si="162">$M$178</f>
        <v>0</v>
      </c>
      <c r="N179" s="20">
        <v>2025</v>
      </c>
    </row>
    <row r="180" spans="1:14" ht="14.25" customHeight="1">
      <c r="A180" s="20">
        <f t="shared" si="153"/>
        <v>17</v>
      </c>
      <c r="B180" s="159" t="s">
        <v>57</v>
      </c>
      <c r="C180" s="20" t="str">
        <f t="shared" si="154"/>
        <v>Mgtr. Pablo Narváez</v>
      </c>
      <c r="D180" s="20" t="str">
        <f t="shared" si="155"/>
        <v>ENTREGADO</v>
      </c>
      <c r="E180" s="20" t="str">
        <f t="shared" si="156"/>
        <v>NO ENTREGADO</v>
      </c>
      <c r="F180" s="20" t="str">
        <f t="shared" si="157"/>
        <v>NO ENTREGADO</v>
      </c>
      <c r="G180" s="20" t="str">
        <f t="shared" si="158"/>
        <v>S/N</v>
      </c>
      <c r="H180" s="20" t="str">
        <f t="shared" si="159"/>
        <v>S/N</v>
      </c>
      <c r="I180" s="20" t="str">
        <f t="shared" si="160"/>
        <v>Estrategia 1</v>
      </c>
      <c r="J180" s="62" t="str">
        <f t="shared" si="160"/>
        <v>Objetivo 3</v>
      </c>
      <c r="K180" s="20" t="str">
        <f>Resumen!$J$21</f>
        <v>S/N</v>
      </c>
      <c r="L180" s="20" t="str">
        <f t="shared" si="161"/>
        <v>NO SE APERTURÓ ESTE PERIODO</v>
      </c>
      <c r="M180" s="62">
        <f t="shared" si="162"/>
        <v>0</v>
      </c>
      <c r="N180" s="20">
        <v>2025</v>
      </c>
    </row>
    <row r="181" spans="1:14" ht="14.25" customHeight="1">
      <c r="A181" s="20">
        <f t="shared" si="153"/>
        <v>17</v>
      </c>
      <c r="B181" s="159" t="s">
        <v>57</v>
      </c>
      <c r="C181" s="20" t="str">
        <f t="shared" si="154"/>
        <v>Mgtr. Pablo Narváez</v>
      </c>
      <c r="D181" s="20" t="str">
        <f t="shared" si="155"/>
        <v>ENTREGADO</v>
      </c>
      <c r="E181" s="20" t="str">
        <f t="shared" si="156"/>
        <v>NO ENTREGADO</v>
      </c>
      <c r="F181" s="20" t="str">
        <f t="shared" si="157"/>
        <v>NO ENTREGADO</v>
      </c>
      <c r="G181" s="20" t="str">
        <f t="shared" si="158"/>
        <v>S/N</v>
      </c>
      <c r="H181" s="20" t="str">
        <f t="shared" si="159"/>
        <v>S/N</v>
      </c>
      <c r="I181" s="20" t="str">
        <f t="shared" si="160"/>
        <v>Estrategia 1</v>
      </c>
      <c r="J181" s="62" t="str">
        <f t="shared" si="160"/>
        <v>Objetivo 4</v>
      </c>
      <c r="K181" s="20" t="str">
        <f>Resumen!$L$21</f>
        <v>S/N</v>
      </c>
      <c r="L181" s="20" t="str">
        <f t="shared" si="161"/>
        <v>NO SE APERTURÓ ESTE PERIODO</v>
      </c>
      <c r="M181" s="62">
        <f t="shared" si="162"/>
        <v>0</v>
      </c>
      <c r="N181" s="20">
        <v>2025</v>
      </c>
    </row>
    <row r="182" spans="1:14" ht="14.25" customHeight="1">
      <c r="A182" s="20">
        <f t="shared" si="153"/>
        <v>17</v>
      </c>
      <c r="B182" s="159" t="s">
        <v>57</v>
      </c>
      <c r="C182" s="20" t="str">
        <f t="shared" si="154"/>
        <v>Mgtr. Pablo Narváez</v>
      </c>
      <c r="D182" s="20" t="str">
        <f t="shared" si="155"/>
        <v>ENTREGADO</v>
      </c>
      <c r="E182" s="20" t="str">
        <f t="shared" si="156"/>
        <v>NO ENTREGADO</v>
      </c>
      <c r="F182" s="20" t="str">
        <f t="shared" si="157"/>
        <v>NO ENTREGADO</v>
      </c>
      <c r="G182" s="20" t="str">
        <f t="shared" si="158"/>
        <v>S/N</v>
      </c>
      <c r="H182" s="20" t="str">
        <f t="shared" si="159"/>
        <v>S/N</v>
      </c>
      <c r="I182" s="20" t="str">
        <f t="shared" si="160"/>
        <v>Estrategia 2</v>
      </c>
      <c r="J182" s="62" t="str">
        <f t="shared" si="160"/>
        <v>Objetivo 1</v>
      </c>
      <c r="K182" s="20" t="str">
        <f>Resumen!$M$21</f>
        <v>S/N</v>
      </c>
      <c r="L182" s="20" t="str">
        <f t="shared" si="161"/>
        <v>NO SE APERTURÓ ESTE PERIODO</v>
      </c>
      <c r="M182" s="62">
        <f t="shared" si="162"/>
        <v>0</v>
      </c>
      <c r="N182" s="20">
        <v>2025</v>
      </c>
    </row>
    <row r="183" spans="1:14" ht="14.25" customHeight="1">
      <c r="A183" s="20">
        <f t="shared" si="153"/>
        <v>17</v>
      </c>
      <c r="B183" s="159" t="s">
        <v>57</v>
      </c>
      <c r="C183" s="20" t="str">
        <f t="shared" si="154"/>
        <v>Mgtr. Pablo Narváez</v>
      </c>
      <c r="D183" s="20" t="str">
        <f t="shared" si="155"/>
        <v>ENTREGADO</v>
      </c>
      <c r="E183" s="20" t="str">
        <f t="shared" si="156"/>
        <v>NO ENTREGADO</v>
      </c>
      <c r="F183" s="20" t="str">
        <f t="shared" si="157"/>
        <v>NO ENTREGADO</v>
      </c>
      <c r="G183" s="20" t="str">
        <f t="shared" si="158"/>
        <v>S/N</v>
      </c>
      <c r="H183" s="20" t="str">
        <f t="shared" si="159"/>
        <v>S/N</v>
      </c>
      <c r="I183" s="20" t="str">
        <f t="shared" si="160"/>
        <v>Estrategia 2</v>
      </c>
      <c r="J183" s="62" t="str">
        <f t="shared" si="160"/>
        <v>Objetivo 2</v>
      </c>
      <c r="K183" s="20" t="str">
        <f>Resumen!$N$21</f>
        <v>S/N</v>
      </c>
      <c r="L183" s="20" t="str">
        <f t="shared" si="161"/>
        <v>NO SE APERTURÓ ESTE PERIODO</v>
      </c>
      <c r="M183" s="62">
        <f t="shared" si="162"/>
        <v>0</v>
      </c>
      <c r="N183" s="20">
        <v>2025</v>
      </c>
    </row>
    <row r="184" spans="1:14" ht="14.25" customHeight="1">
      <c r="A184" s="20">
        <f t="shared" si="153"/>
        <v>17</v>
      </c>
      <c r="B184" s="159" t="s">
        <v>57</v>
      </c>
      <c r="C184" s="20" t="str">
        <f t="shared" si="154"/>
        <v>Mgtr. Pablo Narváez</v>
      </c>
      <c r="D184" s="20" t="str">
        <f t="shared" si="155"/>
        <v>ENTREGADO</v>
      </c>
      <c r="E184" s="20" t="str">
        <f t="shared" si="156"/>
        <v>NO ENTREGADO</v>
      </c>
      <c r="F184" s="20" t="str">
        <f t="shared" si="157"/>
        <v>NO ENTREGADO</v>
      </c>
      <c r="G184" s="20" t="str">
        <f t="shared" si="158"/>
        <v>S/N</v>
      </c>
      <c r="H184" s="20" t="str">
        <f t="shared" si="159"/>
        <v>S/N</v>
      </c>
      <c r="I184" s="20" t="str">
        <f t="shared" si="160"/>
        <v>Estrategia 2</v>
      </c>
      <c r="J184" s="62" t="str">
        <f t="shared" si="160"/>
        <v>Objetivo 3</v>
      </c>
      <c r="K184" s="20" t="str">
        <f>Resumen!$O$21</f>
        <v>S/N</v>
      </c>
      <c r="L184" s="20" t="str">
        <f t="shared" si="161"/>
        <v>NO SE APERTURÓ ESTE PERIODO</v>
      </c>
      <c r="M184" s="62">
        <f t="shared" si="162"/>
        <v>0</v>
      </c>
      <c r="N184" s="20">
        <v>2025</v>
      </c>
    </row>
    <row r="185" spans="1:14" ht="14.25" customHeight="1">
      <c r="A185" s="20">
        <f t="shared" si="153"/>
        <v>17</v>
      </c>
      <c r="B185" s="159" t="s">
        <v>57</v>
      </c>
      <c r="C185" s="20" t="str">
        <f t="shared" si="154"/>
        <v>Mgtr. Pablo Narváez</v>
      </c>
      <c r="D185" s="20" t="str">
        <f t="shared" si="155"/>
        <v>ENTREGADO</v>
      </c>
      <c r="E185" s="20" t="str">
        <f t="shared" si="156"/>
        <v>NO ENTREGADO</v>
      </c>
      <c r="F185" s="20" t="str">
        <f t="shared" si="157"/>
        <v>NO ENTREGADO</v>
      </c>
      <c r="G185" s="20" t="str">
        <f t="shared" si="158"/>
        <v>S/N</v>
      </c>
      <c r="H185" s="20" t="str">
        <f t="shared" si="159"/>
        <v>S/N</v>
      </c>
      <c r="I185" s="20" t="str">
        <f t="shared" si="160"/>
        <v>Estrategia 3</v>
      </c>
      <c r="J185" s="62" t="str">
        <f t="shared" si="160"/>
        <v>Objetivo 1</v>
      </c>
      <c r="K185" s="20" t="str">
        <f>Resumen!$P$21</f>
        <v>S/N</v>
      </c>
      <c r="L185" s="20" t="str">
        <f t="shared" si="161"/>
        <v>NO SE APERTURÓ ESTE PERIODO</v>
      </c>
      <c r="M185" s="62">
        <f t="shared" si="162"/>
        <v>0</v>
      </c>
      <c r="N185" s="20">
        <v>2025</v>
      </c>
    </row>
    <row r="186" spans="1:14" ht="14.25" customHeight="1">
      <c r="A186" s="20">
        <f t="shared" si="153"/>
        <v>17</v>
      </c>
      <c r="B186" s="159" t="s">
        <v>57</v>
      </c>
      <c r="C186" s="20" t="str">
        <f t="shared" si="154"/>
        <v>Mgtr. Pablo Narváez</v>
      </c>
      <c r="D186" s="20" t="str">
        <f t="shared" si="155"/>
        <v>ENTREGADO</v>
      </c>
      <c r="E186" s="20" t="str">
        <f t="shared" si="156"/>
        <v>NO ENTREGADO</v>
      </c>
      <c r="F186" s="20" t="str">
        <f t="shared" si="157"/>
        <v>NO ENTREGADO</v>
      </c>
      <c r="G186" s="20" t="str">
        <f t="shared" si="158"/>
        <v>S/N</v>
      </c>
      <c r="H186" s="20" t="str">
        <f t="shared" si="159"/>
        <v>S/N</v>
      </c>
      <c r="I186" s="20" t="str">
        <f t="shared" si="160"/>
        <v>Estrategia 3</v>
      </c>
      <c r="J186" s="62" t="str">
        <f t="shared" si="160"/>
        <v>Objetivo 2</v>
      </c>
      <c r="K186" s="20" t="str">
        <f>Resumen!$Q$21</f>
        <v>S/N</v>
      </c>
      <c r="L186" s="20" t="str">
        <f t="shared" si="161"/>
        <v>NO SE APERTURÓ ESTE PERIODO</v>
      </c>
      <c r="M186" s="62">
        <f t="shared" si="162"/>
        <v>0</v>
      </c>
      <c r="N186" s="20">
        <v>2025</v>
      </c>
    </row>
    <row r="187" spans="1:14" ht="14.25" customHeight="1">
      <c r="A187" s="20">
        <f t="shared" si="153"/>
        <v>17</v>
      </c>
      <c r="B187" s="159" t="s">
        <v>57</v>
      </c>
      <c r="C187" s="20" t="str">
        <f t="shared" si="154"/>
        <v>Mgtr. Pablo Narváez</v>
      </c>
      <c r="D187" s="20" t="str">
        <f t="shared" si="155"/>
        <v>ENTREGADO</v>
      </c>
      <c r="E187" s="20" t="str">
        <f t="shared" si="156"/>
        <v>NO ENTREGADO</v>
      </c>
      <c r="F187" s="20" t="str">
        <f t="shared" si="157"/>
        <v>NO ENTREGADO</v>
      </c>
      <c r="G187" s="20" t="str">
        <f t="shared" si="158"/>
        <v>S/N</v>
      </c>
      <c r="H187" s="20" t="str">
        <f t="shared" si="159"/>
        <v>S/N</v>
      </c>
      <c r="I187" s="20" t="str">
        <f t="shared" si="160"/>
        <v>Estrategia 3</v>
      </c>
      <c r="J187" s="62" t="str">
        <f t="shared" si="160"/>
        <v>Objetivo 3</v>
      </c>
      <c r="K187" s="20" t="str">
        <f>Resumen!$R$21</f>
        <v>S/N</v>
      </c>
      <c r="L187" s="20" t="str">
        <f t="shared" si="161"/>
        <v>NO SE APERTURÓ ESTE PERIODO</v>
      </c>
      <c r="M187" s="62">
        <f t="shared" si="162"/>
        <v>0</v>
      </c>
      <c r="N187" s="20">
        <v>2025</v>
      </c>
    </row>
    <row r="188" spans="1:14" ht="14.25" customHeight="1">
      <c r="A188" s="20">
        <f t="shared" si="153"/>
        <v>17</v>
      </c>
      <c r="B188" s="159" t="s">
        <v>57</v>
      </c>
      <c r="C188" s="20" t="str">
        <f t="shared" si="154"/>
        <v>Mgtr. Pablo Narváez</v>
      </c>
      <c r="D188" s="20" t="str">
        <f t="shared" si="155"/>
        <v>ENTREGADO</v>
      </c>
      <c r="E188" s="20" t="str">
        <f t="shared" si="156"/>
        <v>NO ENTREGADO</v>
      </c>
      <c r="F188" s="20" t="str">
        <f t="shared" si="157"/>
        <v>NO ENTREGADO</v>
      </c>
      <c r="G188" s="20" t="str">
        <f t="shared" si="158"/>
        <v>S/N</v>
      </c>
      <c r="H188" s="20" t="str">
        <f t="shared" si="159"/>
        <v>S/N</v>
      </c>
      <c r="I188" s="20" t="str">
        <f t="shared" si="160"/>
        <v>Estrategia 4</v>
      </c>
      <c r="J188" s="62" t="str">
        <f t="shared" si="160"/>
        <v>Objetivo 1</v>
      </c>
      <c r="K188" s="20" t="str">
        <f>Resumen!$S$21</f>
        <v>S/N</v>
      </c>
      <c r="L188" s="20" t="str">
        <f t="shared" si="161"/>
        <v>NO SE APERTURÓ ESTE PERIODO</v>
      </c>
      <c r="M188" s="62">
        <f t="shared" si="162"/>
        <v>0</v>
      </c>
      <c r="N188" s="20">
        <v>2025</v>
      </c>
    </row>
    <row r="189" spans="1:14" ht="14.25" customHeight="1">
      <c r="A189" s="20">
        <f>Resumen!A22</f>
        <v>18</v>
      </c>
      <c r="B189" s="159" t="s">
        <v>58</v>
      </c>
      <c r="C189" s="20" t="str">
        <f>Resumen!C22</f>
        <v>Mgtr. Jorge Jetón</v>
      </c>
      <c r="D189" s="20" t="str">
        <f>Resumen!D22</f>
        <v>ENTREGADO</v>
      </c>
      <c r="E189" s="20" t="str">
        <f>Resumen!E22</f>
        <v>NO ENTREGADO</v>
      </c>
      <c r="F189" s="20" t="str">
        <f>Resumen!F22</f>
        <v>NO ENTREGADO</v>
      </c>
      <c r="G189" s="20" t="str">
        <f>Resumen!G22</f>
        <v>S/N</v>
      </c>
      <c r="H189" s="20" t="str">
        <f>Resumen!H22</f>
        <v>S/N</v>
      </c>
      <c r="I189" s="20" t="str">
        <f t="shared" si="160"/>
        <v>Estrategia 1</v>
      </c>
      <c r="J189" s="62" t="str">
        <f t="shared" si="160"/>
        <v>Objetivo 1</v>
      </c>
      <c r="K189" s="20" t="str">
        <f>Resumen!$I$22</f>
        <v>S/N</v>
      </c>
      <c r="L189" s="20" t="str">
        <f>Resumen!T22</f>
        <v>NO SE APERTURÓ ESTE PERIODO</v>
      </c>
      <c r="M189" s="62">
        <f>Resumen!U22</f>
        <v>0</v>
      </c>
      <c r="N189" s="20">
        <v>2025</v>
      </c>
    </row>
    <row r="190" spans="1:14" ht="14.25" customHeight="1">
      <c r="A190" s="20">
        <f t="shared" ref="A190:A199" si="163">$A$189</f>
        <v>18</v>
      </c>
      <c r="B190" s="159" t="s">
        <v>58</v>
      </c>
      <c r="C190" s="20" t="str">
        <f t="shared" ref="C190:C199" si="164">$C$189</f>
        <v>Mgtr. Jorge Jetón</v>
      </c>
      <c r="D190" s="20" t="str">
        <f t="shared" ref="D190:D199" si="165">$D$189</f>
        <v>ENTREGADO</v>
      </c>
      <c r="E190" s="20" t="str">
        <f t="shared" ref="E190:E199" si="166">$E$189</f>
        <v>NO ENTREGADO</v>
      </c>
      <c r="F190" s="20" t="str">
        <f t="shared" ref="F190:F199" si="167">$F$189</f>
        <v>NO ENTREGADO</v>
      </c>
      <c r="G190" s="20" t="str">
        <f t="shared" ref="G190:G199" si="168">$G$189</f>
        <v>S/N</v>
      </c>
      <c r="H190" s="20" t="str">
        <f t="shared" ref="H190:H199" si="169">$H$189</f>
        <v>S/N</v>
      </c>
      <c r="I190" s="20" t="str">
        <f t="shared" si="160"/>
        <v>Estrategia 1</v>
      </c>
      <c r="J190" s="62" t="str">
        <f t="shared" si="160"/>
        <v>Objetivo 2</v>
      </c>
      <c r="K190" s="20" t="str">
        <f>Resumen!$J$22</f>
        <v>S/N</v>
      </c>
      <c r="L190" s="20" t="str">
        <f t="shared" ref="L190:L199" si="170">$L$189</f>
        <v>NO SE APERTURÓ ESTE PERIODO</v>
      </c>
      <c r="M190" s="62">
        <f t="shared" ref="M190:M199" si="171">$M$189</f>
        <v>0</v>
      </c>
      <c r="N190" s="20">
        <v>2025</v>
      </c>
    </row>
    <row r="191" spans="1:14" ht="14.25" customHeight="1">
      <c r="A191" s="20">
        <f t="shared" si="163"/>
        <v>18</v>
      </c>
      <c r="B191" s="159" t="s">
        <v>58</v>
      </c>
      <c r="C191" s="20" t="str">
        <f t="shared" si="164"/>
        <v>Mgtr. Jorge Jetón</v>
      </c>
      <c r="D191" s="20" t="str">
        <f t="shared" si="165"/>
        <v>ENTREGADO</v>
      </c>
      <c r="E191" s="20" t="str">
        <f t="shared" si="166"/>
        <v>NO ENTREGADO</v>
      </c>
      <c r="F191" s="20" t="str">
        <f t="shared" si="167"/>
        <v>NO ENTREGADO</v>
      </c>
      <c r="G191" s="20" t="str">
        <f t="shared" si="168"/>
        <v>S/N</v>
      </c>
      <c r="H191" s="20" t="str">
        <f t="shared" si="169"/>
        <v>S/N</v>
      </c>
      <c r="I191" s="20" t="str">
        <f t="shared" si="160"/>
        <v>Estrategia 1</v>
      </c>
      <c r="J191" s="62" t="str">
        <f t="shared" si="160"/>
        <v>Objetivo 3</v>
      </c>
      <c r="K191" s="20" t="str">
        <f>Resumen!$K$22</f>
        <v>S/N</v>
      </c>
      <c r="L191" s="20" t="str">
        <f t="shared" si="170"/>
        <v>NO SE APERTURÓ ESTE PERIODO</v>
      </c>
      <c r="M191" s="62">
        <f t="shared" si="171"/>
        <v>0</v>
      </c>
      <c r="N191" s="20">
        <v>2025</v>
      </c>
    </row>
    <row r="192" spans="1:14" ht="14.25" customHeight="1">
      <c r="A192" s="20">
        <f t="shared" si="163"/>
        <v>18</v>
      </c>
      <c r="B192" s="159" t="s">
        <v>58</v>
      </c>
      <c r="C192" s="20" t="str">
        <f t="shared" si="164"/>
        <v>Mgtr. Jorge Jetón</v>
      </c>
      <c r="D192" s="20" t="str">
        <f t="shared" si="165"/>
        <v>ENTREGADO</v>
      </c>
      <c r="E192" s="20" t="str">
        <f t="shared" si="166"/>
        <v>NO ENTREGADO</v>
      </c>
      <c r="F192" s="20" t="str">
        <f t="shared" si="167"/>
        <v>NO ENTREGADO</v>
      </c>
      <c r="G192" s="20" t="str">
        <f t="shared" si="168"/>
        <v>S/N</v>
      </c>
      <c r="H192" s="20" t="str">
        <f t="shared" si="169"/>
        <v>S/N</v>
      </c>
      <c r="I192" s="20" t="str">
        <f t="shared" si="160"/>
        <v>Estrategia 1</v>
      </c>
      <c r="J192" s="62" t="str">
        <f t="shared" si="160"/>
        <v>Objetivo 4</v>
      </c>
      <c r="K192" s="20" t="str">
        <f>Resumen!$L$22</f>
        <v>S/N</v>
      </c>
      <c r="L192" s="20" t="str">
        <f t="shared" si="170"/>
        <v>NO SE APERTURÓ ESTE PERIODO</v>
      </c>
      <c r="M192" s="62">
        <f t="shared" si="171"/>
        <v>0</v>
      </c>
      <c r="N192" s="20">
        <v>2025</v>
      </c>
    </row>
    <row r="193" spans="1:14" ht="14.25" customHeight="1">
      <c r="A193" s="20">
        <f t="shared" si="163"/>
        <v>18</v>
      </c>
      <c r="B193" s="159" t="s">
        <v>58</v>
      </c>
      <c r="C193" s="20" t="str">
        <f t="shared" si="164"/>
        <v>Mgtr. Jorge Jetón</v>
      </c>
      <c r="D193" s="20" t="str">
        <f t="shared" si="165"/>
        <v>ENTREGADO</v>
      </c>
      <c r="E193" s="20" t="str">
        <f t="shared" si="166"/>
        <v>NO ENTREGADO</v>
      </c>
      <c r="F193" s="20" t="str">
        <f t="shared" si="167"/>
        <v>NO ENTREGADO</v>
      </c>
      <c r="G193" s="20" t="str">
        <f t="shared" si="168"/>
        <v>S/N</v>
      </c>
      <c r="H193" s="20" t="str">
        <f t="shared" si="169"/>
        <v>S/N</v>
      </c>
      <c r="I193" s="20" t="str">
        <f t="shared" si="160"/>
        <v>Estrategia 2</v>
      </c>
      <c r="J193" s="62" t="str">
        <f t="shared" si="160"/>
        <v>Objetivo 1</v>
      </c>
      <c r="K193" s="20" t="str">
        <f>Resumen!$M$22</f>
        <v>S/N</v>
      </c>
      <c r="L193" s="20" t="str">
        <f t="shared" si="170"/>
        <v>NO SE APERTURÓ ESTE PERIODO</v>
      </c>
      <c r="M193" s="62">
        <f t="shared" si="171"/>
        <v>0</v>
      </c>
      <c r="N193" s="20">
        <v>2025</v>
      </c>
    </row>
    <row r="194" spans="1:14" ht="14.25" customHeight="1">
      <c r="A194" s="20">
        <f t="shared" si="163"/>
        <v>18</v>
      </c>
      <c r="B194" s="159" t="s">
        <v>58</v>
      </c>
      <c r="C194" s="20" t="str">
        <f t="shared" si="164"/>
        <v>Mgtr. Jorge Jetón</v>
      </c>
      <c r="D194" s="20" t="str">
        <f t="shared" si="165"/>
        <v>ENTREGADO</v>
      </c>
      <c r="E194" s="20" t="str">
        <f t="shared" si="166"/>
        <v>NO ENTREGADO</v>
      </c>
      <c r="F194" s="20" t="str">
        <f t="shared" si="167"/>
        <v>NO ENTREGADO</v>
      </c>
      <c r="G194" s="20" t="str">
        <f t="shared" si="168"/>
        <v>S/N</v>
      </c>
      <c r="H194" s="20" t="str">
        <f t="shared" si="169"/>
        <v>S/N</v>
      </c>
      <c r="I194" s="20" t="str">
        <f t="shared" si="160"/>
        <v>Estrategia 2</v>
      </c>
      <c r="J194" s="62" t="str">
        <f t="shared" si="160"/>
        <v>Objetivo 2</v>
      </c>
      <c r="K194" s="20" t="str">
        <f>Resumen!$N$22</f>
        <v>S/N</v>
      </c>
      <c r="L194" s="20" t="str">
        <f t="shared" si="170"/>
        <v>NO SE APERTURÓ ESTE PERIODO</v>
      </c>
      <c r="M194" s="62">
        <f t="shared" si="171"/>
        <v>0</v>
      </c>
      <c r="N194" s="20">
        <v>2025</v>
      </c>
    </row>
    <row r="195" spans="1:14" ht="14.25" customHeight="1">
      <c r="A195" s="20">
        <f t="shared" si="163"/>
        <v>18</v>
      </c>
      <c r="B195" s="159" t="s">
        <v>58</v>
      </c>
      <c r="C195" s="20" t="str">
        <f t="shared" si="164"/>
        <v>Mgtr. Jorge Jetón</v>
      </c>
      <c r="D195" s="20" t="str">
        <f t="shared" si="165"/>
        <v>ENTREGADO</v>
      </c>
      <c r="E195" s="20" t="str">
        <f t="shared" si="166"/>
        <v>NO ENTREGADO</v>
      </c>
      <c r="F195" s="20" t="str">
        <f t="shared" si="167"/>
        <v>NO ENTREGADO</v>
      </c>
      <c r="G195" s="20" t="str">
        <f t="shared" si="168"/>
        <v>S/N</v>
      </c>
      <c r="H195" s="20" t="str">
        <f t="shared" si="169"/>
        <v>S/N</v>
      </c>
      <c r="I195" s="20" t="str">
        <f t="shared" si="160"/>
        <v>Estrategia 2</v>
      </c>
      <c r="J195" s="62" t="str">
        <f t="shared" si="160"/>
        <v>Objetivo 3</v>
      </c>
      <c r="K195" s="20" t="str">
        <f>Resumen!$O$22</f>
        <v>S/N</v>
      </c>
      <c r="L195" s="20" t="str">
        <f t="shared" si="170"/>
        <v>NO SE APERTURÓ ESTE PERIODO</v>
      </c>
      <c r="M195" s="62">
        <f t="shared" si="171"/>
        <v>0</v>
      </c>
      <c r="N195" s="20">
        <v>2025</v>
      </c>
    </row>
    <row r="196" spans="1:14" ht="14.25" customHeight="1">
      <c r="A196" s="20">
        <f t="shared" si="163"/>
        <v>18</v>
      </c>
      <c r="B196" s="159" t="s">
        <v>58</v>
      </c>
      <c r="C196" s="20" t="str">
        <f t="shared" si="164"/>
        <v>Mgtr. Jorge Jetón</v>
      </c>
      <c r="D196" s="20" t="str">
        <f t="shared" si="165"/>
        <v>ENTREGADO</v>
      </c>
      <c r="E196" s="20" t="str">
        <f t="shared" si="166"/>
        <v>NO ENTREGADO</v>
      </c>
      <c r="F196" s="20" t="str">
        <f t="shared" si="167"/>
        <v>NO ENTREGADO</v>
      </c>
      <c r="G196" s="20" t="str">
        <f t="shared" si="168"/>
        <v>S/N</v>
      </c>
      <c r="H196" s="20" t="str">
        <f t="shared" si="169"/>
        <v>S/N</v>
      </c>
      <c r="I196" s="20" t="str">
        <f t="shared" si="160"/>
        <v>Estrategia 3</v>
      </c>
      <c r="J196" s="62" t="str">
        <f t="shared" si="160"/>
        <v>Objetivo 1</v>
      </c>
      <c r="K196" s="20" t="str">
        <f>Resumen!$P$22</f>
        <v>S/N</v>
      </c>
      <c r="L196" s="20" t="str">
        <f t="shared" si="170"/>
        <v>NO SE APERTURÓ ESTE PERIODO</v>
      </c>
      <c r="M196" s="62">
        <f t="shared" si="171"/>
        <v>0</v>
      </c>
      <c r="N196" s="20">
        <v>2025</v>
      </c>
    </row>
    <row r="197" spans="1:14" ht="14.25" customHeight="1">
      <c r="A197" s="20">
        <f t="shared" si="163"/>
        <v>18</v>
      </c>
      <c r="B197" s="159" t="s">
        <v>58</v>
      </c>
      <c r="C197" s="20" t="str">
        <f t="shared" si="164"/>
        <v>Mgtr. Jorge Jetón</v>
      </c>
      <c r="D197" s="20" t="str">
        <f t="shared" si="165"/>
        <v>ENTREGADO</v>
      </c>
      <c r="E197" s="20" t="str">
        <f t="shared" si="166"/>
        <v>NO ENTREGADO</v>
      </c>
      <c r="F197" s="20" t="str">
        <f t="shared" si="167"/>
        <v>NO ENTREGADO</v>
      </c>
      <c r="G197" s="20" t="str">
        <f t="shared" si="168"/>
        <v>S/N</v>
      </c>
      <c r="H197" s="20" t="str">
        <f t="shared" si="169"/>
        <v>S/N</v>
      </c>
      <c r="I197" s="20" t="str">
        <f t="shared" si="160"/>
        <v>Estrategia 3</v>
      </c>
      <c r="J197" s="62" t="str">
        <f t="shared" si="160"/>
        <v>Objetivo 2</v>
      </c>
      <c r="K197" s="20" t="str">
        <f>Resumen!$Q$22</f>
        <v>S/N</v>
      </c>
      <c r="L197" s="20" t="str">
        <f t="shared" si="170"/>
        <v>NO SE APERTURÓ ESTE PERIODO</v>
      </c>
      <c r="M197" s="62">
        <f t="shared" si="171"/>
        <v>0</v>
      </c>
      <c r="N197" s="20">
        <v>2025</v>
      </c>
    </row>
    <row r="198" spans="1:14" ht="14.25" customHeight="1">
      <c r="A198" s="20">
        <f t="shared" si="163"/>
        <v>18</v>
      </c>
      <c r="B198" s="159" t="s">
        <v>58</v>
      </c>
      <c r="C198" s="20" t="str">
        <f t="shared" si="164"/>
        <v>Mgtr. Jorge Jetón</v>
      </c>
      <c r="D198" s="20" t="str">
        <f t="shared" si="165"/>
        <v>ENTREGADO</v>
      </c>
      <c r="E198" s="20" t="str">
        <f t="shared" si="166"/>
        <v>NO ENTREGADO</v>
      </c>
      <c r="F198" s="20" t="str">
        <f t="shared" si="167"/>
        <v>NO ENTREGADO</v>
      </c>
      <c r="G198" s="20" t="str">
        <f t="shared" si="168"/>
        <v>S/N</v>
      </c>
      <c r="H198" s="20" t="str">
        <f t="shared" si="169"/>
        <v>S/N</v>
      </c>
      <c r="I198" s="20" t="str">
        <f t="shared" si="160"/>
        <v>Estrategia 3</v>
      </c>
      <c r="J198" s="62" t="str">
        <f t="shared" si="160"/>
        <v>Objetivo 3</v>
      </c>
      <c r="K198" s="20" t="str">
        <f>Resumen!$R$22</f>
        <v>S/N</v>
      </c>
      <c r="L198" s="20" t="str">
        <f t="shared" si="170"/>
        <v>NO SE APERTURÓ ESTE PERIODO</v>
      </c>
      <c r="M198" s="62">
        <f t="shared" si="171"/>
        <v>0</v>
      </c>
      <c r="N198" s="20">
        <v>2025</v>
      </c>
    </row>
    <row r="199" spans="1:14" ht="14.25" customHeight="1">
      <c r="A199" s="20">
        <f t="shared" si="163"/>
        <v>18</v>
      </c>
      <c r="B199" s="159" t="s">
        <v>58</v>
      </c>
      <c r="C199" s="20" t="str">
        <f t="shared" si="164"/>
        <v>Mgtr. Jorge Jetón</v>
      </c>
      <c r="D199" s="20" t="str">
        <f t="shared" si="165"/>
        <v>ENTREGADO</v>
      </c>
      <c r="E199" s="20" t="str">
        <f t="shared" si="166"/>
        <v>NO ENTREGADO</v>
      </c>
      <c r="F199" s="20" t="str">
        <f t="shared" si="167"/>
        <v>NO ENTREGADO</v>
      </c>
      <c r="G199" s="20" t="str">
        <f t="shared" si="168"/>
        <v>S/N</v>
      </c>
      <c r="H199" s="20" t="str">
        <f t="shared" si="169"/>
        <v>S/N</v>
      </c>
      <c r="I199" s="20" t="str">
        <f t="shared" ref="I199:J218" si="172">I188</f>
        <v>Estrategia 4</v>
      </c>
      <c r="J199" s="62" t="str">
        <f t="shared" si="172"/>
        <v>Objetivo 1</v>
      </c>
      <c r="K199" s="20" t="str">
        <f>Resumen!$S$22</f>
        <v>S/N</v>
      </c>
      <c r="L199" s="20" t="str">
        <f t="shared" si="170"/>
        <v>NO SE APERTURÓ ESTE PERIODO</v>
      </c>
      <c r="M199" s="62">
        <f t="shared" si="171"/>
        <v>0</v>
      </c>
      <c r="N199" s="20">
        <v>2025</v>
      </c>
    </row>
    <row r="200" spans="1:14" ht="14.25" customHeight="1">
      <c r="A200" s="20">
        <f>Resumen!A23</f>
        <v>19</v>
      </c>
      <c r="B200" s="159" t="s">
        <v>59</v>
      </c>
      <c r="C200" s="20" t="str">
        <f>Resumen!C23</f>
        <v>Mgtr. Catherine Alvear</v>
      </c>
      <c r="D200" s="20" t="str">
        <f>Resumen!D23</f>
        <v>ENTREGADO</v>
      </c>
      <c r="E200" s="20" t="str">
        <f>Resumen!E23</f>
        <v>ENTREGADO</v>
      </c>
      <c r="F200" s="20" t="str">
        <f>Resumen!F23</f>
        <v>ENTREGADO</v>
      </c>
      <c r="G200" s="20" t="str">
        <f>Resumen!G23</f>
        <v>S/N</v>
      </c>
      <c r="H200" s="20" t="str">
        <f>Resumen!H23</f>
        <v>S/N</v>
      </c>
      <c r="I200" s="20" t="str">
        <f t="shared" si="172"/>
        <v>Estrategia 1</v>
      </c>
      <c r="J200" s="62" t="str">
        <f t="shared" si="172"/>
        <v>Objetivo 1</v>
      </c>
      <c r="K200" s="20" t="str">
        <f>Resumen!$I$23</f>
        <v>X</v>
      </c>
      <c r="L200" s="20" t="str">
        <f>Resumen!T23</f>
        <v>EVIDENCIAS POR COMPLETAR SEGUNDO SEMESTRE</v>
      </c>
      <c r="M200" s="62">
        <f>Resumen!U23</f>
        <v>0.93571428571428572</v>
      </c>
      <c r="N200" s="20">
        <f t="shared" ref="N200:N210" si="173">$N$199</f>
        <v>2025</v>
      </c>
    </row>
    <row r="201" spans="1:14" ht="14.25" customHeight="1">
      <c r="A201" s="20">
        <f t="shared" ref="A201:A210" si="174">$A$200</f>
        <v>19</v>
      </c>
      <c r="B201" s="159" t="s">
        <v>59</v>
      </c>
      <c r="C201" s="20" t="str">
        <f t="shared" ref="C201:C210" si="175">$C$200</f>
        <v>Mgtr. Catherine Alvear</v>
      </c>
      <c r="D201" s="20" t="str">
        <f t="shared" ref="D201:D210" si="176">$D$200</f>
        <v>ENTREGADO</v>
      </c>
      <c r="E201" s="20" t="str">
        <f t="shared" ref="E201:E210" si="177">$E$200</f>
        <v>ENTREGADO</v>
      </c>
      <c r="F201" s="20" t="str">
        <f t="shared" ref="F201:F210" si="178">$F$200</f>
        <v>ENTREGADO</v>
      </c>
      <c r="G201" s="20" t="str">
        <f t="shared" ref="G201:G210" si="179">$G$200</f>
        <v>S/N</v>
      </c>
      <c r="H201" s="20" t="str">
        <f t="shared" ref="H201:H210" si="180">$H$200</f>
        <v>S/N</v>
      </c>
      <c r="I201" s="20" t="str">
        <f t="shared" si="172"/>
        <v>Estrategia 1</v>
      </c>
      <c r="J201" s="62" t="str">
        <f t="shared" si="172"/>
        <v>Objetivo 2</v>
      </c>
      <c r="K201" s="20" t="str">
        <f>Resumen!$J$23</f>
        <v>X</v>
      </c>
      <c r="L201" s="20" t="str">
        <f t="shared" ref="L201:L210" si="181">$L$200</f>
        <v>EVIDENCIAS POR COMPLETAR SEGUNDO SEMESTRE</v>
      </c>
      <c r="M201" s="62">
        <f>Resumen!U23</f>
        <v>0.93571428571428572</v>
      </c>
      <c r="N201" s="20">
        <f t="shared" si="173"/>
        <v>2025</v>
      </c>
    </row>
    <row r="202" spans="1:14" ht="14.25" customHeight="1">
      <c r="A202" s="20">
        <f t="shared" si="174"/>
        <v>19</v>
      </c>
      <c r="B202" s="159" t="s">
        <v>59</v>
      </c>
      <c r="C202" s="20" t="str">
        <f t="shared" si="175"/>
        <v>Mgtr. Catherine Alvear</v>
      </c>
      <c r="D202" s="20" t="str">
        <f t="shared" si="176"/>
        <v>ENTREGADO</v>
      </c>
      <c r="E202" s="20" t="str">
        <f t="shared" si="177"/>
        <v>ENTREGADO</v>
      </c>
      <c r="F202" s="20" t="str">
        <f t="shared" si="178"/>
        <v>ENTREGADO</v>
      </c>
      <c r="G202" s="20" t="str">
        <f t="shared" si="179"/>
        <v>S/N</v>
      </c>
      <c r="H202" s="20" t="str">
        <f t="shared" si="180"/>
        <v>S/N</v>
      </c>
      <c r="I202" s="20" t="str">
        <f t="shared" si="172"/>
        <v>Estrategia 1</v>
      </c>
      <c r="J202" s="62" t="str">
        <f t="shared" si="172"/>
        <v>Objetivo 3</v>
      </c>
      <c r="K202" s="20" t="str">
        <f>Resumen!$K$23</f>
        <v>x</v>
      </c>
      <c r="L202" s="20" t="str">
        <f t="shared" si="181"/>
        <v>EVIDENCIAS POR COMPLETAR SEGUNDO SEMESTRE</v>
      </c>
      <c r="M202" s="62">
        <f>Resumen!U23</f>
        <v>0.93571428571428572</v>
      </c>
      <c r="N202" s="20">
        <f t="shared" si="173"/>
        <v>2025</v>
      </c>
    </row>
    <row r="203" spans="1:14" ht="14.25" customHeight="1">
      <c r="A203" s="20">
        <f t="shared" si="174"/>
        <v>19</v>
      </c>
      <c r="B203" s="159" t="s">
        <v>59</v>
      </c>
      <c r="C203" s="20" t="str">
        <f t="shared" si="175"/>
        <v>Mgtr. Catherine Alvear</v>
      </c>
      <c r="D203" s="20" t="str">
        <f t="shared" si="176"/>
        <v>ENTREGADO</v>
      </c>
      <c r="E203" s="20" t="str">
        <f t="shared" si="177"/>
        <v>ENTREGADO</v>
      </c>
      <c r="F203" s="20" t="str">
        <f t="shared" si="178"/>
        <v>ENTREGADO</v>
      </c>
      <c r="G203" s="20" t="str">
        <f t="shared" si="179"/>
        <v>S/N</v>
      </c>
      <c r="H203" s="20" t="str">
        <f t="shared" si="180"/>
        <v>S/N</v>
      </c>
      <c r="I203" s="20" t="str">
        <f t="shared" si="172"/>
        <v>Estrategia 1</v>
      </c>
      <c r="J203" s="62" t="str">
        <f t="shared" si="172"/>
        <v>Objetivo 4</v>
      </c>
      <c r="K203" s="20" t="str">
        <f>Resumen!$L$23</f>
        <v>x</v>
      </c>
      <c r="L203" s="20" t="str">
        <f t="shared" si="181"/>
        <v>EVIDENCIAS POR COMPLETAR SEGUNDO SEMESTRE</v>
      </c>
      <c r="M203" s="62">
        <f>Resumen!U23</f>
        <v>0.93571428571428572</v>
      </c>
      <c r="N203" s="20">
        <f t="shared" si="173"/>
        <v>2025</v>
      </c>
    </row>
    <row r="204" spans="1:14" ht="14.25" customHeight="1">
      <c r="A204" s="20">
        <f t="shared" si="174"/>
        <v>19</v>
      </c>
      <c r="B204" s="159" t="s">
        <v>59</v>
      </c>
      <c r="C204" s="20" t="str">
        <f t="shared" si="175"/>
        <v>Mgtr. Catherine Alvear</v>
      </c>
      <c r="D204" s="20" t="str">
        <f t="shared" si="176"/>
        <v>ENTREGADO</v>
      </c>
      <c r="E204" s="20" t="str">
        <f t="shared" si="177"/>
        <v>ENTREGADO</v>
      </c>
      <c r="F204" s="20" t="str">
        <f t="shared" si="178"/>
        <v>ENTREGADO</v>
      </c>
      <c r="G204" s="20" t="str">
        <f t="shared" si="179"/>
        <v>S/N</v>
      </c>
      <c r="H204" s="20" t="str">
        <f t="shared" si="180"/>
        <v>S/N</v>
      </c>
      <c r="I204" s="20" t="str">
        <f t="shared" si="172"/>
        <v>Estrategia 2</v>
      </c>
      <c r="J204" s="62" t="str">
        <f t="shared" si="172"/>
        <v>Objetivo 1</v>
      </c>
      <c r="K204" s="20" t="str">
        <f>Resumen!$M$23</f>
        <v>x</v>
      </c>
      <c r="L204" s="20" t="str">
        <f t="shared" si="181"/>
        <v>EVIDENCIAS POR COMPLETAR SEGUNDO SEMESTRE</v>
      </c>
      <c r="M204" s="62">
        <f>Resumen!U23</f>
        <v>0.93571428571428572</v>
      </c>
      <c r="N204" s="20">
        <f t="shared" si="173"/>
        <v>2025</v>
      </c>
    </row>
    <row r="205" spans="1:14" ht="14.25" customHeight="1">
      <c r="A205" s="20">
        <f t="shared" si="174"/>
        <v>19</v>
      </c>
      <c r="B205" s="159" t="s">
        <v>59</v>
      </c>
      <c r="C205" s="20" t="str">
        <f t="shared" si="175"/>
        <v>Mgtr. Catherine Alvear</v>
      </c>
      <c r="D205" s="20" t="str">
        <f t="shared" si="176"/>
        <v>ENTREGADO</v>
      </c>
      <c r="E205" s="20" t="str">
        <f t="shared" si="177"/>
        <v>ENTREGADO</v>
      </c>
      <c r="F205" s="20" t="str">
        <f t="shared" si="178"/>
        <v>ENTREGADO</v>
      </c>
      <c r="G205" s="20" t="str">
        <f t="shared" si="179"/>
        <v>S/N</v>
      </c>
      <c r="H205" s="20" t="str">
        <f t="shared" si="180"/>
        <v>S/N</v>
      </c>
      <c r="I205" s="20" t="str">
        <f t="shared" si="172"/>
        <v>Estrategia 2</v>
      </c>
      <c r="J205" s="62" t="str">
        <f t="shared" si="172"/>
        <v>Objetivo 2</v>
      </c>
      <c r="K205" s="20" t="str">
        <f>Resumen!$N$23</f>
        <v>x</v>
      </c>
      <c r="L205" s="20" t="str">
        <f t="shared" si="181"/>
        <v>EVIDENCIAS POR COMPLETAR SEGUNDO SEMESTRE</v>
      </c>
      <c r="M205" s="62">
        <f>Resumen!U23</f>
        <v>0.93571428571428572</v>
      </c>
      <c r="N205" s="20">
        <f t="shared" si="173"/>
        <v>2025</v>
      </c>
    </row>
    <row r="206" spans="1:14" ht="14.25" customHeight="1">
      <c r="A206" s="20">
        <f t="shared" si="174"/>
        <v>19</v>
      </c>
      <c r="B206" s="159" t="s">
        <v>59</v>
      </c>
      <c r="C206" s="20" t="str">
        <f t="shared" si="175"/>
        <v>Mgtr. Catherine Alvear</v>
      </c>
      <c r="D206" s="20" t="str">
        <f t="shared" si="176"/>
        <v>ENTREGADO</v>
      </c>
      <c r="E206" s="20" t="str">
        <f t="shared" si="177"/>
        <v>ENTREGADO</v>
      </c>
      <c r="F206" s="20" t="str">
        <f t="shared" si="178"/>
        <v>ENTREGADO</v>
      </c>
      <c r="G206" s="20" t="str">
        <f t="shared" si="179"/>
        <v>S/N</v>
      </c>
      <c r="H206" s="20" t="str">
        <f t="shared" si="180"/>
        <v>S/N</v>
      </c>
      <c r="I206" s="20" t="str">
        <f t="shared" si="172"/>
        <v>Estrategia 2</v>
      </c>
      <c r="J206" s="62" t="str">
        <f t="shared" si="172"/>
        <v>Objetivo 3</v>
      </c>
      <c r="K206" s="20" t="str">
        <f>Resumen!$O$23</f>
        <v>X</v>
      </c>
      <c r="L206" s="20" t="str">
        <f t="shared" si="181"/>
        <v>EVIDENCIAS POR COMPLETAR SEGUNDO SEMESTRE</v>
      </c>
      <c r="M206" s="62">
        <f>Resumen!U23</f>
        <v>0.93571428571428572</v>
      </c>
      <c r="N206" s="20">
        <f t="shared" si="173"/>
        <v>2025</v>
      </c>
    </row>
    <row r="207" spans="1:14" ht="14.25" customHeight="1">
      <c r="A207" s="20">
        <f t="shared" si="174"/>
        <v>19</v>
      </c>
      <c r="B207" s="159" t="s">
        <v>59</v>
      </c>
      <c r="C207" s="20" t="str">
        <f t="shared" si="175"/>
        <v>Mgtr. Catherine Alvear</v>
      </c>
      <c r="D207" s="20" t="str">
        <f t="shared" si="176"/>
        <v>ENTREGADO</v>
      </c>
      <c r="E207" s="20" t="str">
        <f t="shared" si="177"/>
        <v>ENTREGADO</v>
      </c>
      <c r="F207" s="20" t="str">
        <f t="shared" si="178"/>
        <v>ENTREGADO</v>
      </c>
      <c r="G207" s="20" t="str">
        <f t="shared" si="179"/>
        <v>S/N</v>
      </c>
      <c r="H207" s="20" t="str">
        <f t="shared" si="180"/>
        <v>S/N</v>
      </c>
      <c r="I207" s="20" t="str">
        <f t="shared" si="172"/>
        <v>Estrategia 3</v>
      </c>
      <c r="J207" s="62" t="str">
        <f t="shared" si="172"/>
        <v>Objetivo 1</v>
      </c>
      <c r="K207" s="20" t="str">
        <f>Resumen!$P$23</f>
        <v>X</v>
      </c>
      <c r="L207" s="20" t="str">
        <f t="shared" si="181"/>
        <v>EVIDENCIAS POR COMPLETAR SEGUNDO SEMESTRE</v>
      </c>
      <c r="M207" s="62">
        <f>Resumen!U23</f>
        <v>0.93571428571428572</v>
      </c>
      <c r="N207" s="20">
        <f t="shared" si="173"/>
        <v>2025</v>
      </c>
    </row>
    <row r="208" spans="1:14" ht="14.25" customHeight="1">
      <c r="A208" s="20">
        <f t="shared" si="174"/>
        <v>19</v>
      </c>
      <c r="B208" s="159" t="s">
        <v>59</v>
      </c>
      <c r="C208" s="20" t="str">
        <f t="shared" si="175"/>
        <v>Mgtr. Catherine Alvear</v>
      </c>
      <c r="D208" s="20" t="str">
        <f t="shared" si="176"/>
        <v>ENTREGADO</v>
      </c>
      <c r="E208" s="20" t="str">
        <f t="shared" si="177"/>
        <v>ENTREGADO</v>
      </c>
      <c r="F208" s="20" t="str">
        <f t="shared" si="178"/>
        <v>ENTREGADO</v>
      </c>
      <c r="G208" s="20" t="str">
        <f t="shared" si="179"/>
        <v>S/N</v>
      </c>
      <c r="H208" s="20" t="str">
        <f t="shared" si="180"/>
        <v>S/N</v>
      </c>
      <c r="I208" s="20" t="str">
        <f t="shared" si="172"/>
        <v>Estrategia 3</v>
      </c>
      <c r="J208" s="62" t="str">
        <f t="shared" si="172"/>
        <v>Objetivo 2</v>
      </c>
      <c r="K208" s="20" t="str">
        <f>Resumen!$Q$23</f>
        <v>X</v>
      </c>
      <c r="L208" s="20" t="str">
        <f t="shared" si="181"/>
        <v>EVIDENCIAS POR COMPLETAR SEGUNDO SEMESTRE</v>
      </c>
      <c r="M208" s="62">
        <f>Resumen!U23</f>
        <v>0.93571428571428572</v>
      </c>
      <c r="N208" s="20">
        <f t="shared" si="173"/>
        <v>2025</v>
      </c>
    </row>
    <row r="209" spans="1:14" ht="14.25" customHeight="1">
      <c r="A209" s="20">
        <f t="shared" si="174"/>
        <v>19</v>
      </c>
      <c r="B209" s="159" t="s">
        <v>59</v>
      </c>
      <c r="C209" s="20" t="str">
        <f t="shared" si="175"/>
        <v>Mgtr. Catherine Alvear</v>
      </c>
      <c r="D209" s="20" t="str">
        <f t="shared" si="176"/>
        <v>ENTREGADO</v>
      </c>
      <c r="E209" s="20" t="str">
        <f t="shared" si="177"/>
        <v>ENTREGADO</v>
      </c>
      <c r="F209" s="20" t="str">
        <f t="shared" si="178"/>
        <v>ENTREGADO</v>
      </c>
      <c r="G209" s="20" t="str">
        <f t="shared" si="179"/>
        <v>S/N</v>
      </c>
      <c r="H209" s="20" t="str">
        <f t="shared" si="180"/>
        <v>S/N</v>
      </c>
      <c r="I209" s="20" t="str">
        <f t="shared" si="172"/>
        <v>Estrategia 3</v>
      </c>
      <c r="J209" s="62" t="str">
        <f t="shared" si="172"/>
        <v>Objetivo 3</v>
      </c>
      <c r="K209" s="20" t="str">
        <f>Resumen!$R$23</f>
        <v>X</v>
      </c>
      <c r="L209" s="20" t="str">
        <f t="shared" si="181"/>
        <v>EVIDENCIAS POR COMPLETAR SEGUNDO SEMESTRE</v>
      </c>
      <c r="M209" s="62">
        <f>Resumen!U23</f>
        <v>0.93571428571428572</v>
      </c>
      <c r="N209" s="20">
        <f t="shared" si="173"/>
        <v>2025</v>
      </c>
    </row>
    <row r="210" spans="1:14" ht="14.25" customHeight="1">
      <c r="A210" s="20">
        <f t="shared" si="174"/>
        <v>19</v>
      </c>
      <c r="B210" s="159" t="s">
        <v>59</v>
      </c>
      <c r="C210" s="20" t="str">
        <f t="shared" si="175"/>
        <v>Mgtr. Catherine Alvear</v>
      </c>
      <c r="D210" s="20" t="str">
        <f t="shared" si="176"/>
        <v>ENTREGADO</v>
      </c>
      <c r="E210" s="20" t="str">
        <f t="shared" si="177"/>
        <v>ENTREGADO</v>
      </c>
      <c r="F210" s="20" t="str">
        <f t="shared" si="178"/>
        <v>ENTREGADO</v>
      </c>
      <c r="G210" s="20" t="str">
        <f t="shared" si="179"/>
        <v>S/N</v>
      </c>
      <c r="H210" s="20" t="str">
        <f t="shared" si="180"/>
        <v>S/N</v>
      </c>
      <c r="I210" s="20" t="str">
        <f t="shared" si="172"/>
        <v>Estrategia 4</v>
      </c>
      <c r="J210" s="62" t="str">
        <f t="shared" si="172"/>
        <v>Objetivo 1</v>
      </c>
      <c r="K210" s="20" t="str">
        <f>Resumen!$S$23</f>
        <v>X</v>
      </c>
      <c r="L210" s="20" t="str">
        <f t="shared" si="181"/>
        <v>EVIDENCIAS POR COMPLETAR SEGUNDO SEMESTRE</v>
      </c>
      <c r="M210" s="62">
        <f>Resumen!U23</f>
        <v>0.93571428571428572</v>
      </c>
      <c r="N210" s="20">
        <f t="shared" si="173"/>
        <v>2025</v>
      </c>
    </row>
    <row r="211" spans="1:14" ht="14.25" customHeight="1"/>
    <row r="212" spans="1:14" ht="14.25" customHeight="1"/>
    <row r="213" spans="1:14" ht="14.25" customHeight="1"/>
    <row r="214" spans="1:14" ht="14.25" customHeight="1"/>
    <row r="215" spans="1:14" ht="14.25" customHeight="1"/>
    <row r="216" spans="1:14" ht="14.25" customHeight="1"/>
    <row r="217" spans="1:14" ht="14.25" customHeight="1"/>
    <row r="218" spans="1:14" ht="14.25" customHeight="1"/>
    <row r="219" spans="1:14" ht="14.25" customHeight="1"/>
    <row r="220" spans="1:14" ht="14.25" customHeight="1"/>
    <row r="221" spans="1:14" ht="14.25" customHeight="1"/>
    <row r="222" spans="1:14" ht="14.25" customHeight="1"/>
    <row r="223" spans="1:14" ht="14.25" customHeight="1"/>
    <row r="224" spans="1:1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B2" location="Google_Sheet_Link_765516390" display="gid=800026368" xr:uid="{D3D5CA9F-4D5C-4067-97C3-D41554FB1FA4}"/>
    <hyperlink ref="B3" location="Google_Sheet_Link_765516390" display="gid=800026368" xr:uid="{DEA842B8-B196-435E-AD9C-3E35693B5020}"/>
    <hyperlink ref="B4" location="Google_Sheet_Link_765516390" display="gid=800026368" xr:uid="{D21011BB-E96A-4304-B8C4-BDCBCC1E3A63}"/>
    <hyperlink ref="B5" location="Google_Sheet_Link_765516390" display="gid=800026368" xr:uid="{B6459F7A-1068-4C12-8BC1-ED3FA3D512B9}"/>
    <hyperlink ref="B6" location="Google_Sheet_Link_765516390" display="gid=800026368" xr:uid="{CC5B5AE6-3CA2-43D4-B8E0-B157FD19BD0C}"/>
    <hyperlink ref="B7" location="Google_Sheet_Link_765516390" display="gid=800026368" xr:uid="{3BCEF6FC-A125-4FC0-9D36-ED9ABED57ABD}"/>
    <hyperlink ref="B8" location="Google_Sheet_Link_765516390" display="gid=800026368" xr:uid="{6EF33B3F-51CD-4F50-A12A-7CAF551AFDE4}"/>
    <hyperlink ref="B9" location="Google_Sheet_Link_765516390" display="gid=800026368" xr:uid="{EB40EEFF-3C53-49CD-9C89-48B0231F9E84}"/>
    <hyperlink ref="B10" location="Google_Sheet_Link_765516390" display="gid=800026368" xr:uid="{4F88E6CE-CF39-4E40-9A9B-38B3B89242B1}"/>
    <hyperlink ref="B11" location="Google_Sheet_Link_765516390" display="gid=800026368" xr:uid="{8F0DDBA9-7514-4814-828C-CE86981DAE9D}"/>
    <hyperlink ref="B12" location="Google_Sheet_Link_765516390" display="gid=800026368" xr:uid="{000E9D3E-840D-4368-A502-3C530D372DF8}"/>
    <hyperlink ref="B13" location="Google_Sheet_Link_1875250778" display="gid=684874196" xr:uid="{C8116209-DB07-4A92-8729-D10893C8E1C8}"/>
    <hyperlink ref="B14" location="Google_Sheet_Link_1875250778" display="gid=684874196" xr:uid="{D68226DF-B284-4BAC-AFB3-34DFA28604F9}"/>
    <hyperlink ref="B15" location="Google_Sheet_Link_1875250778" display="gid=684874196" xr:uid="{33D2B052-609D-4ABF-B156-12384FA59AAF}"/>
    <hyperlink ref="B16" location="Google_Sheet_Link_1875250778" display="gid=684874196" xr:uid="{DA61D291-75CA-420C-95B6-9C32988EC29E}"/>
    <hyperlink ref="B17" location="Google_Sheet_Link_1875250778" display="gid=684874196" xr:uid="{6518AC22-4BEE-49B1-B06C-3595878CCD5D}"/>
    <hyperlink ref="B18" location="Google_Sheet_Link_1875250778" display="gid=684874196" xr:uid="{2691386F-B4B6-4AFF-A911-F856254A4E54}"/>
    <hyperlink ref="B19" location="Google_Sheet_Link_1875250778" display="gid=684874196" xr:uid="{31BD60B5-61B8-475A-9023-0AA533AB81B3}"/>
    <hyperlink ref="B20" location="Google_Sheet_Link_1875250778" display="gid=684874196" xr:uid="{A5BFBBFF-ADCC-4D1A-95D2-C1BE993EA681}"/>
    <hyperlink ref="B21" location="Google_Sheet_Link_1875250778" display="gid=684874196" xr:uid="{0C787C57-DC95-45C4-B104-41F0A0656E2A}"/>
    <hyperlink ref="B22" location="Google_Sheet_Link_1875250778" display="gid=684874196" xr:uid="{8902D558-152A-47D5-B937-797ACAC0D40A}"/>
    <hyperlink ref="B23" location="Google_Sheet_Link_1875250778" display="gid=684874196" xr:uid="{6780073A-FEE5-4EF5-910C-731E9AA3DA8E}"/>
    <hyperlink ref="B24" location="Google_Sheet_Link_854752809" display="gid=1295587340" xr:uid="{27A1B16E-A212-42D0-B7DB-ADD185249221}"/>
    <hyperlink ref="B25" location="Google_Sheet_Link_854752809" display="gid=1295587340" xr:uid="{FBCABB17-19DB-4262-9E59-ADA2B8BC9F15}"/>
    <hyperlink ref="B26" location="Google_Sheet_Link_854752809" display="gid=1295587340" xr:uid="{5CB9E830-AA3C-4F62-9B24-96FDE23264D7}"/>
    <hyperlink ref="B27" location="Google_Sheet_Link_854752809" display="gid=1295587340" xr:uid="{44039FB8-C0E9-4D16-999D-21D27419121E}"/>
    <hyperlink ref="B28" location="Google_Sheet_Link_854752809" display="gid=1295587340" xr:uid="{A16BC9C2-7D1A-48A1-81E1-526BF89ACB8A}"/>
    <hyperlink ref="B29" location="Google_Sheet_Link_854752809" display="gid=1295587340" xr:uid="{9F3D1522-4604-4998-8084-49DFB8324C00}"/>
    <hyperlink ref="B30" location="Google_Sheet_Link_854752809" display="gid=1295587340" xr:uid="{FEA0569B-21B0-4109-80BD-3944D2BCB06A}"/>
    <hyperlink ref="B31" location="Google_Sheet_Link_854752809" display="gid=1295587340" xr:uid="{5D2C23FC-B505-4C1E-A6AA-F5ECC1D9DCC9}"/>
    <hyperlink ref="B32" location="Google_Sheet_Link_854752809" display="gid=1295587340" xr:uid="{FB83835D-603A-41B6-8BD1-F1A4647EB5AF}"/>
    <hyperlink ref="B33" location="Google_Sheet_Link_854752809" display="gid=1295587340" xr:uid="{D3AF461B-D412-42BE-9B4B-9358ADEF52FB}"/>
    <hyperlink ref="B34" location="Google_Sheet_Link_854752809" display="gid=1295587340" xr:uid="{F23ED7E9-8AF9-4A93-BCAB-B7929D5BFE2F}"/>
    <hyperlink ref="B35" location="Google_Sheet_Link_1048363870" display="gid=975999619" xr:uid="{8D3C953E-CF53-4A48-A2DE-4944E650D11C}"/>
    <hyperlink ref="B36" location="Google_Sheet_Link_1048363870" display="gid=975999619" xr:uid="{E703C296-CEB7-4E95-AAD8-3CD9CEF578D9}"/>
    <hyperlink ref="B37" location="Google_Sheet_Link_1048363870" display="gid=975999619" xr:uid="{0C0E34A1-1BD2-4185-900B-CB0222AD2CA4}"/>
    <hyperlink ref="B38" location="Google_Sheet_Link_1048363870" display="gid=975999619" xr:uid="{F43A31E7-EAE4-4942-A73E-59B8331CEF43}"/>
    <hyperlink ref="B39" location="Google_Sheet_Link_1048363870" display="gid=975999619" xr:uid="{98CCE076-D3FB-4FCF-BEFB-358BF58FCA43}"/>
    <hyperlink ref="B40" location="Google_Sheet_Link_1048363870" display="gid=975999619" xr:uid="{AE47A708-3A27-4287-8534-BC5AC6E5ED96}"/>
    <hyperlink ref="B41" location="Google_Sheet_Link_1048363870" display="gid=975999619" xr:uid="{138E548A-F304-47FF-975A-1E2DE409F6BC}"/>
    <hyperlink ref="B42" location="Google_Sheet_Link_1048363870" display="gid=975999619" xr:uid="{AD19020F-432B-4586-BC13-EE401843DC22}"/>
    <hyperlink ref="B43" location="Google_Sheet_Link_1048363870" display="gid=975999619" xr:uid="{693D7118-0B75-4711-A9A8-CCAFEA30AA21}"/>
    <hyperlink ref="B44" location="Google_Sheet_Link_1048363870" display="gid=975999619" xr:uid="{84C31310-8ED0-4664-8059-CB170E7E53CE}"/>
    <hyperlink ref="B45" location="Google_Sheet_Link_1048363870" display="gid=975999619" xr:uid="{B92B48DA-536E-41BB-BD5D-69FA5E2971EB}"/>
    <hyperlink ref="B46" location="Google_Sheet_Link_348030709" display="gid=78273914" xr:uid="{65BC4749-E250-48C2-B3E0-E665F2BADD3B}"/>
    <hyperlink ref="B47" location="Google_Sheet_Link_348030709" display="gid=78273914" xr:uid="{C5467C40-0DD7-4EBF-B644-CAF1555644F1}"/>
    <hyperlink ref="B48" location="Google_Sheet_Link_348030709" display="gid=78273914" xr:uid="{3F9380B5-CE4F-4DF8-B2E2-E6FEC5C70D7A}"/>
    <hyperlink ref="B49" location="Google_Sheet_Link_348030709" display="gid=78273914" xr:uid="{D8D2CE76-E69C-4976-8774-A284CD3280E3}"/>
    <hyperlink ref="B50" location="Google_Sheet_Link_348030709" display="gid=78273914" xr:uid="{C0C104C0-4D2E-4C39-97C7-E52A9C2C482C}"/>
    <hyperlink ref="B51" location="Google_Sheet_Link_348030709" display="gid=78273914" xr:uid="{9A02DA78-56CE-46D6-89BE-374F085EDDE4}"/>
    <hyperlink ref="B52" location="Google_Sheet_Link_348030709" display="gid=78273914" xr:uid="{3C2403A9-A65B-43AB-A427-F1153360C125}"/>
    <hyperlink ref="B53" location="Google_Sheet_Link_348030709" display="gid=78273914" xr:uid="{C2969CF8-B5E7-400B-B8F5-ACB2699FD2CD}"/>
    <hyperlink ref="B54" location="Google_Sheet_Link_348030709" display="gid=78273914" xr:uid="{BC4988BA-42DE-4E91-911C-19CA4A0D84D8}"/>
    <hyperlink ref="B55" location="Google_Sheet_Link_348030709" display="gid=78273914" xr:uid="{C98B5AEC-2837-4505-8B7C-3EB3A50D2FBA}"/>
    <hyperlink ref="B56" location="Google_Sheet_Link_348030709" display="gid=78273914" xr:uid="{1D2334D5-4B51-4B5A-B217-85706C0E77D6}"/>
    <hyperlink ref="B57" location="Google_Sheet_Link_355209410" display="gid=691242759" xr:uid="{35237264-C123-4BF9-A63E-627423FBFAE2}"/>
    <hyperlink ref="B58" location="Google_Sheet_Link_355209410" display="gid=691242759" xr:uid="{B9449F4D-8623-4FE4-8939-68735E1829AF}"/>
    <hyperlink ref="B59" location="Google_Sheet_Link_355209410" display="gid=691242759" xr:uid="{1C45C3AC-FD8D-4C2C-AEE0-7200683200A1}"/>
    <hyperlink ref="B60" location="Google_Sheet_Link_355209410" display="gid=691242759" xr:uid="{4D74E501-0C04-498D-B319-8F53A32F770B}"/>
    <hyperlink ref="B61" location="Google_Sheet_Link_355209410" display="gid=691242759" xr:uid="{23820006-606C-4325-B296-85D2D35240EC}"/>
    <hyperlink ref="B62" location="Google_Sheet_Link_355209410" display="gid=691242759" xr:uid="{483B4D0E-55CB-4F4A-9526-F6824F357B85}"/>
    <hyperlink ref="B63" location="Google_Sheet_Link_355209410" display="gid=691242759" xr:uid="{3A1E4F62-AB54-4B42-A7ED-0B13C94B2B9D}"/>
    <hyperlink ref="B64" location="Google_Sheet_Link_355209410" display="gid=691242759" xr:uid="{38FA8C1D-8031-4D0A-B545-55FC70BFE173}"/>
    <hyperlink ref="B65" location="Google_Sheet_Link_355209410" display="gid=691242759" xr:uid="{BB4EFDC2-D7AF-48DC-A3C1-491F99C2A030}"/>
    <hyperlink ref="B66" location="Google_Sheet_Link_355209410" display="gid=691242759" xr:uid="{1A3C4E15-0ED2-4AF9-BF1E-2D9D4C38CA99}"/>
    <hyperlink ref="B67" location="Google_Sheet_Link_355209410" display="gid=691242759" xr:uid="{9FBBA6DA-5060-4D0F-ACFB-82A7F329F159}"/>
    <hyperlink ref="B68" location="Google_Sheet_Link_1108924913" display="gid=149880824" xr:uid="{98D60039-6017-4967-B2FE-1BFED83988B4}"/>
    <hyperlink ref="B69" location="Google_Sheet_Link_1108924913" display="gid=149880824" xr:uid="{33E89179-5DCC-468C-81FC-024CC9AD65C3}"/>
    <hyperlink ref="B70" location="Google_Sheet_Link_1108924913" display="gid=149880824" xr:uid="{FF3210CE-D3FC-4294-A674-8D9E973D41C3}"/>
    <hyperlink ref="B71" location="Google_Sheet_Link_1108924913" display="gid=149880824" xr:uid="{B21259E4-7AEF-4493-921A-3BE857C30B4A}"/>
    <hyperlink ref="B72" location="Google_Sheet_Link_1108924913" display="gid=149880824" xr:uid="{C38537D6-6ABF-4984-BBE6-46FF6551689A}"/>
    <hyperlink ref="B73" location="Google_Sheet_Link_1108924913" display="gid=149880824" xr:uid="{87120109-C61B-40A1-8E4C-8DF10A7E6BC6}"/>
    <hyperlink ref="B74" location="Google_Sheet_Link_1108924913" display="gid=149880824" xr:uid="{E2897874-183A-4810-8795-72B12F2F1F2F}"/>
    <hyperlink ref="B75" location="Google_Sheet_Link_1108924913" display="gid=149880824" xr:uid="{D7742899-E478-46CC-93C7-1B2F1A84F581}"/>
    <hyperlink ref="B76" location="Google_Sheet_Link_1108924913" display="gid=149880824" xr:uid="{D8E8AE43-7153-43B4-BAF4-C910E0F9F5A8}"/>
    <hyperlink ref="B77" location="Google_Sheet_Link_1108924913" display="gid=149880824" xr:uid="{6442AE6A-7270-4558-9296-21D327C5BE84}"/>
    <hyperlink ref="B78" location="Google_Sheet_Link_1108924913" display="gid=149880824" xr:uid="{D535C1F3-D53D-4B54-887C-9AD6BD9828A3}"/>
    <hyperlink ref="B79" location="Google_Sheet_Link_1616505558" display="gid=209077879" xr:uid="{2B618038-D2E2-4427-A7CE-CEC746C5D025}"/>
    <hyperlink ref="B80" location="Google_Sheet_Link_1616505558" display="gid=209077879" xr:uid="{23D0FDBC-95B3-41DC-86A4-B985C197BC02}"/>
    <hyperlink ref="B81" location="Google_Sheet_Link_1616505558" display="gid=209077879" xr:uid="{B0789DD9-75A9-437F-97B3-13A6BD7955F6}"/>
    <hyperlink ref="B82" location="Google_Sheet_Link_1616505558" display="gid=209077879" xr:uid="{6DA45D00-8253-481F-83B7-D3EAD77AB042}"/>
    <hyperlink ref="B83" location="Google_Sheet_Link_1616505558" display="gid=209077879" xr:uid="{547C59A4-006D-428D-8B3F-8974041FDC26}"/>
    <hyperlink ref="B84" location="Google_Sheet_Link_1616505558" display="gid=209077879" xr:uid="{70073E98-CD5C-453A-BD74-EF1FEE749593}"/>
    <hyperlink ref="B85" location="Google_Sheet_Link_1616505558" display="gid=209077879" xr:uid="{E2736403-2A19-41C3-80E6-F1C7C5F1AFF6}"/>
    <hyperlink ref="B86" location="Google_Sheet_Link_1616505558" display="gid=209077879" xr:uid="{C3932C87-0161-4976-8402-30BF33DD1975}"/>
    <hyperlink ref="B87" location="Google_Sheet_Link_1616505558" display="gid=209077879" xr:uid="{93CB8A00-F4B7-4B58-9791-871A82581084}"/>
    <hyperlink ref="B88" location="Google_Sheet_Link_1616505558" display="gid=209077879" xr:uid="{B41027D4-72A7-4B59-8E08-BE7DE0117D5A}"/>
    <hyperlink ref="B89" location="Google_Sheet_Link_1616505558" display="gid=209077879" xr:uid="{52B87B39-2FC3-4177-9515-9389420E6CA1}"/>
    <hyperlink ref="B90" location="Google_Sheet_Link_1106366618" display="gid=1706091479" xr:uid="{BE655D4B-FA76-4DAC-9A47-F2AA8613D5BD}"/>
    <hyperlink ref="B91" location="Google_Sheet_Link_1106366618" display="gid=1706091479" xr:uid="{6F5A59DC-800F-491E-B749-1E015C22B039}"/>
    <hyperlink ref="B92" location="Google_Sheet_Link_1106366618" display="gid=1706091479" xr:uid="{38EED5EE-5D7B-4392-9DA7-0E8D5601757A}"/>
    <hyperlink ref="B93" location="Google_Sheet_Link_1106366618" display="gid=1706091479" xr:uid="{B98E7B55-5D3E-4A78-8789-08FDD656DA6C}"/>
    <hyperlink ref="B94" location="Google_Sheet_Link_1106366618" display="gid=1706091479" xr:uid="{220416AC-6CF2-4A93-AA6A-69562D4ADDAA}"/>
    <hyperlink ref="B95" location="Google_Sheet_Link_1106366618" display="gid=1706091479" xr:uid="{2AEFA8AD-FA91-4CC5-8431-770CD88BD097}"/>
    <hyperlink ref="B96" location="Google_Sheet_Link_1106366618" display="gid=1706091479" xr:uid="{99048D13-4A9F-4FDF-AC01-218EE9673162}"/>
    <hyperlink ref="B97" location="Google_Sheet_Link_1106366618" display="gid=1706091479" xr:uid="{1788A68C-D8D5-44C4-B388-E4F39EC86929}"/>
    <hyperlink ref="B98" location="Google_Sheet_Link_1106366618" display="gid=1706091479" xr:uid="{A4846134-26B5-4F5E-9257-12336825FDEA}"/>
    <hyperlink ref="B99" location="Google_Sheet_Link_1106366618" display="gid=1706091479" xr:uid="{0BA92388-3A62-4B61-AADB-959F35AE120A}"/>
    <hyperlink ref="B100" location="Google_Sheet_Link_1106366618" display="gid=1706091479" xr:uid="{88AAF666-A006-4347-A348-8A6F1A7AA91A}"/>
    <hyperlink ref="B101" location="Google_Sheet_Link_944660560" display="gid=2051595220" xr:uid="{11D9B58B-47F5-4DAD-941B-B03F2E10D7BF}"/>
    <hyperlink ref="B102" location="Google_Sheet_Link_944660560" display="gid=2051595220" xr:uid="{3DFFE8E7-AD45-409F-BDD0-D08A7E04AF77}"/>
    <hyperlink ref="B103" location="Google_Sheet_Link_944660560" display="gid=2051595220" xr:uid="{02A9FA9B-CD61-4A73-899D-196F176B59FE}"/>
    <hyperlink ref="B104" location="Google_Sheet_Link_944660560" display="gid=2051595220" xr:uid="{A22E6667-282D-440F-8A98-2F59E204FA94}"/>
    <hyperlink ref="B105" location="Google_Sheet_Link_944660560" display="gid=2051595220" xr:uid="{53D58192-6528-43D4-B40D-49667D87490B}"/>
    <hyperlink ref="B106" location="Google_Sheet_Link_944660560" display="gid=2051595220" xr:uid="{4517EC08-67AD-44B6-91D5-45C7FDF2F3FF}"/>
    <hyperlink ref="B107" location="Google_Sheet_Link_944660560" display="gid=2051595220" xr:uid="{322A0CC4-E52B-4A01-9239-B248BB05A48B}"/>
    <hyperlink ref="B108" location="Google_Sheet_Link_944660560" display="gid=2051595220" xr:uid="{745AB33E-E709-469F-B0C0-E3EFCBBA4D5F}"/>
    <hyperlink ref="B109" location="Google_Sheet_Link_944660560" display="gid=2051595220" xr:uid="{56E4E404-92F3-4394-81ED-1478132B5AE1}"/>
    <hyperlink ref="B110" location="Google_Sheet_Link_944660560" display="gid=2051595220" xr:uid="{BFF49D55-9F24-400C-80DA-EACB05FE4AEE}"/>
    <hyperlink ref="B111" location="Google_Sheet_Link_944660560" display="gid=2051595220" xr:uid="{6249381E-77E4-46F5-A779-8F657DA0F821}"/>
    <hyperlink ref="B112" location="Google_Sheet_Link_999164479" display="gid=1027498431" xr:uid="{23CFEA76-9C8F-4076-890D-582357315B3F}"/>
    <hyperlink ref="B113" location="Google_Sheet_Link_999164479" display="gid=1027498431" xr:uid="{5EF8C6C6-1588-44D3-A6B5-91103A7C081C}"/>
    <hyperlink ref="B114" location="Google_Sheet_Link_999164479" display="gid=1027498431" xr:uid="{200D4B42-3D2B-4C6F-BDD5-7C05566E9EF6}"/>
    <hyperlink ref="B115" location="Google_Sheet_Link_999164479" display="gid=1027498431" xr:uid="{B5954432-3A43-4ECE-8118-BEE12DADCCD1}"/>
    <hyperlink ref="B116" location="Google_Sheet_Link_999164479" display="gid=1027498431" xr:uid="{3EEA0A7E-9168-4717-B26C-6CA5467E278A}"/>
    <hyperlink ref="B117" location="Google_Sheet_Link_999164479" display="gid=1027498431" xr:uid="{AB5ACBB9-6C0E-43C4-8A16-DBA0856CC5CC}"/>
    <hyperlink ref="B118" location="Google_Sheet_Link_999164479" display="gid=1027498431" xr:uid="{29D3CD18-F83D-46A9-9807-6870FD01CC3C}"/>
    <hyperlink ref="B119" location="Google_Sheet_Link_999164479" display="gid=1027498431" xr:uid="{BEC53CCA-C838-48D0-897C-5F21E6738A67}"/>
    <hyperlink ref="B120" location="Google_Sheet_Link_999164479" display="gid=1027498431" xr:uid="{CE80A157-F753-480B-AF2A-67BD4F2CD122}"/>
    <hyperlink ref="B121" location="Google_Sheet_Link_999164479" display="gid=1027498431" xr:uid="{305D22D3-D248-4AF7-9F91-E50C94568F2D}"/>
    <hyperlink ref="B122" location="Google_Sheet_Link_999164479" display="gid=1027498431" xr:uid="{469DF737-9FCA-4105-BD00-2562F787A15C}"/>
    <hyperlink ref="B123" location="Google_Sheet_Link_422197073" display="gid=742744125" xr:uid="{35C47991-DE5C-4F96-8402-6A39B6A587E1}"/>
    <hyperlink ref="B124" location="Google_Sheet_Link_422197073" display="gid=742744125" xr:uid="{2B4CA21E-B882-4148-92CE-35BD64961195}"/>
    <hyperlink ref="B125" location="Google_Sheet_Link_422197073" display="gid=742744125" xr:uid="{48E90292-0540-43C0-A6CB-381A9E4B9EB3}"/>
    <hyperlink ref="B126" location="Google_Sheet_Link_422197073" display="gid=742744125" xr:uid="{6D9A139C-B36F-4AC7-BF9E-C9AF0180A122}"/>
    <hyperlink ref="B127" location="Google_Sheet_Link_422197073" display="gid=742744125" xr:uid="{6CD8253F-3218-4761-B86F-56CDF9F31F58}"/>
    <hyperlink ref="B128" location="Google_Sheet_Link_422197073" display="gid=742744125" xr:uid="{6AD532DC-AE65-424D-BB6F-7CCF9E75EE21}"/>
    <hyperlink ref="B129" location="Google_Sheet_Link_422197073" display="gid=742744125" xr:uid="{6F223913-0A41-492E-B0B1-63A92AE72B99}"/>
    <hyperlink ref="B130" location="Google_Sheet_Link_422197073" display="gid=742744125" xr:uid="{CAB6B4B2-0AD6-44D9-AC31-85861A6FE0D8}"/>
    <hyperlink ref="B131" location="Google_Sheet_Link_422197073" display="gid=742744125" xr:uid="{83505D56-5D55-4EBB-BD75-25DBB9B7481D}"/>
    <hyperlink ref="B132" location="Google_Sheet_Link_422197073" display="gid=742744125" xr:uid="{707A0339-E261-44C6-9A1F-54A5BE3511AC}"/>
    <hyperlink ref="B133" location="Google_Sheet_Link_422197073" display="gid=742744125" xr:uid="{443AE6F0-8B63-421B-8651-ED3F099B7F94}"/>
    <hyperlink ref="B134" location="Google_Sheet_Link_950687893" display="gid=2143480939" xr:uid="{554E89E8-7FD8-40E5-9C98-F2B0C1EE5684}"/>
    <hyperlink ref="B135" location="Google_Sheet_Link_950687893" display="gid=2143480939" xr:uid="{8C69F407-646F-4C55-AD91-1F0B79BE2259}"/>
    <hyperlink ref="B136" location="Google_Sheet_Link_950687893" display="gid=2143480939" xr:uid="{E52EA4F5-6C8D-43D3-B642-5DF5C09FE126}"/>
    <hyperlink ref="B137" location="Google_Sheet_Link_950687893" display="gid=2143480939" xr:uid="{89A43F8E-1FB0-494C-A9FC-B2203714E36A}"/>
    <hyperlink ref="B138" location="Google_Sheet_Link_950687893" display="gid=2143480939" xr:uid="{82B61F8B-0F4D-483D-BA98-7535DDB561AA}"/>
    <hyperlink ref="B139" location="Google_Sheet_Link_950687893" display="gid=2143480939" xr:uid="{9024FCC7-3DFF-4D97-88F1-4EF4EDE7FE08}"/>
    <hyperlink ref="B140" location="Google_Sheet_Link_950687893" display="gid=2143480939" xr:uid="{5A3F8036-B68A-4124-AE66-89ECFC13DAF3}"/>
    <hyperlink ref="B141" location="Google_Sheet_Link_950687893" display="gid=2143480939" xr:uid="{FAB8DD95-A6B0-4C08-9787-E71E75130034}"/>
    <hyperlink ref="B142" location="Google_Sheet_Link_950687893" display="gid=2143480939" xr:uid="{2FD0B0AC-CDCF-40F4-A173-02A966F0212F}"/>
    <hyperlink ref="B143" location="Google_Sheet_Link_950687893" display="gid=2143480939" xr:uid="{93E9C3E1-C4A1-4E3F-99BA-F4CB8AA5727E}"/>
    <hyperlink ref="B144" location="Google_Sheet_Link_950687893" display="gid=2143480939" xr:uid="{1A898CE7-15B8-4C96-AC12-B327F64E7FB0}"/>
    <hyperlink ref="B145" location="Google_Sheet_Link_1201242299" display="gid=2011127621" xr:uid="{44137621-58EE-49C8-899A-EB7C5F548632}"/>
    <hyperlink ref="B146" location="Google_Sheet_Link_1201242299" display="gid=2011127621" xr:uid="{0E4287D3-5D6C-4862-A18D-B091AA653187}"/>
    <hyperlink ref="B147" location="Google_Sheet_Link_1201242299" display="gid=2011127621" xr:uid="{4829136D-C633-4518-B7EF-7B35F1920529}"/>
    <hyperlink ref="B148" location="Google_Sheet_Link_1201242299" display="gid=2011127621" xr:uid="{8688279F-E5A4-414C-932A-C8283F3262AE}"/>
    <hyperlink ref="B149" location="Google_Sheet_Link_1201242299" display="gid=2011127621" xr:uid="{82CBDA09-B992-45F3-BCC9-4CC04A315120}"/>
    <hyperlink ref="B150" location="Google_Sheet_Link_1201242299" display="gid=2011127621" xr:uid="{544394E9-FE22-4EFC-A512-25BFE0BEF8C4}"/>
    <hyperlink ref="B151" location="Google_Sheet_Link_1201242299" display="gid=2011127621" xr:uid="{0FE4AC44-77FD-4D6F-90E2-4CF57BEC17C7}"/>
    <hyperlink ref="B152" location="Google_Sheet_Link_1201242299" display="gid=2011127621" xr:uid="{B5ABDF04-39B5-439A-855D-31C811FED642}"/>
    <hyperlink ref="B153" location="Google_Sheet_Link_1201242299" display="gid=2011127621" xr:uid="{F591B0F6-E9A7-486E-B952-9D826ACE55BA}"/>
    <hyperlink ref="B154" location="Google_Sheet_Link_1201242299" display="gid=2011127621" xr:uid="{19DC56B6-37C5-4B38-B891-06D2A29D3F17}"/>
    <hyperlink ref="B155" location="Google_Sheet_Link_1201242299" display="gid=2011127621" xr:uid="{BE772067-93E5-4B23-84E7-88CFA7412F1A}"/>
    <hyperlink ref="B156" location="Google_Sheet_Link_2000635519" display="gid=52390556" xr:uid="{FFFE23FC-DFD3-4CA1-BEF4-01E42F7AE982}"/>
    <hyperlink ref="B157" location="Google_Sheet_Link_2000635519" display="gid=52390556" xr:uid="{DCC6DE41-0261-4D82-BEBC-BD00B9BAFB14}"/>
    <hyperlink ref="B158" location="Google_Sheet_Link_2000635519" display="gid=52390556" xr:uid="{523BA1A7-1E18-4F46-927B-023205A3DE07}"/>
    <hyperlink ref="B159" location="Google_Sheet_Link_2000635519" display="gid=52390556" xr:uid="{7C7BCDCD-C840-4565-9210-F66D5EE7D0DA}"/>
    <hyperlink ref="B160" location="Google_Sheet_Link_2000635519" display="gid=52390556" xr:uid="{646D1AAC-EFA1-4B09-BEBD-760EECDAC365}"/>
    <hyperlink ref="B161" location="Google_Sheet_Link_2000635519" display="gid=52390556" xr:uid="{F3602716-7824-4002-A540-119C243C5C28}"/>
    <hyperlink ref="B162" location="Google_Sheet_Link_2000635519" display="gid=52390556" xr:uid="{32232063-E464-4146-9560-1101B6CEF0BE}"/>
    <hyperlink ref="B163" location="Google_Sheet_Link_2000635519" display="gid=52390556" xr:uid="{86F281EC-2F76-4134-A33B-F41331829FFA}"/>
    <hyperlink ref="B164" location="Google_Sheet_Link_2000635519" display="gid=52390556" xr:uid="{DD368421-8BE3-47ED-9707-EDAA8582E0BA}"/>
    <hyperlink ref="B165" location="Google_Sheet_Link_2000635519" display="gid=52390556" xr:uid="{5DF07F3C-2C98-4E02-A69D-DC1DC8594442}"/>
    <hyperlink ref="B166" location="Google_Sheet_Link_2000635519" display="gid=52390556" xr:uid="{F63C128F-B73E-4B95-AB9C-1B28FAD0D62C}"/>
    <hyperlink ref="B167" location="Google_Sheet_Link_1712747947" display="gid=959466057" xr:uid="{3E8AEFFD-B4AD-434F-A564-B61B8B9D5CD6}"/>
    <hyperlink ref="B168" location="Google_Sheet_Link_1712747947" display="gid=959466057" xr:uid="{1F15C4BA-A9C2-4257-8D58-2D8182DD94D7}"/>
    <hyperlink ref="B169" location="Google_Sheet_Link_1712747947" display="gid=959466057" xr:uid="{DB53A81E-8B78-4B16-840D-2FFD2C114E77}"/>
    <hyperlink ref="B170" location="Google_Sheet_Link_1712747947" display="gid=959466057" xr:uid="{AC0E73BB-6DC0-45A6-82DC-DCB721337D5F}"/>
    <hyperlink ref="B171" location="Google_Sheet_Link_1712747947" display="gid=959466057" xr:uid="{56DCCFD1-52EC-49A1-BC03-758E9D0F9DF1}"/>
    <hyperlink ref="B172" location="Google_Sheet_Link_1712747947" display="gid=959466057" xr:uid="{ECAC1F20-959D-4189-A182-CE79D9474D5F}"/>
    <hyperlink ref="B173" location="Google_Sheet_Link_1712747947" display="gid=959466057" xr:uid="{06FEAEE8-BC5F-4663-BB9F-5E5E1A7F4153}"/>
    <hyperlink ref="B174" location="Google_Sheet_Link_1712747947" display="gid=959466057" xr:uid="{8EAE20C0-E6BE-4620-99AC-D459E557E7B9}"/>
    <hyperlink ref="B175" location="Google_Sheet_Link_1712747947" display="gid=959466057" xr:uid="{87D015C5-10CA-4D95-BED2-49FB7663C84B}"/>
    <hyperlink ref="B176" location="Google_Sheet_Link_1712747947" display="gid=959466057" xr:uid="{781CDE0E-81CB-438A-ADB9-79AF2CF9D735}"/>
    <hyperlink ref="B177" location="Google_Sheet_Link_1712747947" display="gid=959466057" xr:uid="{40D48F26-2709-42CF-935F-4398DA5141B3}"/>
    <hyperlink ref="B178" location="Google_Sheet_Link_894295914" display="gid=1588052260" xr:uid="{515F125D-E943-4308-8BFE-42880272E137}"/>
    <hyperlink ref="B179" location="Google_Sheet_Link_894295914" display="gid=1588052260" xr:uid="{730AC2EC-A1BB-4D65-B8EF-776E0ACAB7C5}"/>
    <hyperlink ref="B180" location="Google_Sheet_Link_894295914" display="gid=1588052260" xr:uid="{1F21A204-F7DC-4BCC-BF69-FDB99855A50E}"/>
    <hyperlink ref="B181" location="Google_Sheet_Link_894295914" display="gid=1588052260" xr:uid="{B259452C-6607-47AE-A2BF-A83347084762}"/>
    <hyperlink ref="B182" location="Google_Sheet_Link_894295914" display="gid=1588052260" xr:uid="{6B5CCCFD-A2B1-4738-8160-5DFA76BE881F}"/>
    <hyperlink ref="B183" location="Google_Sheet_Link_894295914" display="gid=1588052260" xr:uid="{89939BFC-12C0-4BC2-BFB6-DA1A51011C01}"/>
    <hyperlink ref="B184" location="Google_Sheet_Link_894295914" display="gid=1588052260" xr:uid="{70AA84B0-57E3-40FA-9A14-7DA641177A5A}"/>
    <hyperlink ref="B185" location="Google_Sheet_Link_894295914" display="gid=1588052260" xr:uid="{E0D6A458-AE29-49E7-91D2-861BA5D50376}"/>
    <hyperlink ref="B186" location="Google_Sheet_Link_894295914" display="gid=1588052260" xr:uid="{D11876D9-3A6E-443B-A026-0D4772C72C56}"/>
    <hyperlink ref="B187" location="Google_Sheet_Link_894295914" display="gid=1588052260" xr:uid="{E01CC1A7-C89E-4663-8024-FD47799A5C70}"/>
    <hyperlink ref="B188" location="Google_Sheet_Link_894295914" display="gid=1588052260" xr:uid="{F6C772D8-43E8-46F9-8F22-5210F4AF6F4C}"/>
    <hyperlink ref="B189" location="Google_Sheet_Link_1080299198" display="gid=572026007" xr:uid="{5372AEE6-7EC7-4C33-9238-EA4FB2B40CBE}"/>
    <hyperlink ref="B190" location="Google_Sheet_Link_1080299198" display="gid=572026007" xr:uid="{8B5C39AB-E973-4F57-8621-3159C819EDAD}"/>
    <hyperlink ref="B191" location="Google_Sheet_Link_1080299198" display="gid=572026007" xr:uid="{1E15CF1A-E8F3-49A1-982F-285D995B37FF}"/>
    <hyperlink ref="B192" location="Google_Sheet_Link_1080299198" display="gid=572026007" xr:uid="{9033541C-53FD-4133-9A01-A6E7142E6D6A}"/>
    <hyperlink ref="B193" location="Google_Sheet_Link_1080299198" display="gid=572026007" xr:uid="{95B8B8CF-19BD-4847-96D3-F227C53D74B1}"/>
    <hyperlink ref="B194" location="Google_Sheet_Link_1080299198" display="gid=572026007" xr:uid="{D33DB72E-533B-4C92-A911-4AF04B84B8B4}"/>
    <hyperlink ref="B195" location="Google_Sheet_Link_1080299198" display="gid=572026007" xr:uid="{8E98D68E-15B1-477B-9AB1-0A4632E39752}"/>
    <hyperlink ref="B196" location="Google_Sheet_Link_1080299198" display="gid=572026007" xr:uid="{4DB5CBE6-1EAC-4A12-B1DF-8F51DE3DBE78}"/>
    <hyperlink ref="B197" location="Google_Sheet_Link_1080299198" display="gid=572026007" xr:uid="{40B93986-0815-4DBC-B214-66FBCC29D714}"/>
    <hyperlink ref="B198" location="Google_Sheet_Link_1080299198" display="gid=572026007" xr:uid="{DF6C1D86-14C8-431C-BC25-679753B3DD93}"/>
    <hyperlink ref="B199" location="Google_Sheet_Link_1080299198" display="gid=572026007" xr:uid="{6DC372A3-CDDF-43DE-BC1C-45D75C600D67}"/>
    <hyperlink ref="B200" location="Google_Sheet_Link_316110074" display="gid=777362237" xr:uid="{A0D77DAD-7140-47FC-A1AF-53F8E11A9859}"/>
    <hyperlink ref="B201" location="Google_Sheet_Link_316110074" display="gid=777362237" xr:uid="{892FCAFF-8D94-4A54-9D75-77B7897D890F}"/>
    <hyperlink ref="B202" location="Google_Sheet_Link_316110074" display="gid=777362237" xr:uid="{367C065E-64EF-452C-B9E8-469BD4ACA862}"/>
    <hyperlink ref="B203" location="Google_Sheet_Link_316110074" display="gid=777362237" xr:uid="{FD90F714-BD45-4237-9243-84E0E57672D8}"/>
    <hyperlink ref="B204" location="Google_Sheet_Link_316110074" display="gid=777362237" xr:uid="{DE0AAD09-F750-4268-91FA-7F8CD098FE05}"/>
    <hyperlink ref="B205" location="Google_Sheet_Link_316110074" display="gid=777362237" xr:uid="{9BB91954-0D87-465D-95C9-24B143D7A2AA}"/>
    <hyperlink ref="B206" location="Google_Sheet_Link_316110074" display="gid=777362237" xr:uid="{D31A906B-110E-46D8-B11C-06DAC535DA2A}"/>
    <hyperlink ref="B207" location="Google_Sheet_Link_316110074" display="gid=777362237" xr:uid="{90710C2B-95D8-487C-9EC0-4114E7927F28}"/>
    <hyperlink ref="B208" location="Google_Sheet_Link_316110074" display="gid=777362237" xr:uid="{7C822C2B-4EE6-4EEB-96BE-1A2EA30E63CF}"/>
    <hyperlink ref="B209" location="Google_Sheet_Link_316110074" display="gid=777362237" xr:uid="{C5475A43-0AC7-4F89-A7EB-FD1AB5F7C104}"/>
    <hyperlink ref="B210" location="Google_Sheet_Link_316110074" display="gid=777362237" xr:uid="{73FA93C7-5281-4883-8088-6A3B328E11D1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433C-E5CA-4607-8626-F9FF653DF4E9}">
  <dimension ref="A1:E1000"/>
  <sheetViews>
    <sheetView workbookViewId="0"/>
  </sheetViews>
  <sheetFormatPr baseColWidth="10" defaultRowHeight="15" customHeight="1"/>
  <cols>
    <col min="1" max="1" width="11.28515625" customWidth="1"/>
    <col min="2" max="2" width="28.5703125" customWidth="1"/>
    <col min="3" max="26" width="11.28515625" customWidth="1"/>
    <col min="27" max="1024" width="15.28515625" customWidth="1"/>
  </cols>
  <sheetData>
    <row r="1" spans="1:5" ht="14.25" customHeight="1">
      <c r="A1" s="20" t="s">
        <v>477</v>
      </c>
      <c r="B1" s="20" t="s">
        <v>478</v>
      </c>
      <c r="C1" s="20" t="str">
        <f>'Entrenamiento Deportivo'!B61</f>
        <v>INDICADORES</v>
      </c>
      <c r="D1" s="20" t="str">
        <f>'Entrenamiento Deportivo'!D61</f>
        <v>N° IND</v>
      </c>
      <c r="E1" s="20" t="str">
        <f>'Entrenamiento Deportivo'!E61</f>
        <v>%</v>
      </c>
    </row>
    <row r="2" spans="1:5" ht="14.25" customHeight="1">
      <c r="A2" s="20">
        <v>2025</v>
      </c>
      <c r="B2" s="20" t="s">
        <v>479</v>
      </c>
      <c r="C2" s="20" t="str">
        <f>'Entrenamiento Deportivo'!B62</f>
        <v>VERDE</v>
      </c>
      <c r="D2" s="20">
        <f>'Entrenamiento Deportivo'!D62</f>
        <v>31</v>
      </c>
      <c r="E2" s="62">
        <f>'Entrenamiento Deportivo'!E62</f>
        <v>0.81578947368421051</v>
      </c>
    </row>
    <row r="3" spans="1:5" ht="14.25" customHeight="1">
      <c r="A3" s="20">
        <v>2025</v>
      </c>
      <c r="B3" s="20" t="s">
        <v>479</v>
      </c>
      <c r="C3" s="20" t="str">
        <f>'Entrenamiento Deportivo'!B63</f>
        <v>AMARILLO</v>
      </c>
      <c r="D3" s="20">
        <f>'Entrenamiento Deportivo'!D63</f>
        <v>1</v>
      </c>
      <c r="E3" s="62">
        <f>'Entrenamiento Deportivo'!E63</f>
        <v>2.6315789473684209E-2</v>
      </c>
    </row>
    <row r="4" spans="1:5" ht="14.25" customHeight="1">
      <c r="A4" s="20">
        <v>2025</v>
      </c>
      <c r="B4" s="20" t="s">
        <v>479</v>
      </c>
      <c r="C4" s="20" t="str">
        <f>'Entrenamiento Deportivo'!B64</f>
        <v>NARANJA</v>
      </c>
      <c r="D4" s="20">
        <f>'Entrenamiento Deportivo'!D64</f>
        <v>0</v>
      </c>
      <c r="E4" s="62">
        <f>'Entrenamiento Deportivo'!E64</f>
        <v>0</v>
      </c>
    </row>
    <row r="5" spans="1:5" ht="14.25" customHeight="1">
      <c r="A5" s="20">
        <v>2025</v>
      </c>
      <c r="B5" s="20" t="s">
        <v>479</v>
      </c>
      <c r="C5" s="20" t="str">
        <f>'Entrenamiento Deportivo'!B65</f>
        <v>ROJO</v>
      </c>
      <c r="D5" s="20">
        <f>'Entrenamiento Deportivo'!D65</f>
        <v>6</v>
      </c>
      <c r="E5" s="62">
        <f>'Entrenamiento Deportivo'!E65</f>
        <v>0.15789473684210525</v>
      </c>
    </row>
    <row r="6" spans="1:5" ht="14.25" customHeight="1">
      <c r="A6" s="20">
        <v>2025</v>
      </c>
      <c r="B6" s="20" t="s">
        <v>479</v>
      </c>
      <c r="C6" s="20" t="str">
        <f>'Entrenamiento Deportivo'!B66</f>
        <v>TOTAL:</v>
      </c>
      <c r="D6" s="20">
        <f>'Entrenamiento Deportivo'!D66</f>
        <v>38</v>
      </c>
      <c r="E6" s="62">
        <f>'Entrenamiento Deportivo'!E66</f>
        <v>1</v>
      </c>
    </row>
    <row r="7" spans="1:5" ht="14.25" customHeight="1">
      <c r="A7" s="20">
        <v>2025</v>
      </c>
      <c r="B7" s="20" t="s">
        <v>480</v>
      </c>
      <c r="C7" s="20" t="str">
        <f>Penitenciaria!B62</f>
        <v>VERDE</v>
      </c>
      <c r="D7" s="20">
        <f>Penitenciaria!D62</f>
        <v>30</v>
      </c>
      <c r="E7" s="62">
        <f>Penitenciaria!E62</f>
        <v>0.78947368421052633</v>
      </c>
    </row>
    <row r="8" spans="1:5" ht="14.25" customHeight="1">
      <c r="A8" s="20">
        <v>2025</v>
      </c>
      <c r="B8" s="20" t="s">
        <v>480</v>
      </c>
      <c r="C8" s="20" t="str">
        <f>Penitenciaria!B63</f>
        <v>AMARILLO</v>
      </c>
      <c r="D8" s="20">
        <f>Penitenciaria!D63</f>
        <v>4</v>
      </c>
      <c r="E8" s="62">
        <f>Penitenciaria!E63</f>
        <v>0.10526315789473684</v>
      </c>
    </row>
    <row r="9" spans="1:5" ht="14.25" customHeight="1">
      <c r="A9" s="20">
        <v>2025</v>
      </c>
      <c r="B9" s="20" t="s">
        <v>480</v>
      </c>
      <c r="C9" s="20" t="str">
        <f>Penitenciaria!B64</f>
        <v>NARANJA</v>
      </c>
      <c r="D9" s="20">
        <f>Penitenciaria!D64</f>
        <v>0</v>
      </c>
      <c r="E9" s="62">
        <f>Penitenciaria!E64</f>
        <v>0</v>
      </c>
    </row>
    <row r="10" spans="1:5" ht="14.25" customHeight="1">
      <c r="A10" s="20">
        <v>2025</v>
      </c>
      <c r="B10" s="20" t="s">
        <v>480</v>
      </c>
      <c r="C10" s="20" t="str">
        <f>Penitenciaria!B65</f>
        <v>ROJO</v>
      </c>
      <c r="D10" s="20">
        <f>Penitenciaria!D65</f>
        <v>4</v>
      </c>
      <c r="E10" s="62">
        <f>Penitenciaria!E65</f>
        <v>0.10526315789473684</v>
      </c>
    </row>
    <row r="11" spans="1:5" ht="14.25" customHeight="1">
      <c r="A11" s="20">
        <v>2025</v>
      </c>
      <c r="B11" s="20" t="s">
        <v>480</v>
      </c>
      <c r="C11" s="20" t="str">
        <f>Penitenciaria!B66</f>
        <v>TOTAL:</v>
      </c>
      <c r="D11" s="20">
        <f>Penitenciaria!D66</f>
        <v>38</v>
      </c>
      <c r="E11" s="62">
        <f>Penitenciaria!E66</f>
        <v>1</v>
      </c>
    </row>
    <row r="12" spans="1:5" ht="14.25" customHeight="1">
      <c r="A12" s="20">
        <v>2025</v>
      </c>
      <c r="B12" s="20" t="s">
        <v>481</v>
      </c>
      <c r="C12" s="20" t="str">
        <f>'Plataformas tecnológicas'!B62</f>
        <v>VERDE</v>
      </c>
      <c r="D12" s="20">
        <f>'Plataformas tecnológicas'!D62</f>
        <v>36</v>
      </c>
      <c r="E12" s="62">
        <f>'Plataformas tecnológicas'!E62</f>
        <v>0.94736842105263153</v>
      </c>
    </row>
    <row r="13" spans="1:5" ht="14.25" customHeight="1">
      <c r="A13" s="20">
        <v>2025</v>
      </c>
      <c r="B13" s="20" t="s">
        <v>481</v>
      </c>
      <c r="C13" s="20" t="str">
        <f>'Plataformas tecnológicas'!B63</f>
        <v>AMARILLO</v>
      </c>
      <c r="D13" s="20">
        <f>'Plataformas tecnológicas'!D63</f>
        <v>2</v>
      </c>
      <c r="E13" s="62">
        <f>'Plataformas tecnológicas'!E63</f>
        <v>5.2631578947368418E-2</v>
      </c>
    </row>
    <row r="14" spans="1:5" ht="14.25" customHeight="1">
      <c r="A14" s="20">
        <v>2025</v>
      </c>
      <c r="B14" s="20" t="s">
        <v>481</v>
      </c>
      <c r="C14" s="20" t="str">
        <f>'Plataformas tecnológicas'!B64</f>
        <v>NARANJA</v>
      </c>
      <c r="D14" s="20">
        <f>'Plataformas tecnológicas'!D64</f>
        <v>0</v>
      </c>
      <c r="E14" s="62">
        <f>'Plataformas tecnológicas'!E64</f>
        <v>0</v>
      </c>
    </row>
    <row r="15" spans="1:5" ht="14.25" customHeight="1">
      <c r="A15" s="20">
        <v>2025</v>
      </c>
      <c r="B15" s="20" t="s">
        <v>481</v>
      </c>
      <c r="C15" s="20" t="str">
        <f>'Plataformas tecnológicas'!B65</f>
        <v>ROJO</v>
      </c>
      <c r="D15" s="20">
        <f>'Plataformas tecnológicas'!D65</f>
        <v>0</v>
      </c>
      <c r="E15" s="62">
        <f>'Plataformas tecnológicas'!E65</f>
        <v>0</v>
      </c>
    </row>
    <row r="16" spans="1:5" ht="14.25" customHeight="1">
      <c r="A16" s="20">
        <v>2025</v>
      </c>
      <c r="B16" s="20" t="s">
        <v>481</v>
      </c>
      <c r="C16" s="20" t="str">
        <f>'Plataformas tecnológicas'!B66</f>
        <v>TOTAL:</v>
      </c>
      <c r="D16" s="20">
        <f>'Plataformas tecnológicas'!D66</f>
        <v>38</v>
      </c>
      <c r="E16" s="62">
        <f>'Plataformas tecnológicas'!E66</f>
        <v>1</v>
      </c>
    </row>
    <row r="17" spans="1:5" ht="14.25" customHeight="1">
      <c r="A17" s="20">
        <v>2025</v>
      </c>
      <c r="B17" s="20" t="s">
        <v>482</v>
      </c>
      <c r="C17" s="20" t="str">
        <f>'Universitaria de Entrenamiento'!B62</f>
        <v>VERDE</v>
      </c>
      <c r="D17" s="20">
        <f>'Universitaria de Entrenamiento'!D62</f>
        <v>0</v>
      </c>
      <c r="E17" s="62">
        <f>'Universitaria de Entrenamiento'!E62</f>
        <v>0</v>
      </c>
    </row>
    <row r="18" spans="1:5" ht="14.25" customHeight="1">
      <c r="A18" s="20">
        <v>2025</v>
      </c>
      <c r="B18" s="20" t="s">
        <v>482</v>
      </c>
      <c r="C18" s="20" t="str">
        <f>'Universitaria de Entrenamiento'!B63</f>
        <v>AMARILLO</v>
      </c>
      <c r="D18" s="20">
        <f>'Universitaria de Entrenamiento'!D63</f>
        <v>0</v>
      </c>
      <c r="E18" s="62">
        <f>'Universitaria de Entrenamiento'!E63</f>
        <v>0</v>
      </c>
    </row>
    <row r="19" spans="1:5" ht="14.25" customHeight="1">
      <c r="A19" s="20">
        <v>2025</v>
      </c>
      <c r="B19" s="20" t="s">
        <v>482</v>
      </c>
      <c r="C19" s="20" t="str">
        <f>'Universitaria de Entrenamiento'!B64</f>
        <v>NARANJA</v>
      </c>
      <c r="D19" s="20">
        <f>'Universitaria de Entrenamiento'!D64</f>
        <v>0</v>
      </c>
      <c r="E19" s="62">
        <f>'Universitaria de Entrenamiento'!E64</f>
        <v>0</v>
      </c>
    </row>
    <row r="20" spans="1:5" ht="14.25" customHeight="1">
      <c r="A20" s="20">
        <v>2025</v>
      </c>
      <c r="B20" s="20" t="s">
        <v>482</v>
      </c>
      <c r="C20" s="20" t="str">
        <f>'Universitaria de Entrenamiento'!B65</f>
        <v>ROJO</v>
      </c>
      <c r="D20" s="20">
        <f>'Universitaria de Entrenamiento'!D65</f>
        <v>38</v>
      </c>
      <c r="E20" s="62">
        <f>'Universitaria de Entrenamiento'!E65</f>
        <v>1</v>
      </c>
    </row>
    <row r="21" spans="1:5" ht="14.25" customHeight="1">
      <c r="A21" s="20">
        <v>2025</v>
      </c>
      <c r="B21" s="20" t="s">
        <v>482</v>
      </c>
      <c r="C21" s="20" t="str">
        <f>'Universitaria de Entrenamiento'!B66</f>
        <v>TOTAL:</v>
      </c>
      <c r="D21" s="20">
        <f>'Universitaria de Entrenamiento'!D66</f>
        <v>38</v>
      </c>
      <c r="E21" s="62">
        <f>'Universitaria de Entrenamiento'!E66</f>
        <v>1</v>
      </c>
    </row>
    <row r="22" spans="1:5" ht="14.25" customHeight="1">
      <c r="A22" s="20">
        <v>2025</v>
      </c>
      <c r="B22" s="20" t="s">
        <v>483</v>
      </c>
      <c r="C22" s="20" t="str">
        <f>'Universitaria Software'!B62</f>
        <v>VERDE</v>
      </c>
      <c r="D22" s="20">
        <f>'Universitaria Software'!D62</f>
        <v>32</v>
      </c>
      <c r="E22" s="62">
        <f>'Universitaria Software'!E62</f>
        <v>0.84210526315789469</v>
      </c>
    </row>
    <row r="23" spans="1:5" ht="14.25" customHeight="1">
      <c r="A23" s="20">
        <v>2025</v>
      </c>
      <c r="B23" s="20" t="s">
        <v>483</v>
      </c>
      <c r="C23" s="20" t="str">
        <f>'Universitaria Software'!B63</f>
        <v>AMARILLO</v>
      </c>
      <c r="D23" s="20">
        <f>'Universitaria Software'!D63</f>
        <v>1</v>
      </c>
      <c r="E23" s="62">
        <f>'Universitaria Software'!E63</f>
        <v>2.6315789473684209E-2</v>
      </c>
    </row>
    <row r="24" spans="1:5" ht="14.25" customHeight="1">
      <c r="A24" s="20">
        <v>2025</v>
      </c>
      <c r="B24" s="20" t="s">
        <v>483</v>
      </c>
      <c r="C24" s="20" t="str">
        <f>'Universitaria Software'!B64</f>
        <v>NARANJA</v>
      </c>
      <c r="D24" s="20">
        <f>'Universitaria Software'!D64</f>
        <v>0</v>
      </c>
      <c r="E24" s="62">
        <f>'Universitaria Software'!E64</f>
        <v>0</v>
      </c>
    </row>
    <row r="25" spans="1:5" ht="14.25" customHeight="1">
      <c r="A25" s="20">
        <v>2025</v>
      </c>
      <c r="B25" s="20" t="s">
        <v>483</v>
      </c>
      <c r="C25" s="20" t="str">
        <f>'Universitaria Software'!B65</f>
        <v>ROJO</v>
      </c>
      <c r="D25" s="20">
        <f>'Universitaria Software'!D65</f>
        <v>5</v>
      </c>
      <c r="E25" s="62">
        <f>'Universitaria Software'!E65</f>
        <v>0.13157894736842105</v>
      </c>
    </row>
    <row r="26" spans="1:5" ht="14.25" customHeight="1">
      <c r="A26" s="20">
        <v>2025</v>
      </c>
      <c r="B26" s="20" t="s">
        <v>483</v>
      </c>
      <c r="C26" s="20" t="str">
        <f>'Universitaria Software'!B66</f>
        <v>TOTAL:</v>
      </c>
      <c r="D26" s="20">
        <f>'Universitaria Software'!D66</f>
        <v>38</v>
      </c>
      <c r="E26" s="62">
        <f>'Universitaria Software'!E66</f>
        <v>1</v>
      </c>
    </row>
    <row r="27" spans="1:5" ht="14.25" customHeight="1">
      <c r="A27" s="20">
        <v>2025</v>
      </c>
      <c r="B27" s="20" t="s">
        <v>484</v>
      </c>
      <c r="C27" s="20" t="str">
        <f>'Biga Data'!B62</f>
        <v>VERDE</v>
      </c>
      <c r="D27" s="20">
        <f>'Biga Data'!D62</f>
        <v>28</v>
      </c>
      <c r="E27" s="62">
        <f>'Biga Data'!E62</f>
        <v>0.73684210526315785</v>
      </c>
    </row>
    <row r="28" spans="1:5" ht="14.25" customHeight="1">
      <c r="A28" s="20">
        <v>2025</v>
      </c>
      <c r="B28" s="20" t="s">
        <v>484</v>
      </c>
      <c r="C28" s="20" t="str">
        <f>'Biga Data'!B63</f>
        <v>AMARILLO</v>
      </c>
      <c r="D28" s="20">
        <f>'Biga Data'!D63</f>
        <v>10</v>
      </c>
      <c r="E28" s="62">
        <f>'Biga Data'!E63</f>
        <v>0.26315789473684209</v>
      </c>
    </row>
    <row r="29" spans="1:5" ht="14.25" customHeight="1">
      <c r="A29" s="20">
        <v>2025</v>
      </c>
      <c r="B29" s="20" t="s">
        <v>484</v>
      </c>
      <c r="C29" s="20" t="str">
        <f>'Biga Data'!B64</f>
        <v>NARANJA</v>
      </c>
      <c r="D29" s="20">
        <f>'Biga Data'!D64</f>
        <v>0</v>
      </c>
      <c r="E29" s="62">
        <f>'Biga Data'!E64</f>
        <v>0</v>
      </c>
    </row>
    <row r="30" spans="1:5" ht="14.25" customHeight="1">
      <c r="A30" s="20">
        <v>2025</v>
      </c>
      <c r="B30" s="20" t="s">
        <v>484</v>
      </c>
      <c r="C30" s="20" t="str">
        <f>'Biga Data'!B65</f>
        <v>ROJO</v>
      </c>
      <c r="D30" s="20">
        <f>'Biga Data'!D65</f>
        <v>0</v>
      </c>
      <c r="E30" s="62">
        <f>'Biga Data'!E65</f>
        <v>0</v>
      </c>
    </row>
    <row r="31" spans="1:5" ht="14.25" customHeight="1">
      <c r="A31" s="20">
        <v>2025</v>
      </c>
      <c r="B31" s="20" t="s">
        <v>484</v>
      </c>
      <c r="C31" s="20" t="str">
        <f>'Biga Data'!B66</f>
        <v>TOTAL:</v>
      </c>
      <c r="D31" s="20">
        <f>'Biga Data'!D66</f>
        <v>38</v>
      </c>
      <c r="E31" s="62">
        <f>'Biga Data'!E66</f>
        <v>1</v>
      </c>
    </row>
    <row r="32" spans="1:5" ht="14.25" customHeight="1">
      <c r="A32" s="20">
        <v>2025</v>
      </c>
      <c r="B32" s="20" t="s">
        <v>485</v>
      </c>
      <c r="C32" s="20" t="str">
        <f>Software!B62</f>
        <v>VERDE</v>
      </c>
      <c r="D32" s="20">
        <f>Software!D62</f>
        <v>29</v>
      </c>
      <c r="E32" s="62">
        <f>Software!E62</f>
        <v>0.76315789473684215</v>
      </c>
    </row>
    <row r="33" spans="1:5" ht="14.25" customHeight="1">
      <c r="A33" s="20">
        <v>2025</v>
      </c>
      <c r="B33" s="20" t="s">
        <v>485</v>
      </c>
      <c r="C33" s="20" t="str">
        <f>Software!B63</f>
        <v>AMARILLO</v>
      </c>
      <c r="D33" s="20">
        <f>Software!D63</f>
        <v>6</v>
      </c>
      <c r="E33" s="62">
        <f>Software!E63</f>
        <v>0.15789473684210525</v>
      </c>
    </row>
    <row r="34" spans="1:5" ht="14.25" customHeight="1">
      <c r="A34" s="20">
        <v>2025</v>
      </c>
      <c r="B34" s="20" t="s">
        <v>485</v>
      </c>
      <c r="C34" s="20" t="str">
        <f>Software!B64</f>
        <v>NARANJA</v>
      </c>
      <c r="D34" s="20">
        <f>Software!D64</f>
        <v>0</v>
      </c>
      <c r="E34" s="62">
        <f>Software!E64</f>
        <v>0</v>
      </c>
    </row>
    <row r="35" spans="1:5" ht="14.25" customHeight="1">
      <c r="A35" s="20">
        <v>2025</v>
      </c>
      <c r="B35" s="20" t="s">
        <v>485</v>
      </c>
      <c r="C35" s="20" t="str">
        <f>Software!B65</f>
        <v>ROJO</v>
      </c>
      <c r="D35" s="20">
        <f>Software!D65</f>
        <v>3</v>
      </c>
      <c r="E35" s="62">
        <f>Software!E65</f>
        <v>7.8947368421052627E-2</v>
      </c>
    </row>
    <row r="36" spans="1:5" ht="14.25" customHeight="1">
      <c r="A36" s="20">
        <v>2025</v>
      </c>
      <c r="B36" s="20" t="s">
        <v>485</v>
      </c>
      <c r="C36" s="20" t="str">
        <f>Software!B66</f>
        <v>TOTAL:</v>
      </c>
      <c r="D36" s="20">
        <f>Software!D66</f>
        <v>38</v>
      </c>
      <c r="E36" s="62">
        <f>Software!E66</f>
        <v>1</v>
      </c>
    </row>
    <row r="37" spans="1:5" ht="14.25" customHeight="1">
      <c r="A37" s="20">
        <v>2025</v>
      </c>
      <c r="B37" s="20" t="s">
        <v>486</v>
      </c>
      <c r="C37" s="20" t="str">
        <f>Ciberseguridad!B62</f>
        <v>VERDE</v>
      </c>
      <c r="D37" s="20">
        <f>Ciberseguridad!D62</f>
        <v>35</v>
      </c>
      <c r="E37" s="62">
        <f>Ciberseguridad!E62</f>
        <v>0.92105263157894735</v>
      </c>
    </row>
    <row r="38" spans="1:5" ht="14.25" customHeight="1">
      <c r="A38" s="20">
        <v>2025</v>
      </c>
      <c r="B38" s="20" t="s">
        <v>486</v>
      </c>
      <c r="C38" s="20" t="str">
        <f>Ciberseguridad!B63</f>
        <v>AMARILLO</v>
      </c>
      <c r="D38" s="20">
        <f>Ciberseguridad!D63</f>
        <v>3</v>
      </c>
      <c r="E38" s="62">
        <f>Ciberseguridad!E63</f>
        <v>7.8947368421052627E-2</v>
      </c>
    </row>
    <row r="39" spans="1:5" ht="14.25" customHeight="1">
      <c r="A39" s="20">
        <v>2025</v>
      </c>
      <c r="B39" s="20" t="s">
        <v>486</v>
      </c>
      <c r="C39" s="20" t="str">
        <f>Ciberseguridad!B64</f>
        <v>NARANJA</v>
      </c>
      <c r="D39" s="20">
        <f>Ciberseguridad!D64</f>
        <v>0</v>
      </c>
      <c r="E39" s="62">
        <f>Ciberseguridad!E64</f>
        <v>0</v>
      </c>
    </row>
    <row r="40" spans="1:5" ht="14.25" customHeight="1">
      <c r="A40" s="20">
        <v>2025</v>
      </c>
      <c r="B40" s="20" t="s">
        <v>486</v>
      </c>
      <c r="C40" s="20" t="str">
        <f>Ciberseguridad!B65</f>
        <v>ROJO</v>
      </c>
      <c r="D40" s="20">
        <f>Ciberseguridad!D65</f>
        <v>0</v>
      </c>
      <c r="E40" s="62">
        <f>Ciberseguridad!E65</f>
        <v>0</v>
      </c>
    </row>
    <row r="41" spans="1:5" ht="14.25" customHeight="1">
      <c r="A41" s="20">
        <v>2025</v>
      </c>
      <c r="B41" s="20" t="s">
        <v>486</v>
      </c>
      <c r="C41" s="20" t="str">
        <f>Ciberseguridad!B66</f>
        <v>TOTAL:</v>
      </c>
      <c r="D41" s="20">
        <f>Ciberseguridad!D66</f>
        <v>38</v>
      </c>
      <c r="E41" s="62">
        <f>Ciberseguridad!E66</f>
        <v>1</v>
      </c>
    </row>
    <row r="42" spans="1:5" ht="14.25" customHeight="1">
      <c r="A42" s="20">
        <v>2025</v>
      </c>
      <c r="B42" s="20" t="s">
        <v>487</v>
      </c>
      <c r="C42" s="20" t="str">
        <f>'Desarrollo infantil'!B62</f>
        <v>VERDE</v>
      </c>
      <c r="D42" s="20">
        <f>'Desarrollo infantil'!D62</f>
        <v>6</v>
      </c>
      <c r="E42" s="62">
        <f>'Desarrollo infantil'!E62</f>
        <v>0.15789473684210525</v>
      </c>
    </row>
    <row r="43" spans="1:5" ht="14.25" customHeight="1">
      <c r="A43" s="20">
        <v>2025</v>
      </c>
      <c r="B43" s="20" t="s">
        <v>487</v>
      </c>
      <c r="C43" s="20" t="str">
        <f>'Desarrollo infantil'!B63</f>
        <v>AMARILLO</v>
      </c>
      <c r="D43" s="20">
        <f>'Desarrollo infantil'!D63</f>
        <v>21</v>
      </c>
      <c r="E43" s="62">
        <f>'Desarrollo infantil'!E63</f>
        <v>0.55263157894736847</v>
      </c>
    </row>
    <row r="44" spans="1:5" ht="14.25" customHeight="1">
      <c r="A44" s="20">
        <v>2025</v>
      </c>
      <c r="B44" s="20" t="s">
        <v>487</v>
      </c>
      <c r="C44" s="20" t="str">
        <f>'Desarrollo infantil'!B64</f>
        <v>NARANJA</v>
      </c>
      <c r="D44" s="20">
        <f>'Desarrollo infantil'!D64</f>
        <v>2</v>
      </c>
      <c r="E44" s="62">
        <f>'Desarrollo infantil'!E64</f>
        <v>5.2631578947368418E-2</v>
      </c>
    </row>
    <row r="45" spans="1:5" ht="14.25" customHeight="1">
      <c r="A45" s="20">
        <v>2025</v>
      </c>
      <c r="B45" s="20" t="s">
        <v>487</v>
      </c>
      <c r="C45" s="20" t="str">
        <f>'Desarrollo infantil'!B65</f>
        <v>ROJO</v>
      </c>
      <c r="D45" s="20">
        <f>'Desarrollo infantil'!D65</f>
        <v>9</v>
      </c>
      <c r="E45" s="62">
        <f>'Desarrollo infantil'!E65</f>
        <v>0.23684210526315788</v>
      </c>
    </row>
    <row r="46" spans="1:5" ht="14.25" customHeight="1">
      <c r="A46" s="20">
        <v>2025</v>
      </c>
      <c r="B46" s="20" t="s">
        <v>487</v>
      </c>
      <c r="C46" s="20" t="str">
        <f>'Desarrollo infantil'!B66</f>
        <v>TOTAL:</v>
      </c>
      <c r="D46" s="20">
        <f>'Desarrollo infantil'!D66</f>
        <v>38</v>
      </c>
      <c r="E46" s="62">
        <f>'Desarrollo infantil'!E66</f>
        <v>1</v>
      </c>
    </row>
    <row r="47" spans="1:5" ht="14.25" customHeight="1">
      <c r="A47" s="20">
        <v>2025</v>
      </c>
      <c r="B47" s="20" t="s">
        <v>488</v>
      </c>
      <c r="C47" s="20" t="str">
        <f>Patrimonio!B62</f>
        <v>VERDE</v>
      </c>
      <c r="D47" s="20">
        <f>Patrimonio!D62</f>
        <v>6</v>
      </c>
      <c r="E47" s="62">
        <f>Patrimonio!E62</f>
        <v>0.15789473684210525</v>
      </c>
    </row>
    <row r="48" spans="1:5" ht="14.25" customHeight="1">
      <c r="A48" s="20">
        <v>2025</v>
      </c>
      <c r="B48" s="20" t="s">
        <v>488</v>
      </c>
      <c r="C48" s="20" t="str">
        <f>Patrimonio!B63</f>
        <v>AMARILLO</v>
      </c>
      <c r="D48" s="20">
        <f>Patrimonio!D63</f>
        <v>21</v>
      </c>
      <c r="E48" s="62">
        <f>Patrimonio!E63</f>
        <v>0.55263157894736847</v>
      </c>
    </row>
    <row r="49" spans="1:5" ht="14.25" customHeight="1">
      <c r="A49" s="20">
        <v>2025</v>
      </c>
      <c r="B49" s="20" t="s">
        <v>488</v>
      </c>
      <c r="C49" s="20" t="str">
        <f>Patrimonio!B64</f>
        <v>NARANJA</v>
      </c>
      <c r="D49" s="20">
        <f>Patrimonio!D64</f>
        <v>0</v>
      </c>
      <c r="E49" s="62">
        <f>Patrimonio!E64</f>
        <v>0</v>
      </c>
    </row>
    <row r="50" spans="1:5" ht="14.25" customHeight="1">
      <c r="A50" s="20">
        <v>2025</v>
      </c>
      <c r="B50" s="20" t="s">
        <v>488</v>
      </c>
      <c r="C50" s="20" t="str">
        <f>Patrimonio!B65</f>
        <v>ROJO</v>
      </c>
      <c r="D50" s="20">
        <f>Patrimonio!D65</f>
        <v>11</v>
      </c>
      <c r="E50" s="62">
        <f>Patrimonio!E65</f>
        <v>0.28947368421052633</v>
      </c>
    </row>
    <row r="51" spans="1:5" ht="14.25" customHeight="1">
      <c r="A51" s="20">
        <v>2025</v>
      </c>
      <c r="B51" s="20" t="s">
        <v>488</v>
      </c>
      <c r="C51" s="20" t="str">
        <f>Patrimonio!B66</f>
        <v>TOTAL:</v>
      </c>
      <c r="D51" s="20">
        <f>Patrimonio!D66</f>
        <v>38</v>
      </c>
      <c r="E51" s="62">
        <f>Patrimonio!E66</f>
        <v>1</v>
      </c>
    </row>
    <row r="52" spans="1:5" ht="14.25" customHeight="1">
      <c r="A52" s="20">
        <v>2025</v>
      </c>
      <c r="B52" s="20" t="s">
        <v>489</v>
      </c>
      <c r="C52" s="20" t="str">
        <f>'Mantenimiento eléctrico'!B62</f>
        <v>VERDE</v>
      </c>
      <c r="D52" s="20">
        <f>'Mantenimiento eléctrico'!D62</f>
        <v>29</v>
      </c>
      <c r="E52" s="62">
        <f>'Mantenimiento eléctrico'!E62</f>
        <v>0.76315789473684215</v>
      </c>
    </row>
    <row r="53" spans="1:5" ht="14.25" customHeight="1">
      <c r="A53" s="20">
        <v>2025</v>
      </c>
      <c r="B53" s="20" t="s">
        <v>489</v>
      </c>
      <c r="C53" s="20" t="str">
        <f>'Mantenimiento eléctrico'!B63</f>
        <v>AMARILLO</v>
      </c>
      <c r="D53" s="20">
        <f>'Mantenimiento eléctrico'!D63</f>
        <v>7</v>
      </c>
      <c r="E53" s="62">
        <f>'Mantenimiento eléctrico'!E63</f>
        <v>0.18421052631578946</v>
      </c>
    </row>
    <row r="54" spans="1:5" ht="14.25" customHeight="1">
      <c r="A54" s="20">
        <v>2025</v>
      </c>
      <c r="B54" s="20" t="s">
        <v>489</v>
      </c>
      <c r="C54" s="20" t="str">
        <f>'Mantenimiento eléctrico'!B64</f>
        <v>NARANJA</v>
      </c>
      <c r="D54" s="20">
        <f>'Mantenimiento eléctrico'!D64</f>
        <v>0</v>
      </c>
      <c r="E54" s="62">
        <f>'Mantenimiento eléctrico'!E64</f>
        <v>0</v>
      </c>
    </row>
    <row r="55" spans="1:5" ht="14.25" customHeight="1">
      <c r="A55" s="20">
        <v>2025</v>
      </c>
      <c r="B55" s="20" t="s">
        <v>489</v>
      </c>
      <c r="C55" s="20" t="str">
        <f>'Mantenimiento eléctrico'!B65</f>
        <v>ROJO</v>
      </c>
      <c r="D55" s="20">
        <f>'Mantenimiento eléctrico'!D65</f>
        <v>2</v>
      </c>
      <c r="E55" s="62">
        <f>'Mantenimiento eléctrico'!E65</f>
        <v>5.2631578947368418E-2</v>
      </c>
    </row>
    <row r="56" spans="1:5" ht="14.25" customHeight="1">
      <c r="A56" s="20">
        <v>2025</v>
      </c>
      <c r="B56" s="20" t="s">
        <v>489</v>
      </c>
      <c r="C56" s="20" t="str">
        <f>'Mantenimiento eléctrico'!B66</f>
        <v>TOTAL:</v>
      </c>
      <c r="D56" s="20">
        <f>'Mantenimiento eléctrico'!D66</f>
        <v>38</v>
      </c>
      <c r="E56" s="62">
        <f>'Mantenimiento eléctrico'!E66</f>
        <v>1</v>
      </c>
    </row>
    <row r="57" spans="1:5" ht="14.25" customHeight="1">
      <c r="A57" s="20">
        <v>2025</v>
      </c>
      <c r="B57" s="20" t="s">
        <v>490</v>
      </c>
      <c r="C57" s="20" t="str">
        <f>Mecatrónica!B62</f>
        <v>VERDE</v>
      </c>
      <c r="D57" s="20">
        <f>Mecatrónica!D62</f>
        <v>30</v>
      </c>
      <c r="E57" s="62">
        <f>Mecatrónica!E62</f>
        <v>0.78947368421052633</v>
      </c>
    </row>
    <row r="58" spans="1:5" ht="14.25" customHeight="1">
      <c r="A58" s="20">
        <v>2025</v>
      </c>
      <c r="B58" s="20" t="s">
        <v>490</v>
      </c>
      <c r="C58" s="20" t="str">
        <f>Mecatrónica!B63</f>
        <v>AMARILLO</v>
      </c>
      <c r="D58" s="20">
        <f>Mecatrónica!D63</f>
        <v>3</v>
      </c>
      <c r="E58" s="62">
        <f>Mecatrónica!E63</f>
        <v>7.8947368421052627E-2</v>
      </c>
    </row>
    <row r="59" spans="1:5" ht="14.25" customHeight="1">
      <c r="A59" s="20">
        <v>2025</v>
      </c>
      <c r="B59" s="20" t="s">
        <v>490</v>
      </c>
      <c r="C59" s="20" t="str">
        <f>Mecatrónica!B64</f>
        <v>NARANJA</v>
      </c>
      <c r="D59" s="20">
        <f>Mecatrónica!D64</f>
        <v>0</v>
      </c>
      <c r="E59" s="62">
        <f>Mecatrónica!E64</f>
        <v>0</v>
      </c>
    </row>
    <row r="60" spans="1:5" ht="14.25" customHeight="1">
      <c r="A60" s="20">
        <v>2025</v>
      </c>
      <c r="B60" s="20" t="s">
        <v>490</v>
      </c>
      <c r="C60" s="20" t="str">
        <f>Mecatrónica!B65</f>
        <v>ROJO</v>
      </c>
      <c r="D60" s="20">
        <f>Mecatrónica!D65</f>
        <v>5</v>
      </c>
      <c r="E60" s="62">
        <f>Mecatrónica!E65</f>
        <v>0.13157894736842105</v>
      </c>
    </row>
    <row r="61" spans="1:5" ht="14.25" customHeight="1">
      <c r="A61" s="20">
        <v>2025</v>
      </c>
      <c r="B61" s="20" t="s">
        <v>490</v>
      </c>
      <c r="C61" s="20" t="str">
        <f>Mecatrónica!B66</f>
        <v>TOTAL:</v>
      </c>
      <c r="D61" s="20">
        <f>Mecatrónica!D66</f>
        <v>38</v>
      </c>
      <c r="E61" s="62">
        <f>Mecatrónica!E66</f>
        <v>1</v>
      </c>
    </row>
    <row r="62" spans="1:5" ht="14.25" customHeight="1">
      <c r="A62" s="20">
        <v>2025</v>
      </c>
      <c r="B62" s="20" t="s">
        <v>491</v>
      </c>
      <c r="C62" s="20" t="str">
        <f>Metalmecánica!B62</f>
        <v>VERDE</v>
      </c>
      <c r="D62" s="20">
        <f>Metalmecánica!D62</f>
        <v>37</v>
      </c>
      <c r="E62" s="62">
        <f>Metalmecánica!E62</f>
        <v>0.97368421052631582</v>
      </c>
    </row>
    <row r="63" spans="1:5" ht="14.25" customHeight="1">
      <c r="A63" s="20">
        <v>2025</v>
      </c>
      <c r="B63" s="20" t="s">
        <v>491</v>
      </c>
      <c r="C63" s="20" t="str">
        <f>Metalmecánica!B63</f>
        <v>AMARILLO</v>
      </c>
      <c r="D63" s="20">
        <f>Metalmecánica!D63</f>
        <v>1</v>
      </c>
      <c r="E63" s="62">
        <f>Metalmecánica!E63</f>
        <v>2.6315789473684209E-2</v>
      </c>
    </row>
    <row r="64" spans="1:5" ht="14.25" customHeight="1">
      <c r="A64" s="20">
        <v>2025</v>
      </c>
      <c r="B64" s="20" t="s">
        <v>491</v>
      </c>
      <c r="C64" s="20" t="str">
        <f>Metalmecánica!B64</f>
        <v>NARANJA</v>
      </c>
      <c r="D64" s="20">
        <f>Metalmecánica!D64</f>
        <v>0</v>
      </c>
      <c r="E64" s="62">
        <f>Metalmecánica!E64</f>
        <v>0</v>
      </c>
    </row>
    <row r="65" spans="1:5" ht="14.25" customHeight="1">
      <c r="A65" s="20">
        <v>2025</v>
      </c>
      <c r="B65" s="20" t="s">
        <v>491</v>
      </c>
      <c r="C65" s="20" t="str">
        <f>Metalmecánica!B65</f>
        <v>ROJO</v>
      </c>
      <c r="D65" s="20">
        <f>Metalmecánica!D65</f>
        <v>0</v>
      </c>
      <c r="E65" s="62">
        <f>Metalmecánica!E65</f>
        <v>0</v>
      </c>
    </row>
    <row r="66" spans="1:5" ht="14.25" customHeight="1">
      <c r="A66" s="20">
        <v>2025</v>
      </c>
      <c r="B66" s="20" t="s">
        <v>491</v>
      </c>
      <c r="C66" s="20" t="str">
        <f>Metalmecánica!B66</f>
        <v>TOTAL:</v>
      </c>
      <c r="D66" s="20">
        <f>Metalmecánica!D66</f>
        <v>38</v>
      </c>
      <c r="E66" s="62">
        <f>Metalmecánica!E66</f>
        <v>1</v>
      </c>
    </row>
    <row r="67" spans="1:5" ht="14.25" customHeight="1">
      <c r="A67" s="20">
        <v>2025</v>
      </c>
      <c r="B67" s="20" t="s">
        <v>492</v>
      </c>
      <c r="C67" s="20" t="str">
        <f>Madera!B62</f>
        <v>VERDE</v>
      </c>
      <c r="D67" s="20">
        <f>Madera!D62</f>
        <v>0</v>
      </c>
      <c r="E67" s="62">
        <f>Madera!E62</f>
        <v>0</v>
      </c>
    </row>
    <row r="68" spans="1:5" ht="14.25" customHeight="1">
      <c r="A68" s="20">
        <v>2025</v>
      </c>
      <c r="B68" s="20" t="s">
        <v>492</v>
      </c>
      <c r="C68" s="20" t="str">
        <f>Madera!B63</f>
        <v>AMARILLO</v>
      </c>
      <c r="D68" s="20">
        <f>Madera!D63</f>
        <v>0</v>
      </c>
      <c r="E68" s="62">
        <f>Madera!E63</f>
        <v>0</v>
      </c>
    </row>
    <row r="69" spans="1:5" ht="14.25" customHeight="1">
      <c r="A69" s="20">
        <v>2025</v>
      </c>
      <c r="B69" s="20" t="s">
        <v>492</v>
      </c>
      <c r="C69" s="20" t="str">
        <f>Madera!B64</f>
        <v>NARANJA</v>
      </c>
      <c r="D69" s="20">
        <f>Madera!D64</f>
        <v>0</v>
      </c>
      <c r="E69" s="62">
        <f>Madera!E64</f>
        <v>0</v>
      </c>
    </row>
    <row r="70" spans="1:5" ht="14.25" customHeight="1">
      <c r="A70" s="20">
        <v>2025</v>
      </c>
      <c r="B70" s="20" t="s">
        <v>492</v>
      </c>
      <c r="C70" s="20" t="str">
        <f>Madera!B65</f>
        <v>ROJO</v>
      </c>
      <c r="D70" s="20">
        <f>Madera!D65</f>
        <v>38</v>
      </c>
      <c r="E70" s="62">
        <f>Madera!E65</f>
        <v>1</v>
      </c>
    </row>
    <row r="71" spans="1:5" ht="14.25" customHeight="1">
      <c r="A71" s="20">
        <v>2025</v>
      </c>
      <c r="B71" s="20" t="s">
        <v>492</v>
      </c>
      <c r="C71" s="20" t="str">
        <f>Madera!B66</f>
        <v>TOTAL:</v>
      </c>
      <c r="D71" s="20">
        <f>Madera!D66</f>
        <v>38</v>
      </c>
      <c r="E71" s="62">
        <f>Madera!E66</f>
        <v>1</v>
      </c>
    </row>
    <row r="72" spans="1:5" ht="14.25" customHeight="1">
      <c r="A72" s="20">
        <v>2025</v>
      </c>
      <c r="B72" s="20" t="s">
        <v>493</v>
      </c>
      <c r="C72" s="20" t="str">
        <f>'Seguridad y Prevención de riesg'!B62</f>
        <v>VERDE</v>
      </c>
      <c r="D72" s="20">
        <f>'Seguridad y Prevención de riesg'!D62</f>
        <v>15</v>
      </c>
      <c r="E72" s="62">
        <f>'Seguridad y Prevención de riesg'!E62</f>
        <v>0.39473684210526316</v>
      </c>
    </row>
    <row r="73" spans="1:5" ht="14.25" customHeight="1">
      <c r="A73" s="20">
        <v>2025</v>
      </c>
      <c r="B73" s="20" t="s">
        <v>493</v>
      </c>
      <c r="C73" s="20" t="str">
        <f>'Seguridad y Prevención de riesg'!B63</f>
        <v>AMARILLO</v>
      </c>
      <c r="D73" s="20">
        <f>'Seguridad y Prevención de riesg'!D63</f>
        <v>16</v>
      </c>
      <c r="E73" s="62">
        <f>'Seguridad y Prevención de riesg'!E63</f>
        <v>0.42105263157894735</v>
      </c>
    </row>
    <row r="74" spans="1:5" ht="14.25" customHeight="1">
      <c r="A74" s="20">
        <v>2025</v>
      </c>
      <c r="B74" s="20" t="s">
        <v>493</v>
      </c>
      <c r="C74" s="20" t="str">
        <f>'Seguridad y Prevención de riesg'!B64</f>
        <v>NARANJA</v>
      </c>
      <c r="D74" s="20">
        <f>'Seguridad y Prevención de riesg'!D64</f>
        <v>0</v>
      </c>
      <c r="E74" s="62">
        <f>'Seguridad y Prevención de riesg'!E64</f>
        <v>0</v>
      </c>
    </row>
    <row r="75" spans="1:5" ht="14.25" customHeight="1">
      <c r="A75" s="20">
        <v>2025</v>
      </c>
      <c r="B75" s="20" t="s">
        <v>493</v>
      </c>
      <c r="C75" s="20" t="str">
        <f>'Seguridad y Prevención de riesg'!B65</f>
        <v>ROJO</v>
      </c>
      <c r="D75" s="20">
        <f>'Seguridad y Prevención de riesg'!D65</f>
        <v>7</v>
      </c>
      <c r="E75" s="62">
        <f>'Seguridad y Prevención de riesg'!E65</f>
        <v>0.18421052631578946</v>
      </c>
    </row>
    <row r="76" spans="1:5" ht="14.25" customHeight="1">
      <c r="A76" s="20">
        <v>2025</v>
      </c>
      <c r="B76" s="20" t="s">
        <v>493</v>
      </c>
      <c r="C76" s="20" t="str">
        <f>'Seguridad y Prevención de riesg'!B66</f>
        <v>TOTAL:</v>
      </c>
      <c r="D76" s="20">
        <f>'Seguridad y Prevención de riesg'!D66</f>
        <v>38</v>
      </c>
      <c r="E76" s="62">
        <f>'Seguridad y Prevención de riesg'!E66</f>
        <v>1</v>
      </c>
    </row>
    <row r="77" spans="1:5" ht="14.25" customHeight="1">
      <c r="A77" s="20">
        <v>2025</v>
      </c>
      <c r="B77" s="20" t="s">
        <v>494</v>
      </c>
      <c r="C77" s="20" t="str">
        <f>Tributación!B62</f>
        <v>VERDE</v>
      </c>
      <c r="D77" s="20">
        <f>Tributación!D62</f>
        <v>34</v>
      </c>
      <c r="E77" s="62">
        <f>Tributación!E62</f>
        <v>0.89473684210526316</v>
      </c>
    </row>
    <row r="78" spans="1:5" ht="14.25" customHeight="1">
      <c r="A78" s="20">
        <v>2025</v>
      </c>
      <c r="B78" s="20" t="s">
        <v>494</v>
      </c>
      <c r="C78" s="20" t="str">
        <f>Tributación!B63</f>
        <v>AMARILLO</v>
      </c>
      <c r="D78" s="20">
        <f>Tributación!D63</f>
        <v>4</v>
      </c>
      <c r="E78" s="62">
        <f>Tributación!E63</f>
        <v>0.10526315789473684</v>
      </c>
    </row>
    <row r="79" spans="1:5" ht="14.25" customHeight="1">
      <c r="A79" s="20">
        <v>2025</v>
      </c>
      <c r="B79" s="20" t="s">
        <v>494</v>
      </c>
      <c r="C79" s="20" t="str">
        <f>Tributación!B64</f>
        <v>NARANJA</v>
      </c>
      <c r="D79" s="20">
        <f>Tributación!D64</f>
        <v>0</v>
      </c>
      <c r="E79" s="62">
        <f>Tributación!E64</f>
        <v>0</v>
      </c>
    </row>
    <row r="80" spans="1:5" ht="14.25" customHeight="1">
      <c r="A80" s="20">
        <v>2025</v>
      </c>
      <c r="B80" s="20" t="s">
        <v>494</v>
      </c>
      <c r="C80" s="20" t="str">
        <f>Tributación!B65</f>
        <v>ROJO</v>
      </c>
      <c r="D80" s="20">
        <f>Tributación!D65</f>
        <v>0</v>
      </c>
      <c r="E80" s="62">
        <f>Tributación!E65</f>
        <v>0</v>
      </c>
    </row>
    <row r="81" spans="1:5" ht="14.25" customHeight="1">
      <c r="A81" s="20">
        <v>2025</v>
      </c>
      <c r="B81" s="20" t="s">
        <v>494</v>
      </c>
      <c r="C81" s="20" t="str">
        <f>Tributación!B66</f>
        <v>TOTAL:</v>
      </c>
      <c r="D81" s="20">
        <f>Tributación!D66</f>
        <v>38</v>
      </c>
      <c r="E81" s="62">
        <f>Tributación!E66</f>
        <v>1</v>
      </c>
    </row>
    <row r="82" spans="1:5" ht="14.25" customHeight="1">
      <c r="A82" s="20">
        <v>2025</v>
      </c>
      <c r="B82" s="20" t="s">
        <v>495</v>
      </c>
      <c r="C82" s="20" t="str">
        <f>'Universitaria Industrial'!B62</f>
        <v>VERDE</v>
      </c>
      <c r="D82" s="20">
        <f>'Universitaria Industrial'!D62</f>
        <v>0</v>
      </c>
      <c r="E82" s="62">
        <f>'Universitaria Industrial'!E62</f>
        <v>0</v>
      </c>
    </row>
    <row r="83" spans="1:5" ht="14.25" customHeight="1">
      <c r="A83" s="20">
        <v>2025</v>
      </c>
      <c r="B83" s="20" t="s">
        <v>495</v>
      </c>
      <c r="C83" s="20" t="str">
        <f>'Universitaria Industrial'!B63</f>
        <v>AMARILLO</v>
      </c>
      <c r="D83" s="20">
        <f>'Universitaria Industrial'!D63</f>
        <v>0</v>
      </c>
      <c r="E83" s="62">
        <f>'Universitaria Industrial'!E63</f>
        <v>0</v>
      </c>
    </row>
    <row r="84" spans="1:5" ht="14.25" customHeight="1">
      <c r="A84" s="20">
        <v>2025</v>
      </c>
      <c r="B84" s="20" t="s">
        <v>495</v>
      </c>
      <c r="C84" s="20" t="str">
        <f>'Universitaria Industrial'!B64</f>
        <v>NARANJA</v>
      </c>
      <c r="D84" s="20">
        <f>'Universitaria Industrial'!D64</f>
        <v>0</v>
      </c>
      <c r="E84" s="62">
        <f>'Universitaria Industrial'!E64</f>
        <v>0</v>
      </c>
    </row>
    <row r="85" spans="1:5" ht="14.25" customHeight="1">
      <c r="A85" s="20">
        <v>2025</v>
      </c>
      <c r="B85" s="20" t="s">
        <v>495</v>
      </c>
      <c r="C85" s="20" t="str">
        <f>'Universitaria Industrial'!B65</f>
        <v>ROJO</v>
      </c>
      <c r="D85" s="20">
        <f>'Universitaria Industrial'!D65</f>
        <v>38</v>
      </c>
      <c r="E85" s="62">
        <f>'Universitaria Industrial'!E65</f>
        <v>1</v>
      </c>
    </row>
    <row r="86" spans="1:5" ht="14.25" customHeight="1">
      <c r="A86" s="20">
        <v>2025</v>
      </c>
      <c r="B86" s="20" t="s">
        <v>495</v>
      </c>
      <c r="C86" s="20" t="str">
        <f>'Universitaria Industrial'!B66</f>
        <v>TOTAL:</v>
      </c>
      <c r="D86" s="20">
        <f>'Universitaria Industrial'!D66</f>
        <v>38</v>
      </c>
      <c r="E86" s="62">
        <f>'Universitaria Industrial'!E66</f>
        <v>1</v>
      </c>
    </row>
    <row r="87" spans="1:5" ht="14.25" customHeight="1"/>
    <row r="88" spans="1:5" ht="14.25" customHeight="1"/>
    <row r="89" spans="1:5" ht="14.25" customHeight="1"/>
    <row r="90" spans="1:5" ht="14.25" customHeight="1"/>
    <row r="91" spans="1:5" ht="14.25" customHeight="1"/>
    <row r="92" spans="1:5" ht="14.25" customHeight="1"/>
    <row r="93" spans="1:5" ht="14.25" customHeight="1"/>
    <row r="94" spans="1:5" ht="14.25" customHeight="1"/>
    <row r="95" spans="1:5" ht="14.25" customHeight="1"/>
    <row r="96" spans="1:5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5276-35F0-4FDD-BB06-983B75D6CCB9}">
  <dimension ref="A1:P1000"/>
  <sheetViews>
    <sheetView workbookViewId="0"/>
  </sheetViews>
  <sheetFormatPr baseColWidth="10" defaultRowHeight="15" customHeight="1"/>
  <cols>
    <col min="1" max="1" width="34.42578125" customWidth="1"/>
    <col min="2" max="2" width="19.7109375" customWidth="1"/>
    <col min="3" max="3" width="23" customWidth="1"/>
    <col min="4" max="4" width="13" customWidth="1"/>
    <col min="5" max="26" width="11.28515625" customWidth="1"/>
    <col min="27" max="1024" width="15.28515625" customWidth="1"/>
  </cols>
  <sheetData>
    <row r="1" spans="1:16" ht="14.25" customHeight="1">
      <c r="A1" s="20" t="s">
        <v>478</v>
      </c>
      <c r="B1" s="20" t="s">
        <v>496</v>
      </c>
      <c r="C1" s="20" t="s">
        <v>497</v>
      </c>
      <c r="D1" s="20" t="str">
        <f>'Entrenamiento Deportivo'!B9</f>
        <v>Estado</v>
      </c>
      <c r="E1" s="20" t="str">
        <f>'Entrenamiento Deportivo'!C9</f>
        <v>Prioridad</v>
      </c>
      <c r="F1" s="21" t="str">
        <f>'Entrenamiento Deportivo'!D9</f>
        <v>Fecha de entrega</v>
      </c>
      <c r="G1" s="20" t="str">
        <f>'Entrenamiento Deportivo'!E9</f>
        <v>Tarea</v>
      </c>
      <c r="H1" s="20" t="str">
        <f>'Entrenamiento Deportivo'!F9</f>
        <v>Docente
Responsable</v>
      </c>
      <c r="I1" s="20" t="str">
        <f>'Entrenamiento Deportivo'!G9</f>
        <v>Descripción</v>
      </c>
      <c r="J1" s="20" t="str">
        <f>'Entrenamiento Deportivo'!H9</f>
        <v>Entregable</v>
      </c>
      <c r="K1" s="20" t="str">
        <f>'Entrenamiento Deportivo'!I9</f>
        <v>% Ejecutado</v>
      </c>
      <c r="L1" s="20" t="str">
        <f>'Entrenamiento Deportivo'!J9</f>
        <v>Costos fijos</v>
      </c>
      <c r="M1" s="20" t="str">
        <f>'Entrenamiento Deportivo'!K9</f>
        <v>Horas estimadas</v>
      </c>
      <c r="N1" s="20" t="str">
        <f>'Entrenamiento Deportivo'!L9</f>
        <v>Horas actuales</v>
      </c>
      <c r="O1" s="20" t="str">
        <f>'Entrenamiento Deportivo'!M9</f>
        <v>Observación</v>
      </c>
      <c r="P1" s="20" t="s">
        <v>477</v>
      </c>
    </row>
    <row r="2" spans="1:16" ht="14.25" customHeight="1">
      <c r="A2" s="20" t="s">
        <v>498</v>
      </c>
      <c r="B2" s="20" t="str">
        <f>'Entrenamiento Deportivo'!B10</f>
        <v>ESTRATEGIA 1</v>
      </c>
      <c r="C2" s="20" t="str">
        <f>'Entrenamiento Deportivo'!E10</f>
        <v>OBJETIVO OPERATIVO 1</v>
      </c>
      <c r="D2" s="20" t="b">
        <f>'Entrenamiento Deportivo'!B11</f>
        <v>0</v>
      </c>
      <c r="E2" s="20" t="str">
        <f>'Entrenamiento Deportivo'!C11</f>
        <v>Media</v>
      </c>
      <c r="F2" s="21" t="str">
        <f>'Entrenamiento Deportivo'!D11</f>
        <v>2025-I ( Inicio ciclo)</v>
      </c>
      <c r="G2" s="20" t="str">
        <f>'Entrenamiento Deportivo'!E11</f>
        <v>Planificar y estructurar las capacitaciones en el área técnica y didáctica.</v>
      </c>
      <c r="H2" s="20" t="str">
        <f>'Entrenamiento Deportivo'!F11</f>
        <v>Director/a carrera
Docentes</v>
      </c>
      <c r="I2" s="20" t="str">
        <f>'Entrenamiento Deportivo'!G11</f>
        <v>Desarrollo del plan de capacitación docente</v>
      </c>
      <c r="J2" s="20" t="str">
        <f>'Entrenamiento Deportivo'!H11</f>
        <v>Plan de capacitación docente.</v>
      </c>
      <c r="K2" s="62">
        <f>'Entrenamiento Deportivo'!I11</f>
        <v>1</v>
      </c>
      <c r="L2" s="160">
        <f>'Entrenamiento Deportivo'!J11</f>
        <v>0</v>
      </c>
      <c r="M2" s="20">
        <f>'Entrenamiento Deportivo'!K11</f>
        <v>0</v>
      </c>
      <c r="N2" s="20">
        <f>'Entrenamiento Deportivo'!L11</f>
        <v>0</v>
      </c>
      <c r="O2" s="20">
        <f>'Entrenamiento Deportivo'!M11</f>
        <v>0</v>
      </c>
      <c r="P2" s="20">
        <v>2025</v>
      </c>
    </row>
    <row r="3" spans="1:16" ht="14.25" customHeight="1">
      <c r="A3" s="20" t="s">
        <v>498</v>
      </c>
      <c r="B3" s="20" t="str">
        <f>$B$2</f>
        <v>ESTRATEGIA 1</v>
      </c>
      <c r="C3" s="20" t="str">
        <f>$C$2</f>
        <v>OBJETIVO OPERATIVO 1</v>
      </c>
      <c r="D3" s="20" t="b">
        <f>'Entrenamiento Deportivo'!B12</f>
        <v>0</v>
      </c>
      <c r="E3" s="20" t="str">
        <f>'Entrenamiento Deportivo'!C12</f>
        <v>Baja</v>
      </c>
      <c r="F3" s="21" t="str">
        <f>'Entrenamiento Deportivo'!D12</f>
        <v xml:space="preserve">2025-I ( fin ciclo)
2025-II ( fin ciclo)
</v>
      </c>
      <c r="G3" s="20" t="str">
        <f>'Entrenamiento Deportivo'!E12</f>
        <v>Ejecutar las capacitaciones planificadas.</v>
      </c>
      <c r="H3" s="20" t="str">
        <f>'Entrenamiento Deportivo'!F12</f>
        <v>Director/a carrera
Docentes</v>
      </c>
      <c r="I3" s="20" t="str">
        <f>'Entrenamiento Deportivo'!G12</f>
        <v>informar sobre el plan de capacitación docente</v>
      </c>
      <c r="J3" s="20" t="str">
        <f>'Entrenamiento Deportivo'!H12</f>
        <v>Informe de ejecución del plan de capacitación docente.</v>
      </c>
      <c r="K3" s="62">
        <f>'Entrenamiento Deportivo'!I12</f>
        <v>1</v>
      </c>
      <c r="L3" s="160">
        <f>'Entrenamiento Deportivo'!J12</f>
        <v>0</v>
      </c>
      <c r="M3" s="20">
        <f>'Entrenamiento Deportivo'!K12</f>
        <v>0</v>
      </c>
      <c r="N3" s="20">
        <f>'Entrenamiento Deportivo'!L12</f>
        <v>0</v>
      </c>
      <c r="O3" s="20">
        <f>'Entrenamiento Deportivo'!M12</f>
        <v>0</v>
      </c>
      <c r="P3" s="20">
        <v>2025</v>
      </c>
    </row>
    <row r="4" spans="1:16" ht="14.25" customHeight="1">
      <c r="A4" s="20" t="s">
        <v>498</v>
      </c>
      <c r="B4" s="20" t="str">
        <f>$B$2</f>
        <v>ESTRATEGIA 1</v>
      </c>
      <c r="C4" s="20" t="str">
        <f>$C$2</f>
        <v>OBJETIVO OPERATIVO 1</v>
      </c>
      <c r="D4" s="20" t="b">
        <f>'Entrenamiento Deportivo'!B13</f>
        <v>0</v>
      </c>
      <c r="E4" s="20" t="str">
        <f>'Entrenamiento Deportivo'!C13</f>
        <v>Media</v>
      </c>
      <c r="F4" s="21" t="str">
        <f>'Entrenamiento Deportivo'!D13</f>
        <v xml:space="preserve">2025-I ( fin ciclo)
2025-II ( fin ciclo)
</v>
      </c>
      <c r="G4" s="20" t="str">
        <f>'Entrenamiento Deportivo'!E13</f>
        <v>Entregar los resultados de los procesos de Evaluación al desempeño Docente y acciones realizadas.</v>
      </c>
      <c r="H4" s="20" t="str">
        <f>'Entrenamiento Deportivo'!F13</f>
        <v>Director/a carrera
Docentes</v>
      </c>
      <c r="I4" s="20" t="str">
        <f>'Entrenamiento Deportivo'!G13</f>
        <v>Generar una matriz para el registro de entrega de evaluaciones docentes</v>
      </c>
      <c r="J4" s="20" t="str">
        <f>'Entrenamiento Deportivo'!H13</f>
        <v>Registro de entrega de evaluaciones a los docentes</v>
      </c>
      <c r="K4" s="62">
        <f>'Entrenamiento Deportivo'!I13</f>
        <v>1</v>
      </c>
      <c r="L4" s="160">
        <f>'Entrenamiento Deportivo'!J13</f>
        <v>0</v>
      </c>
      <c r="M4" s="62">
        <f>'Entrenamiento Deportivo'!K13</f>
        <v>0</v>
      </c>
      <c r="N4" s="20">
        <f>'Entrenamiento Deportivo'!L13</f>
        <v>0</v>
      </c>
      <c r="O4" s="20">
        <f>'Entrenamiento Deportivo'!M13</f>
        <v>0</v>
      </c>
      <c r="P4" s="20">
        <v>2025</v>
      </c>
    </row>
    <row r="5" spans="1:16" ht="14.25" customHeight="1">
      <c r="A5" s="20" t="s">
        <v>498</v>
      </c>
      <c r="B5" s="20" t="str">
        <f t="shared" ref="B5:B12" si="0">$B$4</f>
        <v>ESTRATEGIA 1</v>
      </c>
      <c r="C5" s="20" t="str">
        <f>'Entrenamiento Deportivo'!E14</f>
        <v>OBJETIVO OPERATIVO 2</v>
      </c>
      <c r="D5" s="20" t="b">
        <f>'Entrenamiento Deportivo'!B15</f>
        <v>0</v>
      </c>
      <c r="E5" s="20" t="str">
        <f>'Entrenamiento Deportivo'!C15</f>
        <v>Baja</v>
      </c>
      <c r="F5" s="21" t="str">
        <f>'Entrenamiento Deportivo'!D15</f>
        <v xml:space="preserve">2025-I ( fin ciclo)
2025-II ( fin ciclo)
</v>
      </c>
      <c r="G5" s="20" t="str">
        <f>'Entrenamiento Deportivo'!E15</f>
        <v>Socializar con los docentes el uso adecuado de la plataforma Moodle.</v>
      </c>
      <c r="H5" s="20" t="str">
        <f>'Entrenamiento Deportivo'!F15</f>
        <v>Responsable de Moodle de la carrera</v>
      </c>
      <c r="I5" s="20" t="str">
        <f>'Entrenamiento Deportivo'!G15</f>
        <v>Realizar la socialización y generar un informe sobre el uso del Moodle</v>
      </c>
      <c r="J5" s="20" t="str">
        <f>'Entrenamiento Deportivo'!H15</f>
        <v>Informe de socialización / inducción a los docentes</v>
      </c>
      <c r="K5" s="62">
        <f>'Entrenamiento Deportivo'!I15</f>
        <v>1</v>
      </c>
      <c r="L5" s="160">
        <f>'Entrenamiento Deportivo'!J15</f>
        <v>0</v>
      </c>
      <c r="M5" s="20">
        <f>'Entrenamiento Deportivo'!K15</f>
        <v>0</v>
      </c>
      <c r="N5" s="20">
        <f>'Entrenamiento Deportivo'!L15</f>
        <v>0</v>
      </c>
      <c r="O5" s="20">
        <f>'Entrenamiento Deportivo'!M15</f>
        <v>0</v>
      </c>
      <c r="P5" s="20">
        <v>2025</v>
      </c>
    </row>
    <row r="6" spans="1:16" ht="14.25" customHeight="1">
      <c r="A6" s="20" t="s">
        <v>498</v>
      </c>
      <c r="B6" s="20" t="str">
        <f t="shared" si="0"/>
        <v>ESTRATEGIA 1</v>
      </c>
      <c r="C6" s="20" t="str">
        <f>$C$5</f>
        <v>OBJETIVO OPERATIVO 2</v>
      </c>
      <c r="D6" s="20" t="b">
        <f>'Entrenamiento Deportivo'!B16</f>
        <v>0</v>
      </c>
      <c r="E6" s="20" t="str">
        <f>'Entrenamiento Deportivo'!C16</f>
        <v>Media</v>
      </c>
      <c r="F6" s="21" t="str">
        <f>'Entrenamiento Deportivo'!D16</f>
        <v xml:space="preserve">2025-I ( fin ciclo)
2025-II ( fin ciclo)
</v>
      </c>
      <c r="G6" s="20" t="str">
        <f>'Entrenamiento Deportivo'!E16</f>
        <v>Revisar el aporte de cada docente en la plataforma Moodle</v>
      </c>
      <c r="H6" s="20" t="str">
        <f>'Entrenamiento Deportivo'!F16</f>
        <v>Responsable de Moodle de la carrera</v>
      </c>
      <c r="I6" s="20" t="str">
        <f>'Entrenamiento Deportivo'!G16</f>
        <v>Controlar el uso adecuado de la plataforma y generar un informe.</v>
      </c>
      <c r="J6" s="20" t="str">
        <f>'Entrenamiento Deportivo'!H16</f>
        <v>Informe de actividades en la plataforma Moodle.</v>
      </c>
      <c r="K6" s="62">
        <f>'Entrenamiento Deportivo'!I16</f>
        <v>1</v>
      </c>
      <c r="L6" s="160">
        <f>'Entrenamiento Deportivo'!J16</f>
        <v>0</v>
      </c>
      <c r="M6" s="20">
        <f>'Entrenamiento Deportivo'!K16</f>
        <v>0</v>
      </c>
      <c r="N6" s="20">
        <f>'Entrenamiento Deportivo'!L16</f>
        <v>0</v>
      </c>
      <c r="O6" s="20">
        <f>'Entrenamiento Deportivo'!M16</f>
        <v>0</v>
      </c>
      <c r="P6" s="20">
        <v>2025</v>
      </c>
    </row>
    <row r="7" spans="1:16" ht="14.25" customHeight="1">
      <c r="A7" s="20" t="s">
        <v>498</v>
      </c>
      <c r="B7" s="20" t="str">
        <f t="shared" si="0"/>
        <v>ESTRATEGIA 1</v>
      </c>
      <c r="C7" s="20" t="str">
        <f>'Entrenamiento Deportivo'!E17</f>
        <v>OBJETIVO OPERATIVO 3</v>
      </c>
      <c r="D7" s="20" t="b">
        <f>'Entrenamiento Deportivo'!B18</f>
        <v>0</v>
      </c>
      <c r="E7" s="20" t="str">
        <f>'Entrenamiento Deportivo'!C18</f>
        <v>Alta</v>
      </c>
      <c r="F7" s="21" t="str">
        <f>'Entrenamiento Deportivo'!D18</f>
        <v xml:space="preserve">2025-I ( fin ciclo)
2025-II ( fin ciclo)
</v>
      </c>
      <c r="G7" s="20" t="str">
        <f>'Entrenamiento Deportivo'!E18</f>
        <v>Planificar y desarrollar una reunión del colectivo académico</v>
      </c>
      <c r="H7" s="20" t="str">
        <f>'Entrenamiento Deportivo'!F18</f>
        <v>Director/a carrera</v>
      </c>
      <c r="I7" s="20" t="str">
        <f>'Entrenamiento Deportivo'!G18</f>
        <v>Realizar y evidenciar los colectivos académicos</v>
      </c>
      <c r="J7" s="20" t="str">
        <f>'Entrenamiento Deportivo'!H18</f>
        <v>Convocatoria al colectivo de académico</v>
      </c>
      <c r="K7" s="62">
        <f>'Entrenamiento Deportivo'!I18</f>
        <v>1</v>
      </c>
      <c r="L7" s="160">
        <f>'Entrenamiento Deportivo'!J18</f>
        <v>0</v>
      </c>
      <c r="M7" s="20">
        <f>'Entrenamiento Deportivo'!K18</f>
        <v>0</v>
      </c>
      <c r="N7" s="20">
        <f>'Entrenamiento Deportivo'!L18</f>
        <v>0</v>
      </c>
      <c r="O7" s="20">
        <f>'Entrenamiento Deportivo'!M18</f>
        <v>0</v>
      </c>
      <c r="P7" s="20">
        <v>2025</v>
      </c>
    </row>
    <row r="8" spans="1:16" ht="14.25" customHeight="1">
      <c r="A8" s="20" t="s">
        <v>498</v>
      </c>
      <c r="B8" s="20" t="str">
        <f t="shared" si="0"/>
        <v>ESTRATEGIA 1</v>
      </c>
      <c r="C8" s="20" t="str">
        <f>$C$7</f>
        <v>OBJETIVO OPERATIVO 3</v>
      </c>
      <c r="D8" s="20" t="b">
        <f>'Entrenamiento Deportivo'!B19</f>
        <v>0</v>
      </c>
      <c r="E8" s="20" t="str">
        <f>'Entrenamiento Deportivo'!C19</f>
        <v>Media</v>
      </c>
      <c r="F8" s="21" t="str">
        <f>'Entrenamiento Deportivo'!D19</f>
        <v xml:space="preserve">2025-I ( fin ciclo)
2025-II ( fin ciclo)
</v>
      </c>
      <c r="G8" s="20" t="str">
        <f>'Entrenamiento Deportivo'!E19</f>
        <v>Revisión y actualización de los PEAS</v>
      </c>
      <c r="H8" s="20" t="str">
        <f>'Entrenamiento Deportivo'!F19</f>
        <v>Director/a carrera
Docentes</v>
      </c>
      <c r="I8" s="20" t="str">
        <f>'Entrenamiento Deportivo'!G19</f>
        <v>Revisar si la bibliografía de la carrera es la adecuada en colectivos  según PEAS y Colectivos para el acervo bibliográfico</v>
      </c>
      <c r="J8" s="20" t="str">
        <f>'Entrenamiento Deportivo'!H19</f>
        <v>Acervo bibliográfico de todas las asignaturas de la carrera, Informes de colectivos y PEAS revisados</v>
      </c>
      <c r="K8" s="62">
        <f>'Entrenamiento Deportivo'!I19</f>
        <v>1</v>
      </c>
      <c r="L8" s="160">
        <f>'Entrenamiento Deportivo'!J19</f>
        <v>0</v>
      </c>
      <c r="M8" s="20">
        <f>'Entrenamiento Deportivo'!K19</f>
        <v>0</v>
      </c>
      <c r="N8" s="20">
        <f>'Entrenamiento Deportivo'!L19</f>
        <v>0</v>
      </c>
      <c r="O8" s="20">
        <f>'Entrenamiento Deportivo'!M19</f>
        <v>0</v>
      </c>
      <c r="P8" s="20">
        <v>2025</v>
      </c>
    </row>
    <row r="9" spans="1:16" ht="14.25" customHeight="1">
      <c r="A9" s="20" t="s">
        <v>498</v>
      </c>
      <c r="B9" s="20" t="str">
        <f t="shared" si="0"/>
        <v>ESTRATEGIA 1</v>
      </c>
      <c r="C9" s="20" t="str">
        <f>$C$7</f>
        <v>OBJETIVO OPERATIVO 3</v>
      </c>
      <c r="D9" s="20" t="b">
        <f>'Entrenamiento Deportivo'!B20</f>
        <v>0</v>
      </c>
      <c r="E9" s="20" t="str">
        <f>'Entrenamiento Deportivo'!C20</f>
        <v>Media</v>
      </c>
      <c r="F9" s="21" t="str">
        <f>'Entrenamiento Deportivo'!D20</f>
        <v xml:space="preserve">2025-I ( fin ciclo)
2025-II ( fin ciclo)
</v>
      </c>
      <c r="G9" s="20" t="str">
        <f>'Entrenamiento Deportivo'!E20</f>
        <v>Actas de reunión por colectivo académico</v>
      </c>
      <c r="H9" s="20" t="str">
        <f>'Entrenamiento Deportivo'!F20</f>
        <v>Director/a carrera
Docentes</v>
      </c>
      <c r="I9" s="20" t="str">
        <f>'Entrenamiento Deportivo'!G20</f>
        <v>Evidenciar el trabajo de colectivos</v>
      </c>
      <c r="J9" s="20" t="str">
        <f>'Entrenamiento Deportivo'!H20</f>
        <v>Actas de colectivos</v>
      </c>
      <c r="K9" s="62">
        <f>'Entrenamiento Deportivo'!I20</f>
        <v>1</v>
      </c>
      <c r="L9" s="160">
        <f>'Entrenamiento Deportivo'!J20</f>
        <v>0</v>
      </c>
      <c r="M9" s="20">
        <f>'Entrenamiento Deportivo'!K20</f>
        <v>0</v>
      </c>
      <c r="N9" s="20">
        <f>'Entrenamiento Deportivo'!L20</f>
        <v>0</v>
      </c>
      <c r="O9" s="20">
        <f>'Entrenamiento Deportivo'!M20</f>
        <v>0</v>
      </c>
      <c r="P9" s="20">
        <v>2025</v>
      </c>
    </row>
    <row r="10" spans="1:16" ht="14.25" customHeight="1">
      <c r="A10" s="20" t="s">
        <v>498</v>
      </c>
      <c r="B10" s="20" t="str">
        <f t="shared" si="0"/>
        <v>ESTRATEGIA 1</v>
      </c>
      <c r="C10" s="20" t="str">
        <f>'Entrenamiento Deportivo'!E21</f>
        <v>OBJETIVO OPERATIVO 4</v>
      </c>
      <c r="D10" s="20" t="b">
        <f>'Entrenamiento Deportivo'!B22</f>
        <v>0</v>
      </c>
      <c r="E10" s="20" t="str">
        <f>'Entrenamiento Deportivo'!C22</f>
        <v>Baja</v>
      </c>
      <c r="F10" s="21" t="str">
        <f>'Entrenamiento Deportivo'!D22</f>
        <v xml:space="preserve">2025-I ( fin ciclo)
2025-II ( fin ciclo)
</v>
      </c>
      <c r="G10" s="20" t="str">
        <f>'Entrenamiento Deportivo'!E22</f>
        <v>Recopilar las fichas de afinidad de los docentes de acuerdo al nivel de estudio.</v>
      </c>
      <c r="H10" s="20" t="str">
        <f>'Entrenamiento Deportivo'!F22</f>
        <v>Director/a carrera</v>
      </c>
      <c r="I10" s="20" t="str">
        <f>'Entrenamiento Deportivo'!G22</f>
        <v>Mantener actualizadas las fichas de afinidad de los docentes de acuerdo a la pertinencia en la carrera</v>
      </c>
      <c r="J10" s="20" t="str">
        <f>'Entrenamiento Deportivo'!H22</f>
        <v>Fichas de afinidad de los docentes.</v>
      </c>
      <c r="K10" s="62">
        <f>'Entrenamiento Deportivo'!I22</f>
        <v>1</v>
      </c>
      <c r="L10" s="160">
        <f>'Entrenamiento Deportivo'!J22</f>
        <v>0</v>
      </c>
      <c r="M10" s="20">
        <f>'Entrenamiento Deportivo'!K22</f>
        <v>0</v>
      </c>
      <c r="N10" s="20">
        <f>'Entrenamiento Deportivo'!L22</f>
        <v>0</v>
      </c>
      <c r="O10" s="20">
        <f>'Entrenamiento Deportivo'!M22</f>
        <v>0</v>
      </c>
      <c r="P10" s="20">
        <v>2025</v>
      </c>
    </row>
    <row r="11" spans="1:16" ht="14.25" customHeight="1">
      <c r="A11" s="20" t="s">
        <v>498</v>
      </c>
      <c r="B11" s="20" t="str">
        <f t="shared" si="0"/>
        <v>ESTRATEGIA 1</v>
      </c>
      <c r="C11" s="20" t="str">
        <f>$C$10</f>
        <v>OBJETIVO OPERATIVO 4</v>
      </c>
      <c r="D11" s="20">
        <f>'Entrenamiento Deportivo'!B23</f>
        <v>0</v>
      </c>
      <c r="E11" s="20" t="str">
        <f>'Entrenamiento Deportivo'!C23</f>
        <v>Alta</v>
      </c>
      <c r="F11" s="21" t="str">
        <f>'Entrenamiento Deportivo'!D23</f>
        <v xml:space="preserve">2025-I ( fin ciclo)
2025-II ( fin ciclo)
</v>
      </c>
      <c r="G11" s="20" t="str">
        <f>'Entrenamiento Deportivo'!E23</f>
        <v>Elaboración del distributivo docente de la carrera</v>
      </c>
      <c r="H11" s="20" t="str">
        <f>'Entrenamiento Deportivo'!F23</f>
        <v>Director/a carrera</v>
      </c>
      <c r="I11" s="20" t="str">
        <f>'Entrenamiento Deportivo'!G23</f>
        <v>Evidenciar la carga horaria y distributivos de los docentes</v>
      </c>
      <c r="J11" s="20" t="str">
        <f>'Entrenamiento Deportivo'!H23</f>
        <v>Distributivo docente aprobado.</v>
      </c>
      <c r="K11" s="62">
        <f>'Entrenamiento Deportivo'!I23</f>
        <v>1</v>
      </c>
      <c r="L11" s="160">
        <f>'Entrenamiento Deportivo'!J23</f>
        <v>0</v>
      </c>
      <c r="M11" s="20">
        <f>'Entrenamiento Deportivo'!K23</f>
        <v>0</v>
      </c>
      <c r="N11" s="20">
        <f>'Entrenamiento Deportivo'!L23</f>
        <v>0</v>
      </c>
      <c r="O11" s="20">
        <f>'Entrenamiento Deportivo'!M23</f>
        <v>0</v>
      </c>
      <c r="P11" s="20">
        <v>2025</v>
      </c>
    </row>
    <row r="12" spans="1:16" ht="14.25" customHeight="1">
      <c r="A12" s="20" t="s">
        <v>498</v>
      </c>
      <c r="B12" s="20" t="str">
        <f t="shared" si="0"/>
        <v>ESTRATEGIA 1</v>
      </c>
      <c r="C12" s="20" t="str">
        <f>$C$10</f>
        <v>OBJETIVO OPERATIVO 4</v>
      </c>
      <c r="D12" s="20" t="b">
        <f>'Entrenamiento Deportivo'!B24</f>
        <v>0</v>
      </c>
      <c r="E12" s="20" t="str">
        <f>'Entrenamiento Deportivo'!C24</f>
        <v>Media</v>
      </c>
      <c r="F12" s="21" t="str">
        <f>'Entrenamiento Deportivo'!D24</f>
        <v xml:space="preserve">2025-I ( fin ciclo)
2025-II ( fin ciclo)
</v>
      </c>
      <c r="G12" s="20" t="str">
        <f>'Entrenamiento Deportivo'!E24</f>
        <v>Designar responsables de la administración de la plataforma, tutorías , prácticas, vinculación , etc.</v>
      </c>
      <c r="H12" s="20" t="str">
        <f>'Entrenamiento Deportivo'!F24</f>
        <v>Director/a carrera</v>
      </c>
      <c r="I12" s="20" t="str">
        <f>'Entrenamiento Deportivo'!G24</f>
        <v>Realizar las designaciones y evidenciar los responsables y tutores de la carrera</v>
      </c>
      <c r="J12" s="20" t="str">
        <f>'Entrenamiento Deportivo'!H24</f>
        <v>Oficios de designaciones de responsables.</v>
      </c>
      <c r="K12" s="62">
        <f>'Entrenamiento Deportivo'!I24</f>
        <v>1</v>
      </c>
      <c r="L12" s="160">
        <f>'Entrenamiento Deportivo'!J24</f>
        <v>0</v>
      </c>
      <c r="M12" s="20">
        <f>'Entrenamiento Deportivo'!K24</f>
        <v>0</v>
      </c>
      <c r="N12" s="20">
        <f>'Entrenamiento Deportivo'!L24</f>
        <v>0</v>
      </c>
      <c r="O12" s="20">
        <f>'Entrenamiento Deportivo'!M24</f>
        <v>0</v>
      </c>
      <c r="P12" s="20">
        <v>2025</v>
      </c>
    </row>
    <row r="13" spans="1:16" ht="14.25" customHeight="1">
      <c r="A13" s="20" t="s">
        <v>498</v>
      </c>
      <c r="B13" s="20" t="str">
        <f>'Entrenamiento Deportivo'!B25</f>
        <v>ESTRATEGIA 2</v>
      </c>
      <c r="C13" s="20" t="str">
        <f>'Entrenamiento Deportivo'!E25</f>
        <v>OBJETIVO OPERATIVO 1</v>
      </c>
      <c r="D13" s="20" t="b">
        <f>'Entrenamiento Deportivo'!B26</f>
        <v>0</v>
      </c>
      <c r="E13" s="20" t="str">
        <f>'Entrenamiento Deportivo'!C26</f>
        <v>Alta</v>
      </c>
      <c r="F13" s="21" t="str">
        <f>'Entrenamiento Deportivo'!D26</f>
        <v xml:space="preserve">2025-I ( fin ciclo)
2025-II ( fin ciclo)
</v>
      </c>
      <c r="G13" s="20" t="str">
        <f>'Entrenamiento Deportivo'!E26</f>
        <v>Elaborar y presentar el calendario de actividades de la o las carreras, horarios de clases y laboratorios.</v>
      </c>
      <c r="H13" s="20" t="str">
        <f>'Entrenamiento Deportivo'!F26</f>
        <v>Director/a carrera</v>
      </c>
      <c r="I13" s="20" t="str">
        <f>'Entrenamiento Deportivo'!G26</f>
        <v>Realizar los documentos necesarios para el desarrollo de las actividades de cada periodo de la carrera</v>
      </c>
      <c r="J13" s="20" t="str">
        <f>'Entrenamiento Deportivo'!H26</f>
        <v>Calendario y horarios aprobados</v>
      </c>
      <c r="K13" s="62">
        <f>'Entrenamiento Deportivo'!I26</f>
        <v>1</v>
      </c>
      <c r="L13" s="160">
        <f>'Entrenamiento Deportivo'!J26</f>
        <v>0</v>
      </c>
      <c r="M13" s="20">
        <f>'Entrenamiento Deportivo'!K26</f>
        <v>0</v>
      </c>
      <c r="N13" s="20">
        <f>'Entrenamiento Deportivo'!L26</f>
        <v>0</v>
      </c>
      <c r="O13" s="20">
        <f>'Entrenamiento Deportivo'!M26</f>
        <v>0</v>
      </c>
      <c r="P13" s="20">
        <v>2025</v>
      </c>
    </row>
    <row r="14" spans="1:16" ht="14.25" customHeight="1">
      <c r="A14" s="20" t="s">
        <v>498</v>
      </c>
      <c r="B14" s="20" t="str">
        <f t="shared" ref="B14:B25" si="1">$B$13</f>
        <v>ESTRATEGIA 2</v>
      </c>
      <c r="C14" s="20" t="str">
        <f t="shared" ref="C14:C24" si="2">$C$13</f>
        <v>OBJETIVO OPERATIVO 1</v>
      </c>
      <c r="D14" s="20" t="b">
        <f>'Entrenamiento Deportivo'!B27</f>
        <v>0</v>
      </c>
      <c r="E14" s="20" t="str">
        <f>'Entrenamiento Deportivo'!C27</f>
        <v>Media</v>
      </c>
      <c r="F14" s="21" t="str">
        <f>'Entrenamiento Deportivo'!D27</f>
        <v xml:space="preserve">2025-I ( fin ciclo)
2025-II ( fin ciclo)
</v>
      </c>
      <c r="G14" s="20" t="str">
        <f>'Entrenamiento Deportivo'!E27</f>
        <v>Requerimiento y aprobación de Documentos académicos. (Sílabos, guías practicas e informes de avance de Silabo)</v>
      </c>
      <c r="H14" s="20" t="str">
        <f>'Entrenamiento Deportivo'!F27</f>
        <v>Director/a carrera - gestor académico</v>
      </c>
      <c r="I14" s="20" t="str">
        <f>'Entrenamiento Deportivo'!G27</f>
        <v>Solicitud de documentos académicos por materias</v>
      </c>
      <c r="J14" s="20" t="str">
        <f>'Entrenamiento Deportivo'!H27</f>
        <v>Documentación aprobada.</v>
      </c>
      <c r="K14" s="62">
        <f>'Entrenamiento Deportivo'!I27</f>
        <v>1</v>
      </c>
      <c r="L14" s="160">
        <f>'Entrenamiento Deportivo'!J27</f>
        <v>0</v>
      </c>
      <c r="M14" s="20">
        <f>'Entrenamiento Deportivo'!K27</f>
        <v>0</v>
      </c>
      <c r="N14" s="20">
        <f>'Entrenamiento Deportivo'!L27</f>
        <v>0</v>
      </c>
      <c r="O14" s="20">
        <f>'Entrenamiento Deportivo'!M27</f>
        <v>0</v>
      </c>
      <c r="P14" s="20">
        <v>2025</v>
      </c>
    </row>
    <row r="15" spans="1:16" ht="14.25" customHeight="1">
      <c r="A15" s="20" t="s">
        <v>498</v>
      </c>
      <c r="B15" s="20" t="str">
        <f t="shared" si="1"/>
        <v>ESTRATEGIA 2</v>
      </c>
      <c r="C15" s="20" t="str">
        <f t="shared" si="2"/>
        <v>OBJETIVO OPERATIVO 1</v>
      </c>
      <c r="D15" s="20" t="b">
        <f>'Entrenamiento Deportivo'!B28</f>
        <v>0</v>
      </c>
      <c r="E15" s="20" t="str">
        <f>'Entrenamiento Deportivo'!C28</f>
        <v>Media</v>
      </c>
      <c r="F15" s="21" t="str">
        <f>'Entrenamiento Deportivo'!D28</f>
        <v xml:space="preserve">2025-I ( fin ciclo)
2025-II ( fin ciclo)
</v>
      </c>
      <c r="G15" s="20" t="str">
        <f>'Entrenamiento Deportivo'!E28</f>
        <v>Seguimiento al cumplimiento de la documentación académica.</v>
      </c>
      <c r="H15" s="20" t="str">
        <f>'Entrenamiento Deportivo'!F28</f>
        <v>Director/a carrera - gestor académico</v>
      </c>
      <c r="I15" s="20" t="str">
        <f>'Entrenamiento Deportivo'!G28</f>
        <v>Revisión de documentos académicos por materias</v>
      </c>
      <c r="J15" s="20" t="str">
        <f>'Entrenamiento Deportivo'!H28</f>
        <v>Informe de carrera sobre la documentación recibida.</v>
      </c>
      <c r="K15" s="62">
        <f>'Entrenamiento Deportivo'!I28</f>
        <v>1</v>
      </c>
      <c r="L15" s="160">
        <f>'Entrenamiento Deportivo'!J28</f>
        <v>0</v>
      </c>
      <c r="M15" s="20">
        <f>'Entrenamiento Deportivo'!K28</f>
        <v>0</v>
      </c>
      <c r="N15" s="20">
        <f>'Entrenamiento Deportivo'!L28</f>
        <v>0</v>
      </c>
      <c r="O15" s="20">
        <f>'Entrenamiento Deportivo'!M28</f>
        <v>0</v>
      </c>
      <c r="P15" s="20">
        <v>2025</v>
      </c>
    </row>
    <row r="16" spans="1:16" ht="14.25" customHeight="1">
      <c r="A16" s="20" t="s">
        <v>498</v>
      </c>
      <c r="B16" s="20" t="str">
        <f t="shared" si="1"/>
        <v>ESTRATEGIA 2</v>
      </c>
      <c r="C16" s="20" t="str">
        <f t="shared" si="2"/>
        <v>OBJETIVO OPERATIVO 1</v>
      </c>
      <c r="D16" s="20" t="b">
        <f>'Entrenamiento Deportivo'!B29</f>
        <v>0</v>
      </c>
      <c r="E16" s="20" t="str">
        <f>'Entrenamiento Deportivo'!C29</f>
        <v>Baja</v>
      </c>
      <c r="F16" s="21" t="str">
        <f>'Entrenamiento Deportivo'!D29</f>
        <v xml:space="preserve">2025-I ( fin ciclo)
2025-II ( fin ciclo)
</v>
      </c>
      <c r="G16" s="20" t="str">
        <f>'Entrenamiento Deportivo'!E29</f>
        <v>Reuniones de carrera  para socialización y toma de decisiones</v>
      </c>
      <c r="H16" s="20" t="str">
        <f>'Entrenamiento Deportivo'!F29</f>
        <v>Director/a carrera - gestor académico</v>
      </c>
      <c r="I16" s="20" t="str">
        <f>'Entrenamiento Deportivo'!G29</f>
        <v>Reuniones de carrera de acuerdo a requerimientos</v>
      </c>
      <c r="J16" s="20" t="str">
        <f>'Entrenamiento Deportivo'!H29</f>
        <v>Convocatorias, actas e informes de reuniones de carrera.</v>
      </c>
      <c r="K16" s="62">
        <f>'Entrenamiento Deportivo'!I29</f>
        <v>1</v>
      </c>
      <c r="L16" s="160">
        <f>'Entrenamiento Deportivo'!J29</f>
        <v>0</v>
      </c>
      <c r="M16" s="20">
        <f>'Entrenamiento Deportivo'!K29</f>
        <v>0</v>
      </c>
      <c r="N16" s="20">
        <f>'Entrenamiento Deportivo'!L29</f>
        <v>0</v>
      </c>
      <c r="O16" s="20">
        <f>'Entrenamiento Deportivo'!M29</f>
        <v>0</v>
      </c>
      <c r="P16" s="20">
        <v>2025</v>
      </c>
    </row>
    <row r="17" spans="1:16" ht="14.25" customHeight="1">
      <c r="A17" s="20" t="s">
        <v>498</v>
      </c>
      <c r="B17" s="20" t="str">
        <f t="shared" si="1"/>
        <v>ESTRATEGIA 2</v>
      </c>
      <c r="C17" s="20" t="str">
        <f t="shared" si="2"/>
        <v>OBJETIVO OPERATIVO 1</v>
      </c>
      <c r="D17" s="20" t="b">
        <f>'Entrenamiento Deportivo'!B30</f>
        <v>0</v>
      </c>
      <c r="E17" s="20" t="str">
        <f>'Entrenamiento Deportivo'!C30</f>
        <v>Baja</v>
      </c>
      <c r="F17" s="21">
        <f>'Entrenamiento Deportivo'!D30</f>
        <v>45838</v>
      </c>
      <c r="G17" s="20" t="str">
        <f>'Entrenamiento Deportivo'!E30</f>
        <v>Informe semestral POA 2025</v>
      </c>
      <c r="H17" s="20" t="str">
        <f>'Entrenamiento Deportivo'!F30</f>
        <v>Director/a carrera - gestor académico</v>
      </c>
      <c r="I17" s="20" t="str">
        <f>'Entrenamiento Deportivo'!G30</f>
        <v>Informar sobre el avance del  POA</v>
      </c>
      <c r="J17" s="20" t="str">
        <f>'Entrenamiento Deportivo'!H30</f>
        <v>Informe semestral seguimiento POA 2025</v>
      </c>
      <c r="K17" s="62">
        <f>'Entrenamiento Deportivo'!I30</f>
        <v>1</v>
      </c>
      <c r="L17" s="160">
        <f>'Entrenamiento Deportivo'!J30</f>
        <v>0</v>
      </c>
      <c r="M17" s="20">
        <f>'Entrenamiento Deportivo'!K30</f>
        <v>0</v>
      </c>
      <c r="N17" s="20">
        <f>'Entrenamiento Deportivo'!L30</f>
        <v>0</v>
      </c>
      <c r="O17" s="20">
        <f>'Entrenamiento Deportivo'!M30</f>
        <v>0</v>
      </c>
      <c r="P17" s="20">
        <v>2025</v>
      </c>
    </row>
    <row r="18" spans="1:16" ht="14.25" customHeight="1">
      <c r="A18" s="20" t="s">
        <v>498</v>
      </c>
      <c r="B18" s="20" t="str">
        <f t="shared" si="1"/>
        <v>ESTRATEGIA 2</v>
      </c>
      <c r="C18" s="20" t="str">
        <f t="shared" si="2"/>
        <v>OBJETIVO OPERATIVO 1</v>
      </c>
      <c r="D18" s="20" t="b">
        <f>'Entrenamiento Deportivo'!B31</f>
        <v>0</v>
      </c>
      <c r="E18" s="20" t="str">
        <f>'Entrenamiento Deportivo'!C31</f>
        <v>Baja</v>
      </c>
      <c r="F18" s="21">
        <f>'Entrenamiento Deportivo'!D31</f>
        <v>45991</v>
      </c>
      <c r="G18" s="20" t="str">
        <f>'Entrenamiento Deportivo'!E31</f>
        <v>Informe final POA 2025</v>
      </c>
      <c r="H18" s="20" t="str">
        <f>'Entrenamiento Deportivo'!F31</f>
        <v>Director/a carrera - gestor académico</v>
      </c>
      <c r="I18" s="20" t="str">
        <f>'Entrenamiento Deportivo'!G31</f>
        <v>Informar sobre el alcance final del  POA</v>
      </c>
      <c r="J18" s="20" t="str">
        <f>'Entrenamiento Deportivo'!H31</f>
        <v>Informe final POA 2025</v>
      </c>
      <c r="K18" s="62">
        <f>'Entrenamiento Deportivo'!I31</f>
        <v>1</v>
      </c>
      <c r="L18" s="160">
        <f>'Entrenamiento Deportivo'!J31</f>
        <v>0</v>
      </c>
      <c r="M18" s="20">
        <f>'Entrenamiento Deportivo'!K31</f>
        <v>0</v>
      </c>
      <c r="N18" s="20">
        <f>'Entrenamiento Deportivo'!L31</f>
        <v>0</v>
      </c>
      <c r="O18" s="20">
        <f>'Entrenamiento Deportivo'!M31</f>
        <v>0</v>
      </c>
      <c r="P18" s="20">
        <v>2025</v>
      </c>
    </row>
    <row r="19" spans="1:16" ht="14.25" customHeight="1">
      <c r="A19" s="20" t="s">
        <v>498</v>
      </c>
      <c r="B19" s="20" t="str">
        <f t="shared" si="1"/>
        <v>ESTRATEGIA 2</v>
      </c>
      <c r="C19" s="20" t="str">
        <f t="shared" si="2"/>
        <v>OBJETIVO OPERATIVO 1</v>
      </c>
      <c r="D19" s="20" t="b">
        <f>'Entrenamiento Deportivo'!B32</f>
        <v>0</v>
      </c>
      <c r="E19" s="20" t="str">
        <f>'Entrenamiento Deportivo'!C32</f>
        <v>Baja</v>
      </c>
      <c r="F19" s="21">
        <f>'Entrenamiento Deportivo'!D32</f>
        <v>46011</v>
      </c>
      <c r="G19" s="20" t="str">
        <f>'Entrenamiento Deportivo'!E32</f>
        <v>Elaborar la Planificación Operativa Anual 2025</v>
      </c>
      <c r="H19" s="20" t="str">
        <f>'Entrenamiento Deportivo'!F32</f>
        <v>Director/a carrera - gestor académico</v>
      </c>
      <c r="I19" s="20" t="str">
        <f>'Entrenamiento Deportivo'!G32</f>
        <v>Realizar la planificación para el 2026</v>
      </c>
      <c r="J19" s="20" t="str">
        <f>'Entrenamiento Deportivo'!H32</f>
        <v>POA 2026</v>
      </c>
      <c r="K19" s="62">
        <f>'Entrenamiento Deportivo'!I32</f>
        <v>1</v>
      </c>
      <c r="L19" s="160">
        <f>'Entrenamiento Deportivo'!J32</f>
        <v>0</v>
      </c>
      <c r="M19" s="20">
        <f>'Entrenamiento Deportivo'!K32</f>
        <v>0</v>
      </c>
      <c r="N19" s="20">
        <f>'Entrenamiento Deportivo'!L32</f>
        <v>0</v>
      </c>
      <c r="O19" s="20">
        <f>'Entrenamiento Deportivo'!M32</f>
        <v>0</v>
      </c>
      <c r="P19" s="20">
        <v>2025</v>
      </c>
    </row>
    <row r="20" spans="1:16" ht="14.25" customHeight="1">
      <c r="A20" s="20" t="s">
        <v>498</v>
      </c>
      <c r="B20" s="20" t="str">
        <f t="shared" si="1"/>
        <v>ESTRATEGIA 2</v>
      </c>
      <c r="C20" s="20" t="str">
        <f t="shared" si="2"/>
        <v>OBJETIVO OPERATIVO 1</v>
      </c>
      <c r="D20" s="20" t="b">
        <f>'Entrenamiento Deportivo'!B33</f>
        <v>0</v>
      </c>
      <c r="E20" s="20" t="str">
        <f>'Entrenamiento Deportivo'!C33</f>
        <v>Media</v>
      </c>
      <c r="F20" s="21" t="str">
        <f>'Entrenamiento Deportivo'!D33</f>
        <v xml:space="preserve">2025-I ( fin ciclo)
2025-II ( fin ciclo)
</v>
      </c>
      <c r="G20" s="20" t="str">
        <f>'Entrenamiento Deportivo'!E33</f>
        <v>Designación de tutores de curso</v>
      </c>
      <c r="H20" s="20" t="str">
        <f>'Entrenamiento Deportivo'!F33</f>
        <v>Director/a carrera</v>
      </c>
      <c r="I20" s="20" t="str">
        <f>'Entrenamiento Deportivo'!G33</f>
        <v>Realizar las designaciones y evidenciar los responsables y tutores de la carrera</v>
      </c>
      <c r="J20" s="20" t="str">
        <f>'Entrenamiento Deportivo'!H33</f>
        <v>Documento de designación de tutores por parte del director de carrera</v>
      </c>
      <c r="K20" s="62">
        <f>'Entrenamiento Deportivo'!I33</f>
        <v>1</v>
      </c>
      <c r="L20" s="160">
        <f>'Entrenamiento Deportivo'!J33</f>
        <v>0</v>
      </c>
      <c r="M20" s="20">
        <f>'Entrenamiento Deportivo'!K33</f>
        <v>0</v>
      </c>
      <c r="N20" s="20">
        <f>'Entrenamiento Deportivo'!L33</f>
        <v>0</v>
      </c>
      <c r="O20" s="20">
        <f>'Entrenamiento Deportivo'!M33</f>
        <v>0</v>
      </c>
      <c r="P20" s="20">
        <v>2025</v>
      </c>
    </row>
    <row r="21" spans="1:16" ht="14.25" customHeight="1">
      <c r="A21" s="20" t="s">
        <v>498</v>
      </c>
      <c r="B21" s="20" t="str">
        <f t="shared" si="1"/>
        <v>ESTRATEGIA 2</v>
      </c>
      <c r="C21" s="20" t="str">
        <f t="shared" si="2"/>
        <v>OBJETIVO OPERATIVO 1</v>
      </c>
      <c r="D21" s="20" t="b">
        <f>'Entrenamiento Deportivo'!B34</f>
        <v>0</v>
      </c>
      <c r="E21" s="20" t="str">
        <f>'Entrenamiento Deportivo'!C34</f>
        <v>Media</v>
      </c>
      <c r="F21" s="21" t="str">
        <f>'Entrenamiento Deportivo'!D34</f>
        <v xml:space="preserve">2025-I ( fin ciclo)
2025-II ( fin ciclo)
</v>
      </c>
      <c r="G21" s="20" t="str">
        <f>'Entrenamiento Deportivo'!E34</f>
        <v>Ejecutar las actividades de la fase de SEGUIMIENTO del modelo metodológico del proceso de Seguimiento Curricular</v>
      </c>
      <c r="H21" s="20" t="str">
        <f>'Entrenamiento Deportivo'!F34</f>
        <v>Director/a de carrera - Gestor/a académico
Tutores de curso</v>
      </c>
      <c r="I21" s="20" t="str">
        <f>'Entrenamiento Deportivo'!G34</f>
        <v>Realizar el Seguimiento del modelo metodológico</v>
      </c>
      <c r="J21" s="20" t="str">
        <f>'Entrenamiento Deportivo'!H34</f>
        <v>Fase SEGUIMIENTO:
INICIO: Socialización de Tutorías Académicas
DURANTE: Registro de Calificaciones del Primer Parcial
FINAL : Registro de Calificación Finales</v>
      </c>
      <c r="K21" s="62">
        <f>'Entrenamiento Deportivo'!I34</f>
        <v>1</v>
      </c>
      <c r="L21" s="160">
        <f>'Entrenamiento Deportivo'!J34</f>
        <v>0</v>
      </c>
      <c r="M21" s="20">
        <f>'Entrenamiento Deportivo'!K34</f>
        <v>0</v>
      </c>
      <c r="N21" s="20">
        <f>'Entrenamiento Deportivo'!L34</f>
        <v>0</v>
      </c>
      <c r="O21" s="20">
        <f>'Entrenamiento Deportivo'!M34</f>
        <v>0</v>
      </c>
      <c r="P21" s="20">
        <v>2025</v>
      </c>
    </row>
    <row r="22" spans="1:16" ht="14.25" customHeight="1">
      <c r="A22" s="20" t="s">
        <v>498</v>
      </c>
      <c r="B22" s="20" t="str">
        <f t="shared" si="1"/>
        <v>ESTRATEGIA 2</v>
      </c>
      <c r="C22" s="20" t="str">
        <f t="shared" si="2"/>
        <v>OBJETIVO OPERATIVO 1</v>
      </c>
      <c r="D22" s="20" t="b">
        <f>'Entrenamiento Deportivo'!B35</f>
        <v>0</v>
      </c>
      <c r="E22" s="20" t="str">
        <f>'Entrenamiento Deportivo'!C35</f>
        <v>Media</v>
      </c>
      <c r="F22" s="21" t="str">
        <f>'Entrenamiento Deportivo'!D35</f>
        <v xml:space="preserve">2025-I ( fin ciclo)
2025-II ( fin ciclo)
</v>
      </c>
      <c r="G22" s="20" t="str">
        <f>'Entrenamiento Deportivo'!E35</f>
        <v>Ejecutar las actividades de la fase de CONTROL del modelo metodológico del proceso de Seguimiento Curricular</v>
      </c>
      <c r="H22" s="20" t="str">
        <f>'Entrenamiento Deportivo'!F35</f>
        <v>Director/a de carrera - Gestor/a académico
Tutores de curso</v>
      </c>
      <c r="I22" s="20" t="str">
        <f>'Entrenamiento Deportivo'!G35</f>
        <v>Realizar el Control del modelo metodológico</v>
      </c>
      <c r="J22" s="20" t="str">
        <f>'Entrenamiento Deportivo'!H35</f>
        <v>Fase CONTROL:
INICIO: Matriz consolidada de resultados de Pruebas de Diagnostico
DURANTE: Matriz consolidada de resultados de Calificaciones del Primer Parcial
FINAL : Matriz consolidada de resultados de Calificaciones Finales</v>
      </c>
      <c r="K22" s="62">
        <f>'Entrenamiento Deportivo'!I35</f>
        <v>1</v>
      </c>
      <c r="L22" s="160">
        <f>'Entrenamiento Deportivo'!J35</f>
        <v>0</v>
      </c>
      <c r="M22" s="20">
        <f>'Entrenamiento Deportivo'!K35</f>
        <v>0</v>
      </c>
      <c r="N22" s="20">
        <f>'Entrenamiento Deportivo'!L35</f>
        <v>0</v>
      </c>
      <c r="O22" s="20">
        <f>'Entrenamiento Deportivo'!M35</f>
        <v>0</v>
      </c>
      <c r="P22" s="20">
        <v>2025</v>
      </c>
    </row>
    <row r="23" spans="1:16" ht="14.25" customHeight="1">
      <c r="A23" s="20" t="s">
        <v>498</v>
      </c>
      <c r="B23" s="20" t="str">
        <f t="shared" si="1"/>
        <v>ESTRATEGIA 2</v>
      </c>
      <c r="C23" s="20" t="str">
        <f t="shared" si="2"/>
        <v>OBJETIVO OPERATIVO 1</v>
      </c>
      <c r="D23" s="20" t="b">
        <f>'Entrenamiento Deportivo'!B36</f>
        <v>0</v>
      </c>
      <c r="E23" s="20" t="str">
        <f>'Entrenamiento Deportivo'!C36</f>
        <v>Media</v>
      </c>
      <c r="F23" s="21" t="str">
        <f>'Entrenamiento Deportivo'!D36</f>
        <v>2025-I(Todo el ciclo)
2025-II(Todo el ciclo)</v>
      </c>
      <c r="G23" s="20" t="str">
        <f>'Entrenamiento Deportivo'!E36</f>
        <v>Ejecutar las actividades de la fase de EVALUACIÓN del modelo metodológico del proceso de Seguimiento Curricular</v>
      </c>
      <c r="H23" s="20" t="str">
        <f>'Entrenamiento Deportivo'!F36</f>
        <v>Director/a de carrera - Gestor/a académico
Tutores de curso</v>
      </c>
      <c r="I23" s="20" t="str">
        <f>'Entrenamiento Deportivo'!G36</f>
        <v>Realizar la Evaluación del modelo metodológico</v>
      </c>
      <c r="J23" s="20" t="str">
        <f>'Entrenamiento Deportivo'!H36</f>
        <v>Fase EVALUACIÓN:
INICIO: Acta de reunión de inicio de ciclo estudiantes
DURANTE: Acta de reunión del Primer Parcial Docentes - Estudiantes
FINAL : Acta de reunión Final - Docentes - Estudiantes</v>
      </c>
      <c r="K23" s="62">
        <f>'Entrenamiento Deportivo'!I36</f>
        <v>1</v>
      </c>
      <c r="L23" s="160">
        <f>'Entrenamiento Deportivo'!J36</f>
        <v>0</v>
      </c>
      <c r="M23" s="20">
        <f>'Entrenamiento Deportivo'!K36</f>
        <v>0</v>
      </c>
      <c r="N23" s="20">
        <f>'Entrenamiento Deportivo'!L36</f>
        <v>0</v>
      </c>
      <c r="O23" s="20">
        <f>'Entrenamiento Deportivo'!M36</f>
        <v>0</v>
      </c>
      <c r="P23" s="20">
        <v>2025</v>
      </c>
    </row>
    <row r="24" spans="1:16" ht="14.25" customHeight="1">
      <c r="A24" s="20" t="s">
        <v>498</v>
      </c>
      <c r="B24" s="20" t="str">
        <f t="shared" si="1"/>
        <v>ESTRATEGIA 2</v>
      </c>
      <c r="C24" s="20" t="str">
        <f t="shared" si="2"/>
        <v>OBJETIVO OPERATIVO 1</v>
      </c>
      <c r="D24" s="20" t="b">
        <f>'Entrenamiento Deportivo'!B37</f>
        <v>0</v>
      </c>
      <c r="E24" s="20" t="str">
        <f>'Entrenamiento Deportivo'!C37</f>
        <v>Baja</v>
      </c>
      <c r="F24" s="21" t="str">
        <f>'Entrenamiento Deportivo'!D37</f>
        <v xml:space="preserve">2025-I ( fin ciclo)
2025-II ( fin ciclo)
</v>
      </c>
      <c r="G24" s="20" t="str">
        <f>'Entrenamiento Deportivo'!E37</f>
        <v>Elaboración del Plan de Mejoramiento del proceso enseñanza aprendizaje</v>
      </c>
      <c r="H24" s="20" t="str">
        <f>'Entrenamiento Deportivo'!F37</f>
        <v>Director/a carrera
Responsable de Seguimiento a graduados de la carrera</v>
      </c>
      <c r="I24" s="20" t="str">
        <f>'Entrenamiento Deportivo'!G37</f>
        <v>De acuerdo a los resultados generar el Plan de Mejoramiento enseñanza aprendizaje</v>
      </c>
      <c r="J24" s="20" t="str">
        <f>'Entrenamiento Deportivo'!H37</f>
        <v>Informe de plan de mejoramiento curricular</v>
      </c>
      <c r="K24" s="62">
        <f>'Entrenamiento Deportivo'!I37</f>
        <v>0</v>
      </c>
      <c r="L24" s="160">
        <f>'Entrenamiento Deportivo'!J37</f>
        <v>0</v>
      </c>
      <c r="M24" s="20">
        <f>'Entrenamiento Deportivo'!K37</f>
        <v>0</v>
      </c>
      <c r="N24" s="20">
        <f>'Entrenamiento Deportivo'!L37</f>
        <v>0</v>
      </c>
      <c r="O24" s="20" t="str">
        <f>'Entrenamiento Deportivo'!M37</f>
        <v>NO ENTREGADO</v>
      </c>
      <c r="P24" s="20">
        <v>2025</v>
      </c>
    </row>
    <row r="25" spans="1:16" ht="14.25" customHeight="1">
      <c r="A25" s="20" t="s">
        <v>498</v>
      </c>
      <c r="B25" s="20" t="str">
        <f t="shared" si="1"/>
        <v>ESTRATEGIA 2</v>
      </c>
      <c r="C25" s="20" t="str">
        <f>'Entrenamiento Deportivo'!E38</f>
        <v>OBJETIVO OPERATIVO 2</v>
      </c>
      <c r="D25" s="20" t="b">
        <f>'Entrenamiento Deportivo'!B39</f>
        <v>1</v>
      </c>
      <c r="E25" s="20" t="str">
        <f>'Entrenamiento Deportivo'!C39</f>
        <v>Media</v>
      </c>
      <c r="F25" s="21" t="str">
        <f>'Entrenamiento Deportivo'!D39</f>
        <v xml:space="preserve">2025-I ( fin ciclo)
2025-II ( fin ciclo)
</v>
      </c>
      <c r="G25" s="20" t="str">
        <f>'Entrenamiento Deportivo'!E39</f>
        <v>Diseñar, gestionar e implementar cursos o programas de inducción y de actualización para docentes y estudiantes.</v>
      </c>
      <c r="H25" s="20" t="str">
        <f>'Entrenamiento Deportivo'!F39</f>
        <v>Director/a carrera - gestor académico</v>
      </c>
      <c r="I25" s="20" t="str">
        <f>'Entrenamiento Deportivo'!G39</f>
        <v>Generar la capacitación docente</v>
      </c>
      <c r="J25" s="20" t="str">
        <f>'Entrenamiento Deportivo'!H39</f>
        <v>Informes de cursos y o programas.</v>
      </c>
      <c r="K25" s="62">
        <f>'Entrenamiento Deportivo'!I39</f>
        <v>0</v>
      </c>
      <c r="L25" s="160">
        <f>'Entrenamiento Deportivo'!J39</f>
        <v>0</v>
      </c>
      <c r="M25" s="20">
        <f>'Entrenamiento Deportivo'!K39</f>
        <v>0</v>
      </c>
      <c r="N25" s="20">
        <f>'Entrenamiento Deportivo'!L39</f>
        <v>0</v>
      </c>
      <c r="O25" s="20" t="str">
        <f>'Entrenamiento Deportivo'!M39</f>
        <v>NO ENTREGADO</v>
      </c>
      <c r="P25" s="20">
        <v>2025</v>
      </c>
    </row>
    <row r="26" spans="1:16" ht="14.25" customHeight="1">
      <c r="A26" s="20" t="s">
        <v>498</v>
      </c>
      <c r="B26" s="20" t="str">
        <f t="shared" ref="B26:B31" si="3">$B$25</f>
        <v>ESTRATEGIA 2</v>
      </c>
      <c r="C26" s="20" t="str">
        <f>$C$25</f>
        <v>OBJETIVO OPERATIVO 2</v>
      </c>
      <c r="D26" s="20" t="b">
        <f>'Entrenamiento Deportivo'!B40</f>
        <v>1</v>
      </c>
      <c r="E26" s="20" t="str">
        <f>'Entrenamiento Deportivo'!C40</f>
        <v>Media</v>
      </c>
      <c r="F26" s="21" t="str">
        <f>'Entrenamiento Deportivo'!D40</f>
        <v xml:space="preserve">2025-I ( fin ciclo)
2025-II ( fin ciclo)
</v>
      </c>
      <c r="G26" s="20" t="str">
        <f>'Entrenamiento Deportivo'!E40</f>
        <v>Capacitar a los estudiantes sobre la utilización de la Plataforma Moodle.</v>
      </c>
      <c r="H26" s="20" t="str">
        <f>'Entrenamiento Deportivo'!F40</f>
        <v>responsable plataforma Moodle de la carrera</v>
      </c>
      <c r="I26" s="20" t="str">
        <f>'Entrenamiento Deportivo'!G40</f>
        <v>Generar la capacitación estudiantil sobre el Moodle</v>
      </c>
      <c r="J26" s="20" t="str">
        <f>'Entrenamiento Deportivo'!H40</f>
        <v>Informe sobre la capacitación</v>
      </c>
      <c r="K26" s="62">
        <f>'Entrenamiento Deportivo'!I40</f>
        <v>0</v>
      </c>
      <c r="L26" s="160">
        <f>'Entrenamiento Deportivo'!J40</f>
        <v>0</v>
      </c>
      <c r="M26" s="20">
        <f>'Entrenamiento Deportivo'!K40</f>
        <v>0</v>
      </c>
      <c r="N26" s="20">
        <f>'Entrenamiento Deportivo'!L40</f>
        <v>0</v>
      </c>
      <c r="O26" s="20" t="str">
        <f>'Entrenamiento Deportivo'!M40</f>
        <v>NO ENTREGADO</v>
      </c>
      <c r="P26" s="20">
        <v>2025</v>
      </c>
    </row>
    <row r="27" spans="1:16" ht="14.25" customHeight="1">
      <c r="A27" s="20" t="s">
        <v>498</v>
      </c>
      <c r="B27" s="20" t="str">
        <f t="shared" si="3"/>
        <v>ESTRATEGIA 2</v>
      </c>
      <c r="C27" s="20" t="str">
        <f>$C$25</f>
        <v>OBJETIVO OPERATIVO 2</v>
      </c>
      <c r="D27" s="20" t="b">
        <f>'Entrenamiento Deportivo'!B41</f>
        <v>1</v>
      </c>
      <c r="E27" s="20" t="str">
        <f>'Entrenamiento Deportivo'!C41</f>
        <v>Baja</v>
      </c>
      <c r="F27" s="21" t="str">
        <f>'Entrenamiento Deportivo'!D41</f>
        <v xml:space="preserve">2025-I ( fin ciclo)
2025-II ( fin ciclo)
</v>
      </c>
      <c r="G27" s="20" t="str">
        <f>'Entrenamiento Deportivo'!E41</f>
        <v>Elaborar y ejecutar la planificación de oferta complementaria.</v>
      </c>
      <c r="H27" s="20" t="str">
        <f>'Entrenamiento Deportivo'!F41</f>
        <v>Docentes de la carrera</v>
      </c>
      <c r="I27" s="20" t="str">
        <f>'Entrenamiento Deportivo'!G41</f>
        <v>Analizar y realizar la oferta complementaria</v>
      </c>
      <c r="J27" s="20" t="str">
        <f>'Entrenamiento Deportivo'!H41</f>
        <v>Informe de ejecución de la oferta complementaria.</v>
      </c>
      <c r="K27" s="62">
        <f>'Entrenamiento Deportivo'!I41</f>
        <v>0</v>
      </c>
      <c r="L27" s="160">
        <f>'Entrenamiento Deportivo'!J41</f>
        <v>0</v>
      </c>
      <c r="M27" s="20">
        <f>'Entrenamiento Deportivo'!K41</f>
        <v>0</v>
      </c>
      <c r="N27" s="20">
        <f>'Entrenamiento Deportivo'!L41</f>
        <v>0</v>
      </c>
      <c r="O27" s="20" t="str">
        <f>'Entrenamiento Deportivo'!M41</f>
        <v>NO ENTREGADO</v>
      </c>
      <c r="P27" s="20">
        <v>2025</v>
      </c>
    </row>
    <row r="28" spans="1:16" ht="14.25" customHeight="1">
      <c r="A28" s="20" t="s">
        <v>498</v>
      </c>
      <c r="B28" s="20" t="str">
        <f t="shared" si="3"/>
        <v>ESTRATEGIA 2</v>
      </c>
      <c r="C28" s="20" t="str">
        <f>'Entrenamiento Deportivo'!E42</f>
        <v>OBJETIVO OPERATIVO 3</v>
      </c>
      <c r="D28" s="20">
        <f>'Entrenamiento Deportivo'!B42</f>
        <v>0</v>
      </c>
      <c r="E28" s="20">
        <f>'Entrenamiento Deportivo'!C42</f>
        <v>0</v>
      </c>
      <c r="F28" s="20">
        <f>'Entrenamiento Deportivo'!D42</f>
        <v>0</v>
      </c>
      <c r="H28" s="20">
        <f>'Entrenamiento Deportivo'!F42</f>
        <v>0</v>
      </c>
      <c r="I28" s="20">
        <f>'Entrenamiento Deportivo'!G42</f>
        <v>0</v>
      </c>
      <c r="J28" s="20">
        <f>'Entrenamiento Deportivo'!H42</f>
        <v>0</v>
      </c>
      <c r="K28" s="20">
        <f>'Entrenamiento Deportivo'!I42</f>
        <v>0</v>
      </c>
      <c r="L28" s="20">
        <f>'Entrenamiento Deportivo'!J42</f>
        <v>0</v>
      </c>
      <c r="M28" s="20">
        <f>'Entrenamiento Deportivo'!K42</f>
        <v>0</v>
      </c>
      <c r="N28" s="20">
        <f>'Entrenamiento Deportivo'!L42</f>
        <v>0</v>
      </c>
      <c r="O28" s="20">
        <f>'Entrenamiento Deportivo'!M42</f>
        <v>0</v>
      </c>
      <c r="P28" s="20">
        <v>2025</v>
      </c>
    </row>
    <row r="29" spans="1:16" ht="14.25" customHeight="1">
      <c r="A29" s="20" t="s">
        <v>498</v>
      </c>
      <c r="B29" s="20" t="str">
        <f t="shared" si="3"/>
        <v>ESTRATEGIA 2</v>
      </c>
      <c r="C29" s="20" t="str">
        <f>$C$28</f>
        <v>OBJETIVO OPERATIVO 3</v>
      </c>
      <c r="D29" s="20" t="b">
        <f>'Entrenamiento Deportivo'!B43</f>
        <v>1</v>
      </c>
      <c r="E29" s="20" t="str">
        <f>'Entrenamiento Deportivo'!C43</f>
        <v>Alta</v>
      </c>
      <c r="F29" s="21" t="str">
        <f>'Entrenamiento Deportivo'!D43</f>
        <v>2025-I(Inicio de ciclo)</v>
      </c>
      <c r="G29" s="20" t="str">
        <f>'Entrenamiento Deportivo'!E43</f>
        <v>Revisión de requisitos de la opción de titulación de los estudiantes.</v>
      </c>
      <c r="H29" s="20" t="str">
        <f>'Entrenamiento Deportivo'!F43</f>
        <v>Director de carrera / Coordinador de carreras</v>
      </c>
      <c r="I29" s="20" t="str">
        <f>'Entrenamiento Deportivo'!G43</f>
        <v>Realizar el análisis de la opción de titulación para los estudiantes</v>
      </c>
      <c r="J29" s="20" t="str">
        <f>'Entrenamiento Deportivo'!H43</f>
        <v>Recopilar los documentos de los estudiantes de titulación.</v>
      </c>
      <c r="K29" s="62">
        <f>'Entrenamiento Deportivo'!I43</f>
        <v>1</v>
      </c>
      <c r="L29" s="160">
        <f>'Entrenamiento Deportivo'!J43</f>
        <v>0</v>
      </c>
      <c r="M29" s="20">
        <f>'Entrenamiento Deportivo'!K43</f>
        <v>0</v>
      </c>
      <c r="N29" s="20">
        <f>'Entrenamiento Deportivo'!L43</f>
        <v>0</v>
      </c>
      <c r="O29" s="20">
        <f>'Entrenamiento Deportivo'!M43</f>
        <v>0</v>
      </c>
      <c r="P29" s="20">
        <v>2025</v>
      </c>
    </row>
    <row r="30" spans="1:16" ht="14.25" customHeight="1">
      <c r="A30" s="20" t="s">
        <v>498</v>
      </c>
      <c r="B30" s="20" t="str">
        <f t="shared" si="3"/>
        <v>ESTRATEGIA 2</v>
      </c>
      <c r="C30" s="20" t="str">
        <f>$C$28</f>
        <v>OBJETIVO OPERATIVO 3</v>
      </c>
      <c r="D30" s="20" t="b">
        <f>'Entrenamiento Deportivo'!B44</f>
        <v>1</v>
      </c>
      <c r="E30" s="20" t="str">
        <f>'Entrenamiento Deportivo'!C44</f>
        <v>Alta</v>
      </c>
      <c r="F30" s="21" t="str">
        <f>'Entrenamiento Deportivo'!D44</f>
        <v>2025-I(Inicio de ciclo)</v>
      </c>
      <c r="G30" s="20" t="str">
        <f>'Entrenamiento Deportivo'!E44</f>
        <v>Coordinación para aprobación de documentación de la integración curricular.</v>
      </c>
      <c r="H30" s="20" t="str">
        <f>'Entrenamiento Deportivo'!F44</f>
        <v>Director de carrera / Coordinador de carreras</v>
      </c>
      <c r="I30" s="20" t="str">
        <f>'Entrenamiento Deportivo'!G44</f>
        <v>Revisar y coordinar la aprobación de documentos para el ingreso a la unidad de integración curricular</v>
      </c>
      <c r="J30" s="20" t="str">
        <f>'Entrenamiento Deportivo'!H44</f>
        <v>Aprobación de la documentación a titulación.</v>
      </c>
      <c r="K30" s="62">
        <f>'Entrenamiento Deportivo'!I44</f>
        <v>1</v>
      </c>
      <c r="L30" s="160">
        <f>'Entrenamiento Deportivo'!J44</f>
        <v>0</v>
      </c>
      <c r="M30" s="20">
        <f>'Entrenamiento Deportivo'!K44</f>
        <v>0</v>
      </c>
      <c r="N30" s="20">
        <f>'Entrenamiento Deportivo'!L44</f>
        <v>0</v>
      </c>
      <c r="O30" s="20">
        <f>'Entrenamiento Deportivo'!M44</f>
        <v>0</v>
      </c>
      <c r="P30" s="20">
        <v>2025</v>
      </c>
    </row>
    <row r="31" spans="1:16" ht="14.25" customHeight="1">
      <c r="A31" s="20" t="s">
        <v>498</v>
      </c>
      <c r="B31" s="20" t="str">
        <f t="shared" si="3"/>
        <v>ESTRATEGIA 2</v>
      </c>
      <c r="C31" s="20" t="str">
        <f>$C$28</f>
        <v>OBJETIVO OPERATIVO 3</v>
      </c>
      <c r="D31" s="20" t="b">
        <f>'Entrenamiento Deportivo'!B45</f>
        <v>1</v>
      </c>
      <c r="E31" s="20" t="str">
        <f>'Entrenamiento Deportivo'!C45</f>
        <v>Alta</v>
      </c>
      <c r="F31" s="21" t="str">
        <f>'Entrenamiento Deportivo'!D45</f>
        <v>2025-I(Fin de ciclo)</v>
      </c>
      <c r="G31" s="20" t="str">
        <f>'Entrenamiento Deportivo'!E45</f>
        <v>Coordinación del evento de incorporación.</v>
      </c>
      <c r="H31" s="20" t="str">
        <f>'Entrenamiento Deportivo'!F45</f>
        <v>Director de carrera / Coordinador de carreras</v>
      </c>
      <c r="I31" s="20" t="str">
        <f>'Entrenamiento Deportivo'!G45</f>
        <v>Realizar la lista de estudiantes a titularse</v>
      </c>
      <c r="J31" s="20" t="str">
        <f>'Entrenamiento Deportivo'!H45</f>
        <v>Matriz de datos de estudiantes a titularse</v>
      </c>
      <c r="K31" s="62">
        <f>'Entrenamiento Deportivo'!I45</f>
        <v>1</v>
      </c>
      <c r="L31" s="160">
        <f>'Entrenamiento Deportivo'!J45</f>
        <v>0</v>
      </c>
      <c r="M31" s="20">
        <f>'Entrenamiento Deportivo'!K45</f>
        <v>0</v>
      </c>
      <c r="N31" s="20">
        <f>'Entrenamiento Deportivo'!L45</f>
        <v>0</v>
      </c>
      <c r="O31" s="20">
        <f>'Entrenamiento Deportivo'!M45</f>
        <v>0</v>
      </c>
      <c r="P31" s="20">
        <v>2025</v>
      </c>
    </row>
    <row r="32" spans="1:16" ht="14.25" customHeight="1">
      <c r="A32" s="20" t="s">
        <v>498</v>
      </c>
      <c r="B32" s="20" t="str">
        <f>'Entrenamiento Deportivo'!B46</f>
        <v>ESTRATEGIA 3</v>
      </c>
      <c r="C32" s="20" t="str">
        <f>'Entrenamiento Deportivo'!E46</f>
        <v>OBJETIVO OPERATIVO 1</v>
      </c>
      <c r="D32" s="20" t="b">
        <f>'Entrenamiento Deportivo'!B47</f>
        <v>0</v>
      </c>
      <c r="E32" s="20" t="str">
        <f>'Entrenamiento Deportivo'!C47</f>
        <v>Media</v>
      </c>
      <c r="F32" s="21" t="str">
        <f>'Entrenamiento Deportivo'!D47</f>
        <v xml:space="preserve">2025-I ( fin ciclo)
2025-II ( fin ciclo)
</v>
      </c>
      <c r="G32" s="20" t="str">
        <f>'Entrenamiento Deportivo'!E47</f>
        <v>Colaborar con la comisión de Vinculación en la construcción de los documentos necesarios para la firma de convenios.</v>
      </c>
      <c r="H32" s="20" t="str">
        <f>'Entrenamiento Deportivo'!F47</f>
        <v>Director/a carrera -responsable de practicas y vinculación</v>
      </c>
      <c r="I32" s="20" t="str">
        <f>'Entrenamiento Deportivo'!G47</f>
        <v>Brindar apoyo y realizar ITV de vinculación de la carrera</v>
      </c>
      <c r="J32" s="20" t="str">
        <f>'Entrenamiento Deportivo'!H47</f>
        <v>ITV  y los convenios.</v>
      </c>
      <c r="K32" s="62">
        <f>'Entrenamiento Deportivo'!I47</f>
        <v>1</v>
      </c>
      <c r="L32" s="160">
        <f>'Entrenamiento Deportivo'!J47</f>
        <v>0</v>
      </c>
      <c r="M32" s="20">
        <f>'Entrenamiento Deportivo'!K47</f>
        <v>0</v>
      </c>
      <c r="N32" s="20">
        <f>'Entrenamiento Deportivo'!L47</f>
        <v>0</v>
      </c>
      <c r="O32" s="20">
        <f>'Entrenamiento Deportivo'!M47</f>
        <v>0</v>
      </c>
      <c r="P32" s="20">
        <v>2025</v>
      </c>
    </row>
    <row r="33" spans="1:16" ht="14.25" customHeight="1">
      <c r="A33" s="20" t="s">
        <v>498</v>
      </c>
      <c r="B33" s="20" t="str">
        <f>$B$32</f>
        <v>ESTRATEGIA 3</v>
      </c>
      <c r="C33" s="20" t="str">
        <f>$C$32</f>
        <v>OBJETIVO OPERATIVO 1</v>
      </c>
      <c r="D33" s="20" t="b">
        <f>'Entrenamiento Deportivo'!B48</f>
        <v>0</v>
      </c>
      <c r="E33" s="20" t="str">
        <f>'Entrenamiento Deportivo'!C48</f>
        <v>Baja</v>
      </c>
      <c r="F33" s="21" t="str">
        <f>'Entrenamiento Deportivo'!D48</f>
        <v xml:space="preserve">2025-I ( fin ciclo)
2025-II ( fin ciclo)
</v>
      </c>
      <c r="G33" s="20" t="str">
        <f>'Entrenamiento Deportivo'!E48</f>
        <v>Divulgación de los resultados de los proyectos de vinculación, asistiendo a las ferias convocados por diferentes organizaciones.</v>
      </c>
      <c r="H33" s="20" t="str">
        <f>'Entrenamiento Deportivo'!F48</f>
        <v>Director/a carrera -responsable de practicas y vinculación</v>
      </c>
      <c r="I33" s="20" t="str">
        <f>'Entrenamiento Deportivo'!G48</f>
        <v>Realizar la divulgación de los resultados de los proyectos de vinculación</v>
      </c>
      <c r="J33" s="20" t="str">
        <f>'Entrenamiento Deportivo'!H48</f>
        <v>Informe de la divulgación.</v>
      </c>
      <c r="K33" s="62">
        <f>'Entrenamiento Deportivo'!I48</f>
        <v>1</v>
      </c>
      <c r="L33" s="160">
        <f>'Entrenamiento Deportivo'!J48</f>
        <v>0</v>
      </c>
      <c r="M33" s="20">
        <f>'Entrenamiento Deportivo'!K48</f>
        <v>0</v>
      </c>
      <c r="N33" s="20">
        <f>'Entrenamiento Deportivo'!L48</f>
        <v>0</v>
      </c>
      <c r="O33" s="20">
        <f>'Entrenamiento Deportivo'!M48</f>
        <v>0</v>
      </c>
      <c r="P33" s="20">
        <v>2025</v>
      </c>
    </row>
    <row r="34" spans="1:16" ht="14.25" customHeight="1">
      <c r="A34" s="20" t="s">
        <v>498</v>
      </c>
      <c r="B34" s="20" t="str">
        <f>$B$32</f>
        <v>ESTRATEGIA 3</v>
      </c>
      <c r="C34" s="20" t="str">
        <f>$C$32</f>
        <v>OBJETIVO OPERATIVO 1</v>
      </c>
      <c r="D34" s="20" t="b">
        <f>'Entrenamiento Deportivo'!B49</f>
        <v>0</v>
      </c>
      <c r="E34" s="20" t="str">
        <f>'Entrenamiento Deportivo'!C49</f>
        <v>Baja</v>
      </c>
      <c r="F34" s="21" t="str">
        <f>'Entrenamiento Deportivo'!D49</f>
        <v xml:space="preserve">2025-I ( fin ciclo)
2025-II ( fin ciclo)
</v>
      </c>
      <c r="G34" s="20" t="str">
        <f>'Entrenamiento Deportivo'!E49</f>
        <v>Socializar con los estudiantes el reglamento de vinculación</v>
      </c>
      <c r="H34" s="20" t="str">
        <f>'Entrenamiento Deportivo'!F49</f>
        <v>Director/a carrera -responsable de practicas y vinculación</v>
      </c>
      <c r="I34" s="20" t="str">
        <f>'Entrenamiento Deportivo'!G49</f>
        <v>Realizar la socialización del reglamento de vinculación con los estudiantes</v>
      </c>
      <c r="J34" s="20" t="str">
        <f>'Entrenamiento Deportivo'!H49</f>
        <v>Informe de socialización del reglamento.</v>
      </c>
      <c r="K34" s="62">
        <f>'Entrenamiento Deportivo'!I49</f>
        <v>1</v>
      </c>
      <c r="L34" s="160">
        <f>'Entrenamiento Deportivo'!J49</f>
        <v>0</v>
      </c>
      <c r="M34" s="20">
        <f>'Entrenamiento Deportivo'!K49</f>
        <v>0</v>
      </c>
      <c r="N34" s="20">
        <f>'Entrenamiento Deportivo'!L49</f>
        <v>0</v>
      </c>
      <c r="O34" s="20">
        <f>'Entrenamiento Deportivo'!M49</f>
        <v>0</v>
      </c>
      <c r="P34" s="20">
        <v>2025</v>
      </c>
    </row>
    <row r="35" spans="1:16" ht="14.25" customHeight="1">
      <c r="A35" s="20" t="s">
        <v>498</v>
      </c>
      <c r="B35" s="20" t="str">
        <f>$B$32</f>
        <v>ESTRATEGIA 3</v>
      </c>
      <c r="C35" s="20" t="str">
        <f>'Entrenamiento Deportivo'!E50</f>
        <v>OBJETIVO OPERATIVO 2</v>
      </c>
      <c r="D35" s="20" t="b">
        <f>'Entrenamiento Deportivo'!B51</f>
        <v>1</v>
      </c>
      <c r="E35" s="20" t="str">
        <f>'Entrenamiento Deportivo'!C51</f>
        <v>Alta</v>
      </c>
      <c r="F35" s="21" t="str">
        <f>'Entrenamiento Deportivo'!D51</f>
        <v xml:space="preserve">2025-I ( fin ciclo)
2025-II ( fin ciclo)
</v>
      </c>
      <c r="G35" s="20" t="str">
        <f>'Entrenamiento Deportivo'!E51</f>
        <v>Conocer las líneas de investigación de la carrera</v>
      </c>
      <c r="H35" s="20" t="str">
        <f>'Entrenamiento Deportivo'!F51</f>
        <v>Director de carrera</v>
      </c>
      <c r="I35" s="20" t="str">
        <f>'Entrenamiento Deportivo'!G51</f>
        <v>Analizar y realizar las líneas de investigación de la carrera</v>
      </c>
      <c r="J35" s="20" t="str">
        <f>'Entrenamiento Deportivo'!H51</f>
        <v>Informe de socialización de las líneas de investigación de la carrera</v>
      </c>
      <c r="K35" s="62">
        <f>'Entrenamiento Deportivo'!I51</f>
        <v>0</v>
      </c>
      <c r="L35" s="160">
        <f>'Entrenamiento Deportivo'!J51</f>
        <v>0</v>
      </c>
      <c r="M35" s="20">
        <f>'Entrenamiento Deportivo'!K51</f>
        <v>0</v>
      </c>
      <c r="N35" s="20">
        <f>'Entrenamiento Deportivo'!L51</f>
        <v>0</v>
      </c>
      <c r="O35" s="20" t="str">
        <f>'Entrenamiento Deportivo'!M51</f>
        <v>NO entregado</v>
      </c>
      <c r="P35" s="20">
        <v>2025</v>
      </c>
    </row>
    <row r="36" spans="1:16" ht="14.25" customHeight="1">
      <c r="A36" s="20" t="s">
        <v>498</v>
      </c>
      <c r="B36" s="20" t="str">
        <f>$B$35</f>
        <v>ESTRATEGIA 3</v>
      </c>
      <c r="C36" s="20" t="str">
        <f>$C$35</f>
        <v>OBJETIVO OPERATIVO 2</v>
      </c>
      <c r="D36" s="20" t="b">
        <f>'Entrenamiento Deportivo'!B52</f>
        <v>1</v>
      </c>
      <c r="E36" s="20" t="str">
        <f>'Entrenamiento Deportivo'!C52</f>
        <v>Alta</v>
      </c>
      <c r="F36" s="21" t="str">
        <f>'Entrenamiento Deportivo'!D52</f>
        <v xml:space="preserve">2025-I ( fin ciclo)
2025-II ( fin ciclo)
</v>
      </c>
      <c r="G36" s="20" t="str">
        <f>'Entrenamiento Deportivo'!E52</f>
        <v>Desarrollar investigación científica y tecnológica que contribuya con la construcción de soluciones para los problemas del país, en relación con los objetivos del régimen de desarrollo.</v>
      </c>
      <c r="H36" s="20" t="str">
        <f>'Entrenamiento Deportivo'!F52</f>
        <v>Director de Carrera
Docentes de la carrera
Comisión de Investigación</v>
      </c>
      <c r="I36" s="20" t="str">
        <f>'Entrenamiento Deportivo'!G52</f>
        <v>Incentivar y desarrollar la investigación de los docentes de la carrera en base a las líneas de la carrera</v>
      </c>
      <c r="J36" s="20" t="str">
        <f>'Entrenamiento Deportivo'!H52</f>
        <v>Artículos publicados por los docentes de la carrera</v>
      </c>
      <c r="K36" s="62">
        <f>'Entrenamiento Deportivo'!I52</f>
        <v>1</v>
      </c>
      <c r="L36" s="160">
        <f>'Entrenamiento Deportivo'!J52</f>
        <v>0</v>
      </c>
      <c r="M36" s="20">
        <f>'Entrenamiento Deportivo'!K52</f>
        <v>0</v>
      </c>
      <c r="N36" s="20">
        <f>'Entrenamiento Deportivo'!L52</f>
        <v>0</v>
      </c>
      <c r="O36" s="20">
        <f>'Entrenamiento Deportivo'!M52</f>
        <v>0</v>
      </c>
      <c r="P36" s="20">
        <v>2025</v>
      </c>
    </row>
    <row r="37" spans="1:16" ht="14.25" customHeight="1">
      <c r="A37" s="20" t="s">
        <v>498</v>
      </c>
      <c r="B37" s="20" t="str">
        <f>$B$35</f>
        <v>ESTRATEGIA 3</v>
      </c>
      <c r="C37" s="20" t="str">
        <f>'Entrenamiento Deportivo'!E53</f>
        <v>OBJETIVO OPERATIVO 3</v>
      </c>
      <c r="D37" s="20" t="b">
        <f>'Entrenamiento Deportivo'!B54</f>
        <v>1</v>
      </c>
      <c r="E37" s="20" t="str">
        <f>'Entrenamiento Deportivo'!C54</f>
        <v>Baja</v>
      </c>
      <c r="F37" s="21" t="str">
        <f>'Entrenamiento Deportivo'!D54</f>
        <v xml:space="preserve">2025-I ( fin ciclo)
2025-II ( fin ciclo)
</v>
      </c>
      <c r="G37" s="20" t="str">
        <f>'Entrenamiento Deportivo'!E54</f>
        <v>Ejecutar la formación en valores y desarrollo de habilidades blandas.</v>
      </c>
      <c r="H37" s="20" t="str">
        <f>'Entrenamiento Deportivo'!F54</f>
        <v>Director de carrera
Gestor académico
Bienestar institucional</v>
      </c>
      <c r="I37" s="20" t="str">
        <f>'Entrenamiento Deportivo'!G54</f>
        <v>Realizar un curso de habilidades blandas que se desarrollara para todo el instituto</v>
      </c>
      <c r="J37" s="20" t="str">
        <f>'Entrenamiento Deportivo'!H54</f>
        <v>Informe de formación en valores y desarrollo de habilidades blandas</v>
      </c>
      <c r="K37" s="62">
        <f>'Entrenamiento Deportivo'!I54</f>
        <v>0</v>
      </c>
      <c r="L37" s="160">
        <f>'Entrenamiento Deportivo'!J54</f>
        <v>0</v>
      </c>
      <c r="M37" s="20">
        <f>'Entrenamiento Deportivo'!K54</f>
        <v>0</v>
      </c>
      <c r="N37" s="20">
        <f>'Entrenamiento Deportivo'!L54</f>
        <v>0</v>
      </c>
      <c r="O37" s="20" t="str">
        <f>'Entrenamiento Deportivo'!M54</f>
        <v>NO entregado</v>
      </c>
      <c r="P37" s="20">
        <v>2025</v>
      </c>
    </row>
    <row r="38" spans="1:16" ht="14.25" customHeight="1">
      <c r="A38" s="20" t="s">
        <v>498</v>
      </c>
      <c r="B38" s="20" t="str">
        <f>'Entrenamiento Deportivo'!B55</f>
        <v>ESTRATEGIA 4</v>
      </c>
      <c r="C38" s="20" t="str">
        <f>'Entrenamiento Deportivo'!E55</f>
        <v>OBJETIVO OPERATIVO 1</v>
      </c>
      <c r="D38" s="20" t="b">
        <f>'Entrenamiento Deportivo'!B56</f>
        <v>0</v>
      </c>
      <c r="E38" s="20" t="str">
        <f>'Entrenamiento Deportivo'!C56</f>
        <v>Baja</v>
      </c>
      <c r="F38" s="21" t="str">
        <f>'Entrenamiento Deportivo'!D56</f>
        <v xml:space="preserve">2025-I ( fin ciclo)
2025-II ( fin ciclo)
</v>
      </c>
      <c r="G38" s="20" t="str">
        <f>'Entrenamiento Deportivo'!E56</f>
        <v>Elaboración de matrices de la oferta académica institucional.</v>
      </c>
      <c r="H38" s="20" t="str">
        <f>'Entrenamiento Deportivo'!F56</f>
        <v>Director de Carrera
Gestor Académico</v>
      </c>
      <c r="I38" s="20" t="str">
        <f>'Entrenamiento Deportivo'!G56</f>
        <v>Generación de matrices de oferta académica para la captación de más estudiantes</v>
      </c>
      <c r="J38" s="20" t="str">
        <f>'Entrenamiento Deportivo'!H56</f>
        <v>Matrices de la oferta académica.</v>
      </c>
      <c r="K38" s="62">
        <f>'Entrenamiento Deportivo'!I56</f>
        <v>1</v>
      </c>
      <c r="L38" s="160">
        <f>'Entrenamiento Deportivo'!J56</f>
        <v>0</v>
      </c>
      <c r="M38" s="20">
        <f>'Entrenamiento Deportivo'!K56</f>
        <v>0</v>
      </c>
      <c r="N38" s="20">
        <f>'Entrenamiento Deportivo'!L56</f>
        <v>0</v>
      </c>
      <c r="O38" s="20">
        <f>'Entrenamiento Deportivo'!M56</f>
        <v>0</v>
      </c>
      <c r="P38" s="20">
        <v>2025</v>
      </c>
    </row>
    <row r="39" spans="1:16" ht="14.25" customHeight="1">
      <c r="A39" s="20" t="s">
        <v>498</v>
      </c>
      <c r="B39" s="20" t="str">
        <f>$B$38</f>
        <v>ESTRATEGIA 4</v>
      </c>
      <c r="C39" s="20" t="str">
        <f>$C$38</f>
        <v>OBJETIVO OPERATIVO 1</v>
      </c>
      <c r="D39" s="20" t="b">
        <f>'Entrenamiento Deportivo'!B57</f>
        <v>0</v>
      </c>
      <c r="E39" s="20" t="str">
        <f>'Entrenamiento Deportivo'!C57</f>
        <v>Baja</v>
      </c>
      <c r="F39" s="21" t="str">
        <f>'Entrenamiento Deportivo'!D57</f>
        <v xml:space="preserve">2025-I ( fin ciclo)
2025-II ( fin ciclo)
</v>
      </c>
      <c r="G39" s="20" t="str">
        <f>'Entrenamiento Deportivo'!E57</f>
        <v>Planificación de demanda estudiantil.</v>
      </c>
      <c r="H39" s="20" t="str">
        <f>'Entrenamiento Deportivo'!F57</f>
        <v>Director de Carrera
Gestor Académico</v>
      </c>
      <c r="I39" s="20" t="str">
        <f>'Entrenamiento Deportivo'!G57</f>
        <v>Planificar la demanda institucional en base a históricos de periodos anteriores</v>
      </c>
      <c r="J39" s="20" t="str">
        <f>'Entrenamiento Deportivo'!H57</f>
        <v>Listado certificado  de matriculados de la carrera</v>
      </c>
      <c r="K39" s="62">
        <f>'Entrenamiento Deportivo'!I57</f>
        <v>0.5</v>
      </c>
      <c r="L39" s="160">
        <f>'Entrenamiento Deportivo'!J57</f>
        <v>0</v>
      </c>
      <c r="M39" s="20">
        <f>'Entrenamiento Deportivo'!K57</f>
        <v>0</v>
      </c>
      <c r="N39" s="20">
        <f>'Entrenamiento Deportivo'!L57</f>
        <v>0</v>
      </c>
      <c r="O39" s="20" t="str">
        <f>'Entrenamiento Deportivo'!M57</f>
        <v>NO sube la documentación del ciclo pedagógico 2025-II</v>
      </c>
      <c r="P39" s="20">
        <v>2025</v>
      </c>
    </row>
    <row r="40" spans="1:16" ht="14.25" customHeight="1">
      <c r="A40" s="20" t="s">
        <v>498</v>
      </c>
      <c r="B40" s="20" t="str">
        <f>$B$38</f>
        <v>ESTRATEGIA 4</v>
      </c>
      <c r="C40" s="20" t="str">
        <f>$C$38</f>
        <v>OBJETIVO OPERATIVO 1</v>
      </c>
      <c r="D40" s="20" t="b">
        <f>'Entrenamiento Deportivo'!B58</f>
        <v>0</v>
      </c>
      <c r="E40" s="20" t="str">
        <f>'Entrenamiento Deportivo'!C58</f>
        <v>Media</v>
      </c>
      <c r="F40" s="21" t="str">
        <f>'Entrenamiento Deportivo'!D58</f>
        <v xml:space="preserve">2025-I ( fin ciclo)
2025-II ( fin ciclo)
</v>
      </c>
      <c r="G40" s="20" t="str">
        <f>'Entrenamiento Deportivo'!E58</f>
        <v>Análisis de capacidad operativa de la institución.</v>
      </c>
      <c r="H40" s="20" t="str">
        <f>'Entrenamiento Deportivo'!F58</f>
        <v>Director de Carrera
Gestor Académico</v>
      </c>
      <c r="I40" s="20" t="str">
        <f>'Entrenamiento Deportivo'!G58</f>
        <v>Análisis de requerimientos sustantivo y no sustantivo de la carrera</v>
      </c>
      <c r="J40" s="20" t="str">
        <f>'Entrenamiento Deportivo'!H58</f>
        <v>Resolución de aprobación por OCS de Estandarización de Carrera</v>
      </c>
      <c r="K40" s="62">
        <f>'Entrenamiento Deportivo'!I58</f>
        <v>1</v>
      </c>
      <c r="L40" s="160">
        <f>'Entrenamiento Deportivo'!J58</f>
        <v>0</v>
      </c>
      <c r="M40" s="20">
        <f>'Entrenamiento Deportivo'!K58</f>
        <v>0</v>
      </c>
      <c r="N40" s="20">
        <f>'Entrenamiento Deportivo'!L58</f>
        <v>0</v>
      </c>
      <c r="O40" s="20">
        <f>'Entrenamiento Deportivo'!M58</f>
        <v>0</v>
      </c>
      <c r="P40" s="20">
        <v>2025</v>
      </c>
    </row>
    <row r="41" spans="1:16" ht="14.25" customHeight="1">
      <c r="A41" s="20" t="s">
        <v>499</v>
      </c>
      <c r="B41" s="20" t="str">
        <f>Penitenciaria!B10</f>
        <v>ESTRATEGIA 1</v>
      </c>
      <c r="C41" s="20" t="str">
        <f>Penitenciaria!E10</f>
        <v>OBJETIVO OPERATIVO 1</v>
      </c>
      <c r="D41" s="20" t="b">
        <f>Penitenciaria!B11</f>
        <v>0</v>
      </c>
      <c r="E41" s="20" t="str">
        <f>Penitenciaria!C11</f>
        <v>Media</v>
      </c>
      <c r="F41" s="21">
        <f>Penitenciaria!D11</f>
        <v>45690</v>
      </c>
      <c r="G41" s="20" t="str">
        <f>Penitenciaria!E11</f>
        <v>Planificar y estructurar las capacitaciones en el área técnica y didáctica.</v>
      </c>
      <c r="H41" s="20" t="str">
        <f>Penitenciaria!F11</f>
        <v>Director/a carrera
Docentes</v>
      </c>
      <c r="I41" s="20" t="str">
        <f>Penitenciaria!G11</f>
        <v>Desarrollo del plan de capacitación docente</v>
      </c>
      <c r="J41" s="20" t="str">
        <f>Penitenciaria!H11</f>
        <v>Plan de capacitación docente.</v>
      </c>
      <c r="K41" s="62">
        <f>Penitenciaria!I11</f>
        <v>1</v>
      </c>
      <c r="L41" s="160">
        <f>Penitenciaria!J11</f>
        <v>0</v>
      </c>
      <c r="M41" s="20">
        <f>Penitenciaria!K11</f>
        <v>0</v>
      </c>
      <c r="N41" s="20">
        <f>Penitenciaria!L11</f>
        <v>0</v>
      </c>
      <c r="O41" s="20">
        <f>Penitenciaria!M11</f>
        <v>0</v>
      </c>
      <c r="P41" s="20">
        <v>2025</v>
      </c>
    </row>
    <row r="42" spans="1:16" ht="14.25" customHeight="1">
      <c r="A42" s="20" t="s">
        <v>499</v>
      </c>
      <c r="B42" s="20" t="str">
        <f>$B$41</f>
        <v>ESTRATEGIA 1</v>
      </c>
      <c r="C42" s="20" t="str">
        <f>$C$41</f>
        <v>OBJETIVO OPERATIVO 1</v>
      </c>
      <c r="D42" s="20" t="b">
        <f>Penitenciaria!B12</f>
        <v>0</v>
      </c>
      <c r="E42" s="20" t="str">
        <f>Penitenciaria!C12</f>
        <v>Baja</v>
      </c>
      <c r="F42" s="20" t="str">
        <f>Penitenciaria!D12</f>
        <v>2025-I (Inicio de ciclo)</v>
      </c>
      <c r="G42" s="20" t="str">
        <f>Penitenciaria!E12</f>
        <v>Ejecutar las capacitaciones planificadas.</v>
      </c>
      <c r="H42" s="20" t="str">
        <f>Penitenciaria!F12</f>
        <v>Director/a carrera
Docentes</v>
      </c>
      <c r="I42" s="20" t="str">
        <f>Penitenciaria!G12</f>
        <v>informar sobre el plan de capacitación docente</v>
      </c>
      <c r="J42" s="20" t="str">
        <f>Penitenciaria!H12</f>
        <v>Informe de ejecución del plan de capacitación docente.</v>
      </c>
      <c r="K42" s="62">
        <f>Penitenciaria!I12</f>
        <v>1</v>
      </c>
      <c r="L42" s="160">
        <f>Penitenciaria!J12</f>
        <v>0</v>
      </c>
      <c r="M42" s="20">
        <f>Penitenciaria!K12</f>
        <v>0</v>
      </c>
      <c r="N42" s="20">
        <f>Penitenciaria!L12</f>
        <v>0</v>
      </c>
      <c r="O42" s="20">
        <f>Penitenciaria!M12</f>
        <v>0</v>
      </c>
      <c r="P42" s="20">
        <v>2025</v>
      </c>
    </row>
    <row r="43" spans="1:16" ht="14.25" customHeight="1">
      <c r="A43" s="20" t="s">
        <v>499</v>
      </c>
      <c r="B43" s="20" t="str">
        <f>$B$41</f>
        <v>ESTRATEGIA 1</v>
      </c>
      <c r="C43" s="20" t="str">
        <f>$C$41</f>
        <v>OBJETIVO OPERATIVO 1</v>
      </c>
      <c r="D43" s="20" t="b">
        <f>Penitenciaria!B13</f>
        <v>0</v>
      </c>
      <c r="E43" s="20" t="str">
        <f>Penitenciaria!C13</f>
        <v>Media</v>
      </c>
      <c r="F43" s="20" t="str">
        <f>Penitenciaria!D13</f>
        <v>2024-II( intermedio ciclo)
2025-I( fin ciclo)</v>
      </c>
      <c r="G43" s="20" t="str">
        <f>Penitenciaria!E13</f>
        <v>Entregar los resultados de los procesos de Evaluación al desempeño Docente y acciones realizadas.</v>
      </c>
      <c r="H43" s="20" t="str">
        <f>Penitenciaria!F13</f>
        <v>Director/a carrera
Docentes</v>
      </c>
      <c r="I43" s="20" t="str">
        <f>Penitenciaria!G13</f>
        <v>Generar una matriz para el registro de entrega de evaluaciones docentes</v>
      </c>
      <c r="J43" s="20" t="str">
        <f>Penitenciaria!H13</f>
        <v>Registro de entrega de evaluaciones a los docentes</v>
      </c>
      <c r="K43" s="62">
        <f>Penitenciaria!I13</f>
        <v>1</v>
      </c>
      <c r="L43" s="160">
        <f>Penitenciaria!J13</f>
        <v>0</v>
      </c>
      <c r="M43" s="20">
        <f>Penitenciaria!K13</f>
        <v>0</v>
      </c>
      <c r="N43" s="20">
        <f>Penitenciaria!L13</f>
        <v>0</v>
      </c>
      <c r="O43" s="20">
        <f>Penitenciaria!M13</f>
        <v>0</v>
      </c>
      <c r="P43" s="20">
        <v>2025</v>
      </c>
    </row>
    <row r="44" spans="1:16" ht="14.25" customHeight="1">
      <c r="A44" s="20" t="s">
        <v>499</v>
      </c>
      <c r="B44" s="20" t="str">
        <f>$B$43</f>
        <v>ESTRATEGIA 1</v>
      </c>
      <c r="C44" s="20" t="str">
        <f>Penitenciaria!E14</f>
        <v>OBJETIVO OPERATIVO 2</v>
      </c>
      <c r="D44" s="20" t="b">
        <f>Penitenciaria!B15</f>
        <v>0</v>
      </c>
      <c r="E44" s="20" t="str">
        <f>Penitenciaria!C15</f>
        <v>Baja</v>
      </c>
      <c r="F44" s="20" t="str">
        <f>Penitenciaria!D15</f>
        <v>2025-I(inicio ciclo)
2025-II(inicio ciclo)</v>
      </c>
      <c r="G44" s="20" t="str">
        <f>Penitenciaria!E15</f>
        <v>Socializar con los docentes el uso adecuado de la plataforma Moodle.</v>
      </c>
      <c r="H44" s="20" t="str">
        <f>Penitenciaria!F15</f>
        <v>Responsable de Moodle de la carrera</v>
      </c>
      <c r="I44" s="20" t="str">
        <f>Penitenciaria!G15</f>
        <v>Realizar la socialización y generar un informe sobre el uso del Moodle</v>
      </c>
      <c r="J44" s="20" t="str">
        <f>Penitenciaria!H15</f>
        <v>Informe de socialización / inducción a los docentes</v>
      </c>
      <c r="K44" s="62">
        <f>Penitenciaria!I15</f>
        <v>1</v>
      </c>
      <c r="L44" s="160">
        <f>Penitenciaria!J15</f>
        <v>0</v>
      </c>
      <c r="M44" s="20">
        <f>Penitenciaria!K15</f>
        <v>0</v>
      </c>
      <c r="N44" s="20">
        <f>Penitenciaria!L15</f>
        <v>0</v>
      </c>
      <c r="O44" s="20">
        <f>Penitenciaria!M15</f>
        <v>0</v>
      </c>
      <c r="P44" s="20">
        <v>2025</v>
      </c>
    </row>
    <row r="45" spans="1:16" ht="14.25" customHeight="1">
      <c r="A45" s="20" t="s">
        <v>499</v>
      </c>
      <c r="B45" s="20" t="str">
        <f>$B$43</f>
        <v>ESTRATEGIA 1</v>
      </c>
      <c r="C45" s="20" t="str">
        <f>$C$44</f>
        <v>OBJETIVO OPERATIVO 2</v>
      </c>
      <c r="D45" s="20" t="b">
        <f>Penitenciaria!B16</f>
        <v>0</v>
      </c>
      <c r="E45" s="20" t="str">
        <f>Penitenciaria!C16</f>
        <v>Media</v>
      </c>
      <c r="F45" s="20" t="str">
        <f>Penitenciaria!D16</f>
        <v>2024-II( fin ciclo)
2025-I( fin ciclo)</v>
      </c>
      <c r="G45" s="20" t="str">
        <f>Penitenciaria!E16</f>
        <v>Revisar el aporte de cada docente en la plataforma Moodle</v>
      </c>
      <c r="H45" s="20" t="str">
        <f>Penitenciaria!F16</f>
        <v>Responsable de Moodle de la carrera</v>
      </c>
      <c r="I45" s="20" t="str">
        <f>Penitenciaria!G16</f>
        <v>Controlar el uso adecuado de la plataforma y generar un informe.</v>
      </c>
      <c r="J45" s="20" t="str">
        <f>Penitenciaria!H16</f>
        <v>Informe de actividades en la plataforma Moodle.</v>
      </c>
      <c r="K45" s="62">
        <f>Penitenciaria!I16</f>
        <v>1</v>
      </c>
      <c r="L45" s="160">
        <f>Penitenciaria!J16</f>
        <v>0</v>
      </c>
      <c r="M45" s="20">
        <f>Penitenciaria!K16</f>
        <v>0</v>
      </c>
      <c r="N45" s="20">
        <f>Penitenciaria!L16</f>
        <v>0</v>
      </c>
      <c r="O45" s="20">
        <f>Penitenciaria!M16</f>
        <v>0</v>
      </c>
      <c r="P45" s="20">
        <v>2025</v>
      </c>
    </row>
    <row r="46" spans="1:16" ht="14.25" customHeight="1">
      <c r="A46" s="20" t="s">
        <v>499</v>
      </c>
      <c r="B46" s="20" t="str">
        <f t="shared" ref="B46:B51" si="4">$B$45</f>
        <v>ESTRATEGIA 1</v>
      </c>
      <c r="C46" s="20" t="str">
        <f>Penitenciaria!E17</f>
        <v>OBJETIVO OPERATIVO 3</v>
      </c>
      <c r="D46" s="20" t="b">
        <f>Penitenciaria!B18</f>
        <v>0</v>
      </c>
      <c r="E46" s="20" t="str">
        <f>Penitenciaria!C18</f>
        <v>Alta</v>
      </c>
      <c r="F46" s="20" t="str">
        <f>Penitenciaria!D18</f>
        <v>2025-I(inicio ciclo)
2025-II(inicio ciclo)</v>
      </c>
      <c r="G46" s="20" t="str">
        <f>Penitenciaria!E18</f>
        <v>Planificar y desarrollar una reunión del colectivo académico</v>
      </c>
      <c r="H46" s="20" t="str">
        <f>Penitenciaria!F18</f>
        <v>Director/a carrera</v>
      </c>
      <c r="I46" s="20" t="str">
        <f>Penitenciaria!G18</f>
        <v>Realizar y evidenciar los colectivos académicos</v>
      </c>
      <c r="J46" s="20" t="str">
        <f>Penitenciaria!H18</f>
        <v>Convocatoria al colectivo de académico</v>
      </c>
      <c r="K46" s="62">
        <f>Penitenciaria!I18</f>
        <v>1</v>
      </c>
      <c r="L46" s="160">
        <f>Penitenciaria!J18</f>
        <v>0</v>
      </c>
      <c r="M46" s="20">
        <f>Penitenciaria!K18</f>
        <v>0</v>
      </c>
      <c r="N46" s="20">
        <f>Penitenciaria!L18</f>
        <v>0</v>
      </c>
      <c r="O46" s="20">
        <f>Penitenciaria!M18</f>
        <v>0</v>
      </c>
      <c r="P46" s="20">
        <v>2025</v>
      </c>
    </row>
    <row r="47" spans="1:16" ht="14.25" customHeight="1">
      <c r="A47" s="20" t="s">
        <v>499</v>
      </c>
      <c r="B47" s="20" t="str">
        <f t="shared" si="4"/>
        <v>ESTRATEGIA 1</v>
      </c>
      <c r="C47" s="20" t="str">
        <f>$C$46</f>
        <v>OBJETIVO OPERATIVO 3</v>
      </c>
      <c r="D47" s="20" t="b">
        <f>Penitenciaria!B19</f>
        <v>0</v>
      </c>
      <c r="E47" s="20" t="str">
        <f>Penitenciaria!C19</f>
        <v>Media</v>
      </c>
      <c r="F47" s="20" t="str">
        <f>Penitenciaria!D19</f>
        <v>2025-I(inicio ciclo)
2025-II(inicio ciclo)</v>
      </c>
      <c r="G47" s="20" t="str">
        <f>Penitenciaria!E19</f>
        <v>Revisión y actualización de los PEAS</v>
      </c>
      <c r="H47" s="20" t="str">
        <f>Penitenciaria!F19</f>
        <v>Director/a carrera
Docentes</v>
      </c>
      <c r="I47" s="20" t="str">
        <f>Penitenciaria!G19</f>
        <v>Revisar si la bibliografía de la carrera es la adecuada en colectivos  según PEAS y Colectivos para el acervo bibliográfico</v>
      </c>
      <c r="J47" s="20" t="str">
        <f>Penitenciaria!H19</f>
        <v>Acervo bibliográfico de todas las asignaturas de la carrera, Informes de colectivos y PEAS revisados</v>
      </c>
      <c r="K47" s="62">
        <f>Penitenciaria!I19</f>
        <v>1</v>
      </c>
      <c r="L47" s="160">
        <f>Penitenciaria!J19</f>
        <v>0</v>
      </c>
      <c r="M47" s="20">
        <f>Penitenciaria!K19</f>
        <v>0</v>
      </c>
      <c r="N47" s="20">
        <f>Penitenciaria!L19</f>
        <v>0</v>
      </c>
      <c r="O47" s="20" t="str">
        <f>Penitenciaria!M19</f>
        <v>Los PEAS están en la carpeta de la ESTRATEGIA 2 - OBJETIVO 1</v>
      </c>
      <c r="P47" s="20">
        <v>2025</v>
      </c>
    </row>
    <row r="48" spans="1:16" ht="14.25" customHeight="1">
      <c r="A48" s="20" t="s">
        <v>499</v>
      </c>
      <c r="B48" s="20" t="str">
        <f t="shared" si="4"/>
        <v>ESTRATEGIA 1</v>
      </c>
      <c r="C48" s="20" t="str">
        <f>$C$46</f>
        <v>OBJETIVO OPERATIVO 3</v>
      </c>
      <c r="D48" s="20" t="b">
        <f>Penitenciaria!B20</f>
        <v>0</v>
      </c>
      <c r="E48" s="20" t="str">
        <f>Penitenciaria!C20</f>
        <v>Media</v>
      </c>
      <c r="F48" s="20" t="str">
        <f>Penitenciaria!D20</f>
        <v xml:space="preserve">
2024-II(fin de ciclo)</v>
      </c>
      <c r="G48" s="20" t="str">
        <f>Penitenciaria!E20</f>
        <v>Actas de reunión por colectivo académico</v>
      </c>
      <c r="H48" s="20" t="str">
        <f>Penitenciaria!F20</f>
        <v>Director/a carrera
Docentes</v>
      </c>
      <c r="I48" s="20" t="str">
        <f>Penitenciaria!G20</f>
        <v>Evidenciar el trabajo de colectivos</v>
      </c>
      <c r="J48" s="20" t="str">
        <f>Penitenciaria!H20</f>
        <v>Actas de colectivos</v>
      </c>
      <c r="K48" s="62">
        <f>Penitenciaria!I20</f>
        <v>1</v>
      </c>
      <c r="L48" s="160">
        <f>Penitenciaria!J20</f>
        <v>0</v>
      </c>
      <c r="M48" s="20">
        <f>Penitenciaria!K20</f>
        <v>0</v>
      </c>
      <c r="N48" s="20">
        <f>Penitenciaria!L20</f>
        <v>0</v>
      </c>
      <c r="O48" s="20">
        <f>Penitenciaria!M20</f>
        <v>0</v>
      </c>
      <c r="P48" s="20">
        <v>2025</v>
      </c>
    </row>
    <row r="49" spans="1:16" ht="14.25" customHeight="1">
      <c r="A49" s="20" t="s">
        <v>499</v>
      </c>
      <c r="B49" s="20" t="str">
        <f t="shared" si="4"/>
        <v>ESTRATEGIA 1</v>
      </c>
      <c r="C49" s="20" t="str">
        <f>Penitenciaria!E21</f>
        <v>OBJETIVO OPERATIVO 4</v>
      </c>
      <c r="D49" s="20" t="b">
        <f>Penitenciaria!B22</f>
        <v>0</v>
      </c>
      <c r="E49" s="20" t="str">
        <f>Penitenciaria!C22</f>
        <v>Baja</v>
      </c>
      <c r="F49" s="20" t="str">
        <f>Penitenciaria!D22</f>
        <v>2025-I(inicio ciclo)
2025-II (inicio ciclo)</v>
      </c>
      <c r="G49" s="20" t="str">
        <f>Penitenciaria!E22</f>
        <v>Recopilar las fichas de afinidad de los docentes de acuerdo al nivel de estudio.</v>
      </c>
      <c r="H49" s="20" t="str">
        <f>Penitenciaria!F22</f>
        <v>Director/a carrera</v>
      </c>
      <c r="I49" s="20" t="str">
        <f>Penitenciaria!G22</f>
        <v>Mantener actualizadas las fichas de afinidad de los docentes de acuerdo a la pertinencia en la carrera</v>
      </c>
      <c r="J49" s="20" t="str">
        <f>Penitenciaria!H22</f>
        <v>Fichas de afinidad de los docentes.</v>
      </c>
      <c r="K49" s="62">
        <f>Penitenciaria!I22</f>
        <v>1</v>
      </c>
      <c r="L49" s="160">
        <f>Penitenciaria!J22</f>
        <v>0</v>
      </c>
      <c r="M49" s="20">
        <f>Penitenciaria!K22</f>
        <v>0</v>
      </c>
      <c r="N49" s="20">
        <f>Penitenciaria!L22</f>
        <v>0</v>
      </c>
      <c r="O49" s="20">
        <f>Penitenciaria!M22</f>
        <v>0</v>
      </c>
      <c r="P49" s="20">
        <v>2025</v>
      </c>
    </row>
    <row r="50" spans="1:16" ht="14.25" customHeight="1">
      <c r="A50" s="20" t="s">
        <v>499</v>
      </c>
      <c r="B50" s="20" t="str">
        <f t="shared" si="4"/>
        <v>ESTRATEGIA 1</v>
      </c>
      <c r="C50" s="20" t="str">
        <f>$C$49</f>
        <v>OBJETIVO OPERATIVO 4</v>
      </c>
      <c r="D50" s="20">
        <f>Penitenciaria!B23</f>
        <v>0</v>
      </c>
      <c r="E50" s="20" t="str">
        <f>Penitenciaria!C23</f>
        <v>Alta</v>
      </c>
      <c r="F50" s="20" t="str">
        <f>Penitenciaria!D23</f>
        <v>2025-I(inicio de ciclo)
2025-II(inicio de ciclo)</v>
      </c>
      <c r="G50" s="20" t="str">
        <f>Penitenciaria!E23</f>
        <v>Elaboración del distributivo docente de la carrera</v>
      </c>
      <c r="H50" s="20" t="str">
        <f>Penitenciaria!F23</f>
        <v>Director/a carrera</v>
      </c>
      <c r="I50" s="20" t="str">
        <f>Penitenciaria!G23</f>
        <v>Evidenciar la carga horaria y distributivos de los docentes</v>
      </c>
      <c r="J50" s="20" t="str">
        <f>Penitenciaria!H23</f>
        <v>Distributivo docente aprobado.</v>
      </c>
      <c r="K50" s="62">
        <f>Penitenciaria!I23</f>
        <v>1</v>
      </c>
      <c r="L50" s="160">
        <f>Penitenciaria!J23</f>
        <v>0</v>
      </c>
      <c r="M50" s="20">
        <f>Penitenciaria!K23</f>
        <v>0</v>
      </c>
      <c r="N50" s="20">
        <f>Penitenciaria!L23</f>
        <v>0</v>
      </c>
      <c r="O50" s="20">
        <f>Penitenciaria!M23</f>
        <v>0</v>
      </c>
      <c r="P50" s="20">
        <v>2025</v>
      </c>
    </row>
    <row r="51" spans="1:16" ht="14.25" customHeight="1">
      <c r="A51" s="20" t="s">
        <v>499</v>
      </c>
      <c r="B51" s="20" t="str">
        <f t="shared" si="4"/>
        <v>ESTRATEGIA 1</v>
      </c>
      <c r="C51" s="20" t="str">
        <f>$C$49</f>
        <v>OBJETIVO OPERATIVO 4</v>
      </c>
      <c r="D51" s="20" t="b">
        <f>Penitenciaria!B24</f>
        <v>0</v>
      </c>
      <c r="E51" s="20" t="str">
        <f>Penitenciaria!C24</f>
        <v>Media</v>
      </c>
      <c r="F51" s="20" t="str">
        <f>Penitenciaria!D24</f>
        <v>2025-I(inicio de ciclo)
2025-II(inicio de ciclo)</v>
      </c>
      <c r="G51" s="20" t="str">
        <f>Penitenciaria!E24</f>
        <v>Designar responsables de la administración de la plataforma, tutorías , prácticas, vinculación , etc.</v>
      </c>
      <c r="H51" s="20" t="str">
        <f>Penitenciaria!F24</f>
        <v>Director/a carrera</v>
      </c>
      <c r="I51" s="20" t="str">
        <f>Penitenciaria!G24</f>
        <v>Realizar las designaciones y evidenciar los responsables y tutores de la carrera</v>
      </c>
      <c r="J51" s="20" t="str">
        <f>Penitenciaria!H24</f>
        <v>Oficios de designaciones de responsables.</v>
      </c>
      <c r="K51" s="62">
        <f>Penitenciaria!I24</f>
        <v>1</v>
      </c>
      <c r="L51" s="160">
        <f>Penitenciaria!J24</f>
        <v>0</v>
      </c>
      <c r="M51" s="20">
        <f>Penitenciaria!K24</f>
        <v>0</v>
      </c>
      <c r="N51" s="20">
        <f>Penitenciaria!L24</f>
        <v>0</v>
      </c>
      <c r="O51" s="20">
        <f>Penitenciaria!M24</f>
        <v>0</v>
      </c>
      <c r="P51" s="20">
        <v>2025</v>
      </c>
    </row>
    <row r="52" spans="1:16" ht="14.25" customHeight="1">
      <c r="A52" s="20" t="s">
        <v>499</v>
      </c>
      <c r="B52" s="20" t="str">
        <f>Penitenciaria!B25</f>
        <v>ESTRATEGIA 2</v>
      </c>
      <c r="C52" s="20" t="str">
        <f>Penitenciaria!E25</f>
        <v>OBJETIVO OPERATIVO 1</v>
      </c>
      <c r="D52" s="20" t="b">
        <f>Penitenciaria!B26</f>
        <v>0</v>
      </c>
      <c r="E52" s="20" t="str">
        <f>Penitenciaria!C26</f>
        <v>Alta</v>
      </c>
      <c r="F52" s="20" t="str">
        <f>Penitenciaria!D26</f>
        <v>2025-I(Inicio de ciclo)
2025-II(Inicio de ciclo)</v>
      </c>
      <c r="G52" s="20" t="str">
        <f>Penitenciaria!E26</f>
        <v>Elaborar y presentar el calendario de actividades de la o las carreras, horarios de clases y laboratorios.</v>
      </c>
      <c r="H52" s="20" t="str">
        <f>Penitenciaria!F26</f>
        <v>Director/a carrera</v>
      </c>
      <c r="I52" s="20" t="str">
        <f>Penitenciaria!G26</f>
        <v>Realizar los documentos necesarios para el desarrollo de las actividades de cada periodo de la carrera</v>
      </c>
      <c r="J52" s="20" t="str">
        <f>Penitenciaria!H26</f>
        <v>Calendario y horarios aprobados</v>
      </c>
      <c r="K52" s="62">
        <f>Penitenciaria!I26</f>
        <v>1</v>
      </c>
      <c r="L52" s="160">
        <f>Penitenciaria!J26</f>
        <v>0</v>
      </c>
      <c r="M52" s="20">
        <f>Penitenciaria!K26</f>
        <v>0</v>
      </c>
      <c r="N52" s="20">
        <f>Penitenciaria!L26</f>
        <v>0</v>
      </c>
      <c r="O52" s="20">
        <f>Penitenciaria!M26</f>
        <v>0</v>
      </c>
      <c r="P52" s="20">
        <v>2025</v>
      </c>
    </row>
    <row r="53" spans="1:16" ht="14.25" customHeight="1">
      <c r="A53" s="20" t="s">
        <v>499</v>
      </c>
      <c r="B53" s="20" t="str">
        <f t="shared" ref="B53:B67" si="5">$B$52</f>
        <v>ESTRATEGIA 2</v>
      </c>
      <c r="C53" s="20" t="str">
        <f t="shared" ref="C53:C63" si="6">$C$52</f>
        <v>OBJETIVO OPERATIVO 1</v>
      </c>
      <c r="D53" s="20" t="b">
        <f>Penitenciaria!B27</f>
        <v>0</v>
      </c>
      <c r="E53" s="20" t="str">
        <f>Penitenciaria!C27</f>
        <v>Media</v>
      </c>
      <c r="F53" s="20" t="str">
        <f>Penitenciaria!D27</f>
        <v xml:space="preserve">
2025-I(Todo de ciclo)</v>
      </c>
      <c r="G53" s="20" t="str">
        <f>Penitenciaria!E27</f>
        <v>Requerimiento y aprobación de Documentos académicos. (Sílabos, guías practicas e informes de avance de Silabo)</v>
      </c>
      <c r="H53" s="20" t="str">
        <f>Penitenciaria!F27</f>
        <v>Director/a carrera - gestor académico</v>
      </c>
      <c r="I53" s="20" t="str">
        <f>Penitenciaria!G27</f>
        <v>Solicitud de documentos académicos por materias</v>
      </c>
      <c r="J53" s="20" t="str">
        <f>Penitenciaria!H27</f>
        <v>Documentación aprobada.</v>
      </c>
      <c r="K53" s="62">
        <f>Penitenciaria!I27</f>
        <v>0.22</v>
      </c>
      <c r="L53" s="160">
        <f>Penitenciaria!J27</f>
        <v>0</v>
      </c>
      <c r="M53" s="20">
        <f>Penitenciaria!K27</f>
        <v>0</v>
      </c>
      <c r="N53" s="20">
        <f>Penitenciaria!L27</f>
        <v>0</v>
      </c>
      <c r="O53" s="20" t="str">
        <f>Penitenciaria!M27</f>
        <v>NO constan las guías prácticas, ni tampoco los avances de Sílabo.</v>
      </c>
      <c r="P53" s="20">
        <v>2025</v>
      </c>
    </row>
    <row r="54" spans="1:16" ht="14.25" customHeight="1">
      <c r="A54" s="20" t="s">
        <v>499</v>
      </c>
      <c r="B54" s="20" t="str">
        <f t="shared" si="5"/>
        <v>ESTRATEGIA 2</v>
      </c>
      <c r="C54" s="20" t="str">
        <f t="shared" si="6"/>
        <v>OBJETIVO OPERATIVO 1</v>
      </c>
      <c r="D54" s="20" t="b">
        <f>Penitenciaria!B28</f>
        <v>0</v>
      </c>
      <c r="E54" s="20" t="str">
        <f>Penitenciaria!C28</f>
        <v>Media</v>
      </c>
      <c r="F54" s="20" t="str">
        <f>Penitenciaria!D28</f>
        <v>2025-I(Todo el ciclo)
2025-II(Todo de ciclo)</v>
      </c>
      <c r="G54" s="20" t="str">
        <f>Penitenciaria!E28</f>
        <v>Seguimiento al cumplimiento de la documentación académica.</v>
      </c>
      <c r="H54" s="20" t="str">
        <f>Penitenciaria!F28</f>
        <v>Director/a carrera - gestor académico</v>
      </c>
      <c r="I54" s="20" t="str">
        <f>Penitenciaria!G28</f>
        <v>Revisión de documentos académicos por materias</v>
      </c>
      <c r="J54" s="20" t="str">
        <f>Penitenciaria!H28</f>
        <v>Informe de carrera sobre la documentación recibida.</v>
      </c>
      <c r="K54" s="62">
        <f>Penitenciaria!I28</f>
        <v>0</v>
      </c>
      <c r="L54" s="160">
        <f>Penitenciaria!J28</f>
        <v>0</v>
      </c>
      <c r="M54" s="20">
        <f>Penitenciaria!K28</f>
        <v>0</v>
      </c>
      <c r="N54" s="20">
        <f>Penitenciaria!L28</f>
        <v>0</v>
      </c>
      <c r="O54" s="20" t="str">
        <f>Penitenciaria!M28</f>
        <v>NO constan los informes sobre la documentación recibida.</v>
      </c>
      <c r="P54" s="20">
        <v>2025</v>
      </c>
    </row>
    <row r="55" spans="1:16" ht="14.25" customHeight="1">
      <c r="A55" s="20" t="s">
        <v>499</v>
      </c>
      <c r="B55" s="20" t="str">
        <f t="shared" si="5"/>
        <v>ESTRATEGIA 2</v>
      </c>
      <c r="C55" s="20" t="str">
        <f t="shared" si="6"/>
        <v>OBJETIVO OPERATIVO 1</v>
      </c>
      <c r="D55" s="20" t="b">
        <f>Penitenciaria!B29</f>
        <v>0</v>
      </c>
      <c r="E55" s="20" t="str">
        <f>Penitenciaria!C29</f>
        <v>Baja</v>
      </c>
      <c r="F55" s="20" t="str">
        <f>Penitenciaria!D29</f>
        <v>2025-I(Todo el ciclo)
2025-II(Todo de ciclo)</v>
      </c>
      <c r="G55" s="20" t="str">
        <f>Penitenciaria!E29</f>
        <v>Reuniones de carrera  para socialización y toma de decisiones</v>
      </c>
      <c r="H55" s="20" t="str">
        <f>Penitenciaria!F29</f>
        <v>Director/a carrera - gestor académico</v>
      </c>
      <c r="I55" s="20" t="str">
        <f>Penitenciaria!G29</f>
        <v>Reuniones de carrera de acuerdo a requerimientos</v>
      </c>
      <c r="J55" s="20" t="str">
        <f>Penitenciaria!H29</f>
        <v>Convocatorias, actas e informes de reuniones de carrera.</v>
      </c>
      <c r="K55" s="62">
        <f>Penitenciaria!I29</f>
        <v>1</v>
      </c>
      <c r="L55" s="160">
        <f>Penitenciaria!J29</f>
        <v>0</v>
      </c>
      <c r="M55" s="20">
        <f>Penitenciaria!K29</f>
        <v>0</v>
      </c>
      <c r="N55" s="20">
        <f>Penitenciaria!L29</f>
        <v>0</v>
      </c>
      <c r="O55" s="20">
        <f>Penitenciaria!M29</f>
        <v>0</v>
      </c>
      <c r="P55" s="20">
        <v>2025</v>
      </c>
    </row>
    <row r="56" spans="1:16" ht="14.25" customHeight="1">
      <c r="A56" s="20" t="s">
        <v>499</v>
      </c>
      <c r="B56" s="20" t="str">
        <f t="shared" si="5"/>
        <v>ESTRATEGIA 2</v>
      </c>
      <c r="C56" s="20" t="str">
        <f t="shared" si="6"/>
        <v>OBJETIVO OPERATIVO 1</v>
      </c>
      <c r="D56" s="20" t="b">
        <f>Penitenciaria!B30</f>
        <v>0</v>
      </c>
      <c r="E56" s="20" t="str">
        <f>Penitenciaria!C30</f>
        <v>Baja</v>
      </c>
      <c r="F56" s="21">
        <f>Penitenciaria!D30</f>
        <v>45838</v>
      </c>
      <c r="G56" s="20" t="str">
        <f>Penitenciaria!E30</f>
        <v>Informe semestral POA 2025</v>
      </c>
      <c r="H56" s="20" t="str">
        <f>Penitenciaria!F30</f>
        <v>Director/a carrera - gestor académico</v>
      </c>
      <c r="I56" s="20" t="str">
        <f>Penitenciaria!G30</f>
        <v>Informar sobre el avance del  POA</v>
      </c>
      <c r="J56" s="20" t="str">
        <f>Penitenciaria!H30</f>
        <v>Informe semestral seguimiento POA 2025</v>
      </c>
      <c r="K56" s="62">
        <f>Penitenciaria!I30</f>
        <v>1</v>
      </c>
      <c r="L56" s="160">
        <f>Penitenciaria!J30</f>
        <v>0</v>
      </c>
      <c r="M56" s="20">
        <f>Penitenciaria!K30</f>
        <v>0</v>
      </c>
      <c r="N56" s="20">
        <f>Penitenciaria!L30</f>
        <v>0</v>
      </c>
      <c r="O56" s="20">
        <f>Penitenciaria!M30</f>
        <v>0</v>
      </c>
      <c r="P56" s="20">
        <v>2025</v>
      </c>
    </row>
    <row r="57" spans="1:16" ht="14.25" customHeight="1">
      <c r="A57" s="20" t="s">
        <v>499</v>
      </c>
      <c r="B57" s="20" t="str">
        <f t="shared" si="5"/>
        <v>ESTRATEGIA 2</v>
      </c>
      <c r="C57" s="20" t="str">
        <f t="shared" si="6"/>
        <v>OBJETIVO OPERATIVO 1</v>
      </c>
      <c r="D57" s="20" t="b">
        <f>Penitenciaria!B31</f>
        <v>0</v>
      </c>
      <c r="E57" s="20" t="str">
        <f>Penitenciaria!C31</f>
        <v>Baja</v>
      </c>
      <c r="F57" s="21">
        <f>Penitenciaria!D31</f>
        <v>45991</v>
      </c>
      <c r="G57" s="20" t="str">
        <f>Penitenciaria!E31</f>
        <v>Informe final POA 2026</v>
      </c>
      <c r="H57" s="20" t="str">
        <f>Penitenciaria!F31</f>
        <v>Director/a carrera - gestor académico</v>
      </c>
      <c r="I57" s="20" t="str">
        <f>Penitenciaria!G31</f>
        <v>Informar sobre el alcance final del  POA</v>
      </c>
      <c r="J57" s="20" t="str">
        <f>Penitenciaria!H31</f>
        <v>Informe final POA 2025</v>
      </c>
      <c r="K57" s="62">
        <f>Penitenciaria!I31</f>
        <v>1</v>
      </c>
      <c r="L57" s="160">
        <f>Penitenciaria!J31</f>
        <v>0</v>
      </c>
      <c r="M57" s="20">
        <f>Penitenciaria!K31</f>
        <v>0</v>
      </c>
      <c r="N57" s="20">
        <f>Penitenciaria!L31</f>
        <v>0</v>
      </c>
      <c r="O57" s="20">
        <f>Penitenciaria!M31</f>
        <v>0</v>
      </c>
      <c r="P57" s="20">
        <v>2025</v>
      </c>
    </row>
    <row r="58" spans="1:16" ht="14.25" customHeight="1">
      <c r="A58" s="20" t="s">
        <v>499</v>
      </c>
      <c r="B58" s="20" t="str">
        <f t="shared" si="5"/>
        <v>ESTRATEGIA 2</v>
      </c>
      <c r="C58" s="20" t="str">
        <f t="shared" si="6"/>
        <v>OBJETIVO OPERATIVO 1</v>
      </c>
      <c r="D58" s="20" t="b">
        <f>Penitenciaria!B32</f>
        <v>0</v>
      </c>
      <c r="E58" s="20" t="str">
        <f>Penitenciaria!C32</f>
        <v>Baja</v>
      </c>
      <c r="F58" s="21">
        <f>Penitenciaria!D32</f>
        <v>46011</v>
      </c>
      <c r="G58" s="20" t="str">
        <f>Penitenciaria!E32</f>
        <v>Elaborar la Planificación Operativa Anual 2026</v>
      </c>
      <c r="H58" s="20" t="str">
        <f>Penitenciaria!F32</f>
        <v>Director/a carrera - gestor académico</v>
      </c>
      <c r="I58" s="20" t="str">
        <f>Penitenciaria!G32</f>
        <v>Realizar la planificación para el 2025</v>
      </c>
      <c r="J58" s="20" t="str">
        <f>Penitenciaria!H32</f>
        <v>POA 2026 entregado</v>
      </c>
      <c r="K58" s="62">
        <f>Penitenciaria!I32</f>
        <v>1</v>
      </c>
      <c r="L58" s="160">
        <f>Penitenciaria!J32</f>
        <v>0</v>
      </c>
      <c r="M58" s="20">
        <f>Penitenciaria!K32</f>
        <v>0</v>
      </c>
      <c r="N58" s="20">
        <f>Penitenciaria!L32</f>
        <v>0</v>
      </c>
      <c r="O58" s="20">
        <f>Penitenciaria!M32</f>
        <v>0</v>
      </c>
      <c r="P58" s="20">
        <v>2025</v>
      </c>
    </row>
    <row r="59" spans="1:16" ht="14.25" customHeight="1">
      <c r="A59" s="20" t="s">
        <v>499</v>
      </c>
      <c r="B59" s="20" t="str">
        <f t="shared" si="5"/>
        <v>ESTRATEGIA 2</v>
      </c>
      <c r="C59" s="20" t="str">
        <f t="shared" si="6"/>
        <v>OBJETIVO OPERATIVO 1</v>
      </c>
      <c r="D59" s="20" t="b">
        <f>Penitenciaria!B33</f>
        <v>0</v>
      </c>
      <c r="E59" s="20" t="str">
        <f>Penitenciaria!C33</f>
        <v>Media</v>
      </c>
      <c r="F59" s="20" t="str">
        <f>Penitenciaria!D33</f>
        <v>2025-I (inicio de ciclo)
2025-II (inicio de ciclo)</v>
      </c>
      <c r="G59" s="20" t="str">
        <f>Penitenciaria!E33</f>
        <v>Designación de tutores de curso</v>
      </c>
      <c r="H59" s="20" t="str">
        <f>Penitenciaria!F33</f>
        <v>Director/a carrera</v>
      </c>
      <c r="I59" s="20" t="str">
        <f>Penitenciaria!G33</f>
        <v>Realizar las designaciones y evidenciar los responsables y tutores de la carrera</v>
      </c>
      <c r="J59" s="20" t="str">
        <f>Penitenciaria!H33</f>
        <v>Documento de designación de tutores por parte del director de carrera</v>
      </c>
      <c r="K59" s="62">
        <f>Penitenciaria!I33</f>
        <v>1</v>
      </c>
      <c r="L59" s="160">
        <f>Penitenciaria!J33</f>
        <v>0</v>
      </c>
      <c r="M59" s="20">
        <f>Penitenciaria!K33</f>
        <v>0</v>
      </c>
      <c r="N59" s="20">
        <f>Penitenciaria!L33</f>
        <v>0</v>
      </c>
      <c r="O59" s="20">
        <f>Penitenciaria!M33</f>
        <v>0</v>
      </c>
      <c r="P59" s="20">
        <v>2025</v>
      </c>
    </row>
    <row r="60" spans="1:16" ht="14.25" customHeight="1">
      <c r="A60" s="20" t="s">
        <v>499</v>
      </c>
      <c r="B60" s="20" t="str">
        <f t="shared" si="5"/>
        <v>ESTRATEGIA 2</v>
      </c>
      <c r="C60" s="20" t="str">
        <f t="shared" si="6"/>
        <v>OBJETIVO OPERATIVO 1</v>
      </c>
      <c r="D60" s="20" t="b">
        <f>Penitenciaria!B34</f>
        <v>0</v>
      </c>
      <c r="E60" s="20" t="str">
        <f>Penitenciaria!C34</f>
        <v>Media</v>
      </c>
      <c r="F60" s="20" t="str">
        <f>Penitenciaria!D34</f>
        <v>2025-I(Todo el ciclo)
2025-II(Todo el ciclo)</v>
      </c>
      <c r="G60" s="20" t="str">
        <f>Penitenciaria!E34</f>
        <v>Ejecutar las actividades de la fase de SEGUIMIENTO del modelo metodológico del proceso de Seguimiento Curricular</v>
      </c>
      <c r="H60" s="20" t="str">
        <f>Penitenciaria!F34</f>
        <v>Director/a de carrera - Gestor/a académico
Tutores de curso</v>
      </c>
      <c r="I60" s="20" t="str">
        <f>Penitenciaria!G34</f>
        <v>Realizar el Seguimiento del modelo metodológico</v>
      </c>
      <c r="J60" s="20" t="str">
        <f>Penitenciaria!H34</f>
        <v>Fase SEGUIMIENTO:
INICIO: Socialización de Tutorías Académicas
DURANTE: Registro de Calificaciones del Primer Parcial
FINAL : Registro de Calificación Finales</v>
      </c>
      <c r="K60" s="62">
        <f>Penitenciaria!I34</f>
        <v>1</v>
      </c>
      <c r="L60" s="160">
        <f>Penitenciaria!J34</f>
        <v>0</v>
      </c>
      <c r="M60" s="20">
        <f>Penitenciaria!K34</f>
        <v>0</v>
      </c>
      <c r="N60" s="20">
        <f>Penitenciaria!L34</f>
        <v>0</v>
      </c>
      <c r="O60" s="20">
        <f>Penitenciaria!M34</f>
        <v>0</v>
      </c>
      <c r="P60" s="20">
        <v>2025</v>
      </c>
    </row>
    <row r="61" spans="1:16" ht="14.25" customHeight="1">
      <c r="A61" s="20" t="s">
        <v>499</v>
      </c>
      <c r="B61" s="20" t="str">
        <f t="shared" si="5"/>
        <v>ESTRATEGIA 2</v>
      </c>
      <c r="C61" s="20" t="str">
        <f t="shared" si="6"/>
        <v>OBJETIVO OPERATIVO 1</v>
      </c>
      <c r="D61" s="20" t="b">
        <f>Penitenciaria!B35</f>
        <v>0</v>
      </c>
      <c r="E61" s="20" t="str">
        <f>Penitenciaria!C35</f>
        <v>Media</v>
      </c>
      <c r="F61" s="20" t="str">
        <f>Penitenciaria!D35</f>
        <v>2025-I(Todo el ciclo)
2025-II(Todo el ciclo)</v>
      </c>
      <c r="G61" s="20" t="str">
        <f>Penitenciaria!E35</f>
        <v>Ejecutar las actividades de la fase de CONTROL del modelo metodológico del proceso de Seguimiento Curricular</v>
      </c>
      <c r="H61" s="20" t="str">
        <f>Penitenciaria!F35</f>
        <v>Director/a de carrera - Gestor/a académico
Tutores de curso</v>
      </c>
      <c r="I61" s="20" t="str">
        <f>Penitenciaria!G35</f>
        <v>Realizar el Control del modelo metodológico</v>
      </c>
      <c r="J61" s="20" t="str">
        <f>Penitenciaria!H35</f>
        <v>Fase CONTROL:
INICIO: Matriz consolidada de resultados de Pruebas de Diagnostico
DURANTE: Matriz consolidada de resultados de Calificaciones del Primer Parcial
FINAL : Matriz consolidada de resultados de Calificaciones Finales</v>
      </c>
      <c r="K61" s="62">
        <f>Penitenciaria!I35</f>
        <v>0.5</v>
      </c>
      <c r="L61" s="160">
        <f>Penitenciaria!J35</f>
        <v>0</v>
      </c>
      <c r="M61" s="20">
        <f>Penitenciaria!K35</f>
        <v>0</v>
      </c>
      <c r="N61" s="20">
        <f>Penitenciaria!L35</f>
        <v>0</v>
      </c>
      <c r="O61" s="20" t="str">
        <f>Penitenciaria!M35</f>
        <v>NO consta la matriz consolidada del ciclo aacadémico 2025-II</v>
      </c>
      <c r="P61" s="20">
        <v>2025</v>
      </c>
    </row>
    <row r="62" spans="1:16" ht="14.25" customHeight="1">
      <c r="A62" s="20" t="s">
        <v>499</v>
      </c>
      <c r="B62" s="20" t="str">
        <f t="shared" si="5"/>
        <v>ESTRATEGIA 2</v>
      </c>
      <c r="C62" s="20" t="str">
        <f t="shared" si="6"/>
        <v>OBJETIVO OPERATIVO 1</v>
      </c>
      <c r="D62" s="20" t="b">
        <f>Penitenciaria!B36</f>
        <v>0</v>
      </c>
      <c r="E62" s="20" t="str">
        <f>Penitenciaria!C36</f>
        <v>Media</v>
      </c>
      <c r="F62" s="20" t="str">
        <f>Penitenciaria!D36</f>
        <v>2024-II(Todo el ciclo)
2025-I(Todo el ciclo)</v>
      </c>
      <c r="G62" s="20" t="str">
        <f>Penitenciaria!E36</f>
        <v>Ejecutar las actividades de la fase de EVALUACIÓN del modelo metodológico del proceso de Seguimiento Curricular</v>
      </c>
      <c r="H62" s="20" t="str">
        <f>Penitenciaria!F36</f>
        <v>Director/a de carrera - Gestor/a académico
Tutores de curso</v>
      </c>
      <c r="I62" s="20" t="str">
        <f>Penitenciaria!G36</f>
        <v>Realizar la Evaluación del modelo metodológico</v>
      </c>
      <c r="J62" s="20" t="str">
        <f>Penitenciaria!H36</f>
        <v>Fase EVALAUCIÓN:
INICIO: Acta de reunión de inicio de ciclo estudiantes
DURANTE: Acta de reunión del Primer Parcial Docentes - Estudiantes
FINAL : Acta de reunión Final - Docentes - Estudiantes</v>
      </c>
      <c r="K62" s="62">
        <f>Penitenciaria!I36</f>
        <v>0.5</v>
      </c>
      <c r="L62" s="160">
        <f>Penitenciaria!J36</f>
        <v>0</v>
      </c>
      <c r="M62" s="20">
        <f>Penitenciaria!K36</f>
        <v>0</v>
      </c>
      <c r="N62" s="20">
        <f>Penitenciaria!L36</f>
        <v>0</v>
      </c>
      <c r="O62" s="20" t="str">
        <f>Penitenciaria!M36</f>
        <v>NO consta el acta de reuniones del primer ciclo, ni tampoco la del primer parcial del ciclo aacadémico 2025-II</v>
      </c>
      <c r="P62" s="20">
        <v>2025</v>
      </c>
    </row>
    <row r="63" spans="1:16" ht="14.25" customHeight="1">
      <c r="A63" s="20" t="s">
        <v>499</v>
      </c>
      <c r="B63" s="20" t="str">
        <f t="shared" si="5"/>
        <v>ESTRATEGIA 2</v>
      </c>
      <c r="C63" s="20" t="str">
        <f t="shared" si="6"/>
        <v>OBJETIVO OPERATIVO 1</v>
      </c>
      <c r="D63" s="20" t="b">
        <f>Penitenciaria!B37</f>
        <v>0</v>
      </c>
      <c r="E63" s="20" t="str">
        <f>Penitenciaria!C37</f>
        <v>Baja</v>
      </c>
      <c r="F63" s="20" t="str">
        <f>Penitenciaria!D37</f>
        <v xml:space="preserve">
2025-II (Fin de Ciclo)</v>
      </c>
      <c r="G63" s="20" t="str">
        <f>Penitenciaria!E37</f>
        <v>Elaboración del Plan de Mejoramiento del proceso enseñanza aprendizaje</v>
      </c>
      <c r="H63" s="20" t="str">
        <f>Penitenciaria!F37</f>
        <v>Director/a carrera
Responsable de Seguimiento a graduados de la carrera</v>
      </c>
      <c r="I63" s="20" t="str">
        <f>Penitenciaria!G37</f>
        <v>De acuerdo a los resultados generar el Plan de Mejoramiento enseñanza aprendizaje</v>
      </c>
      <c r="J63" s="20" t="str">
        <f>Penitenciaria!H37</f>
        <v>Informe de plan de mejoramiento curricular</v>
      </c>
      <c r="K63" s="62">
        <f>Penitenciaria!I37</f>
        <v>0</v>
      </c>
      <c r="L63" s="160">
        <f>Penitenciaria!J37</f>
        <v>0</v>
      </c>
      <c r="M63" s="20">
        <f>Penitenciaria!K37</f>
        <v>0</v>
      </c>
      <c r="N63" s="20">
        <f>Penitenciaria!L37</f>
        <v>0</v>
      </c>
      <c r="O63" s="20" t="str">
        <f>Penitenciaria!M37</f>
        <v>NO consta el Plan de mejoramiento curricular del ciclo 2025-I</v>
      </c>
      <c r="P63" s="20">
        <v>2025</v>
      </c>
    </row>
    <row r="64" spans="1:16" ht="14.25" customHeight="1">
      <c r="A64" s="20" t="s">
        <v>499</v>
      </c>
      <c r="B64" s="20" t="str">
        <f t="shared" si="5"/>
        <v>ESTRATEGIA 2</v>
      </c>
      <c r="C64" s="20" t="str">
        <f>Penitenciaria!E38</f>
        <v>OBJETIVO OPERATIVO 2</v>
      </c>
      <c r="D64" s="20" t="b">
        <f>Penitenciaria!B39</f>
        <v>1</v>
      </c>
      <c r="E64" s="20" t="str">
        <f>Penitenciaria!C39</f>
        <v>Media</v>
      </c>
      <c r="F64" s="20" t="str">
        <f>Penitenciaria!D39</f>
        <v>2025-II(Inicio de ciclo)</v>
      </c>
      <c r="G64" s="20" t="str">
        <f>Penitenciaria!E39</f>
        <v>Diseñar, gestionar e implementar cursos o programas de inducción y de actualización para docentes y estudiantes.</v>
      </c>
      <c r="H64" s="20" t="str">
        <f>Penitenciaria!F39</f>
        <v>Director/a carrera - gestor académico</v>
      </c>
      <c r="I64" s="20" t="str">
        <f>Penitenciaria!G39</f>
        <v>Generar la capacitación docente</v>
      </c>
      <c r="J64" s="20" t="str">
        <f>Penitenciaria!H39</f>
        <v>Informes de cursos y o programas.</v>
      </c>
      <c r="K64" s="62">
        <f>Penitenciaria!I39</f>
        <v>0.5</v>
      </c>
      <c r="L64" s="160">
        <f>Penitenciaria!J39</f>
        <v>0</v>
      </c>
      <c r="M64" s="20">
        <f>Penitenciaria!K39</f>
        <v>0</v>
      </c>
      <c r="N64" s="20">
        <f>Penitenciaria!L39</f>
        <v>0</v>
      </c>
      <c r="O64" s="20" t="str">
        <f>Penitenciaria!M39</f>
        <v>NO consta el informe de cursos y/o programas del ciclo académico 2025-II</v>
      </c>
      <c r="P64" s="20">
        <v>2025</v>
      </c>
    </row>
    <row r="65" spans="1:16" ht="14.25" customHeight="1">
      <c r="A65" s="20" t="s">
        <v>499</v>
      </c>
      <c r="B65" s="20" t="str">
        <f t="shared" si="5"/>
        <v>ESTRATEGIA 2</v>
      </c>
      <c r="C65" s="20" t="str">
        <f>$C$64</f>
        <v>OBJETIVO OPERATIVO 2</v>
      </c>
      <c r="D65" s="20" t="b">
        <f>Penitenciaria!B40</f>
        <v>1</v>
      </c>
      <c r="E65" s="20" t="str">
        <f>Penitenciaria!C40</f>
        <v>Media</v>
      </c>
      <c r="F65" s="20" t="str">
        <f>Penitenciaria!D40</f>
        <v>2025-I(Todo el ciclo)
2025-II(Todo el ciclo)</v>
      </c>
      <c r="G65" s="20" t="str">
        <f>Penitenciaria!E40</f>
        <v>Capacitar a los estudiantes sobre la utilización de la Plataforma Moodle.</v>
      </c>
      <c r="H65" s="20" t="str">
        <f>Penitenciaria!F40</f>
        <v>responsable plataforma Moodle de la carrera</v>
      </c>
      <c r="I65" s="20" t="str">
        <f>Penitenciaria!G40</f>
        <v>Generar la capacitación estudiantil sobre el Moodle</v>
      </c>
      <c r="J65" s="20" t="str">
        <f>Penitenciaria!H40</f>
        <v>Informe sobre la capacitación</v>
      </c>
      <c r="K65" s="62">
        <f>Penitenciaria!I40</f>
        <v>1</v>
      </c>
      <c r="L65" s="160">
        <f>Penitenciaria!J40</f>
        <v>0</v>
      </c>
      <c r="M65" s="20">
        <f>Penitenciaria!K40</f>
        <v>0</v>
      </c>
      <c r="N65" s="20">
        <f>Penitenciaria!L40</f>
        <v>0</v>
      </c>
      <c r="O65" s="20">
        <f>Penitenciaria!M40</f>
        <v>0</v>
      </c>
      <c r="P65" s="20">
        <v>2025</v>
      </c>
    </row>
    <row r="66" spans="1:16" ht="14.25" customHeight="1">
      <c r="A66" s="20" t="s">
        <v>499</v>
      </c>
      <c r="B66" s="20" t="str">
        <f t="shared" si="5"/>
        <v>ESTRATEGIA 2</v>
      </c>
      <c r="C66" s="20" t="str">
        <f>$C$64</f>
        <v>OBJETIVO OPERATIVO 2</v>
      </c>
      <c r="D66" s="20" t="b">
        <f>Penitenciaria!B41</f>
        <v>1</v>
      </c>
      <c r="E66" s="20" t="str">
        <f>Penitenciaria!C41</f>
        <v>Baja</v>
      </c>
      <c r="F66" s="20" t="str">
        <f>Penitenciaria!D41</f>
        <v>2025-II(Fin de ciclo)</v>
      </c>
      <c r="G66" s="20" t="str">
        <f>Penitenciaria!E41</f>
        <v>Elaborar y ejecutar la planificación de oferta complementaria.</v>
      </c>
      <c r="H66" s="20" t="str">
        <f>Penitenciaria!F41</f>
        <v>Docentes de la carrera</v>
      </c>
      <c r="I66" s="20" t="str">
        <f>Penitenciaria!G41</f>
        <v>Analizar y realizar la oferta complementaria</v>
      </c>
      <c r="J66" s="20" t="str">
        <f>Penitenciaria!H41</f>
        <v>Informe de ejecución de la oferta complementaria.</v>
      </c>
      <c r="K66" s="62">
        <f>Penitenciaria!I41</f>
        <v>0</v>
      </c>
      <c r="L66" s="160">
        <f>Penitenciaria!J41</f>
        <v>0</v>
      </c>
      <c r="M66" s="20">
        <f>Penitenciaria!K41</f>
        <v>0</v>
      </c>
      <c r="N66" s="20">
        <f>Penitenciaria!L41</f>
        <v>0</v>
      </c>
      <c r="O66" s="20" t="str">
        <f>Penitenciaria!M41</f>
        <v>NO consta el informe</v>
      </c>
      <c r="P66" s="20">
        <v>2025</v>
      </c>
    </row>
    <row r="67" spans="1:16" ht="14.25" customHeight="1">
      <c r="A67" s="20" t="s">
        <v>499</v>
      </c>
      <c r="B67" s="20" t="str">
        <f t="shared" si="5"/>
        <v>ESTRATEGIA 2</v>
      </c>
      <c r="C67" s="20" t="str">
        <f>Penitenciaria!E42</f>
        <v>OBJETIVO OPERATIVO 3</v>
      </c>
      <c r="D67" s="20" t="b">
        <f>Penitenciaria!B43</f>
        <v>1</v>
      </c>
      <c r="E67" s="20" t="str">
        <f>Penitenciaria!C43</f>
        <v>Alta</v>
      </c>
      <c r="F67" s="21">
        <f>Penitenciaria!D43</f>
        <v>45693</v>
      </c>
      <c r="G67" s="20" t="str">
        <f>Penitenciaria!E43</f>
        <v>Revisión de requisitos de la opción de titulación de los estudiantes.</v>
      </c>
      <c r="H67" s="20" t="str">
        <f>Penitenciaria!F43</f>
        <v>Director de carrera / Coordinador de carreras</v>
      </c>
      <c r="I67" s="20" t="str">
        <f>Penitenciaria!G43</f>
        <v>Realizar el análisis de la opción de titulación para los estudiantes</v>
      </c>
      <c r="J67" s="20" t="str">
        <f>Penitenciaria!H43</f>
        <v>Recopilar los documentos de los estudiantes de titulación.</v>
      </c>
      <c r="K67" s="62">
        <f>Penitenciaria!I43</f>
        <v>1</v>
      </c>
      <c r="L67" s="160">
        <f>Penitenciaria!J43</f>
        <v>0</v>
      </c>
      <c r="M67" s="20">
        <f>Penitenciaria!K43</f>
        <v>0</v>
      </c>
      <c r="N67" s="20">
        <f>Penitenciaria!L43</f>
        <v>0</v>
      </c>
      <c r="O67" s="20">
        <f>Penitenciaria!M43</f>
        <v>0</v>
      </c>
      <c r="P67" s="20">
        <v>2025</v>
      </c>
    </row>
    <row r="68" spans="1:16" ht="14.25" customHeight="1">
      <c r="A68" s="20" t="s">
        <v>499</v>
      </c>
      <c r="B68" s="20" t="str">
        <f>$B$67</f>
        <v>ESTRATEGIA 2</v>
      </c>
      <c r="C68" s="20" t="str">
        <f>$C$67</f>
        <v>OBJETIVO OPERATIVO 3</v>
      </c>
      <c r="D68" s="20" t="b">
        <f>Penitenciaria!B44</f>
        <v>1</v>
      </c>
      <c r="E68" s="20" t="str">
        <f>Penitenciaria!C44</f>
        <v>Alta</v>
      </c>
      <c r="F68" s="21">
        <f>Penitenciaria!D44</f>
        <v>45722</v>
      </c>
      <c r="G68" s="20" t="str">
        <f>Penitenciaria!E44</f>
        <v>Coordinación para aprobación de documentación de la integración curricular.</v>
      </c>
      <c r="H68" s="20" t="str">
        <f>Penitenciaria!F44</f>
        <v>Director de carrera / Coordinador de carreras</v>
      </c>
      <c r="I68" s="20" t="str">
        <f>Penitenciaria!G44</f>
        <v>Revisar y coordinar la aprobación de documentos para el ingreso a la unidad de integración curricular</v>
      </c>
      <c r="J68" s="20" t="str">
        <f>Penitenciaria!H44</f>
        <v>Aprobación de la documentación a titulación.</v>
      </c>
      <c r="K68" s="62">
        <f>Penitenciaria!I44</f>
        <v>1</v>
      </c>
      <c r="L68" s="160">
        <f>Penitenciaria!J44</f>
        <v>0</v>
      </c>
      <c r="M68" s="20">
        <f>Penitenciaria!K44</f>
        <v>0</v>
      </c>
      <c r="N68" s="20">
        <f>Penitenciaria!L44</f>
        <v>0</v>
      </c>
      <c r="O68" s="20">
        <f>Penitenciaria!M44</f>
        <v>0</v>
      </c>
      <c r="P68" s="20">
        <v>2025</v>
      </c>
    </row>
    <row r="69" spans="1:16" ht="14.25" customHeight="1">
      <c r="A69" s="20" t="s">
        <v>499</v>
      </c>
      <c r="B69" s="20" t="str">
        <f>$B$67</f>
        <v>ESTRATEGIA 2</v>
      </c>
      <c r="C69" s="20" t="str">
        <f>$C$67</f>
        <v>OBJETIVO OPERATIVO 3</v>
      </c>
      <c r="D69" s="20" t="b">
        <f>Penitenciaria!B45</f>
        <v>1</v>
      </c>
      <c r="E69" s="20" t="str">
        <f>Penitenciaria!C45</f>
        <v>Alta</v>
      </c>
      <c r="F69" s="21">
        <f>Penitenciaria!D45</f>
        <v>45780</v>
      </c>
      <c r="G69" s="20" t="str">
        <f>Penitenciaria!E45</f>
        <v>Coordinación del evento de incorporación.</v>
      </c>
      <c r="H69" s="20" t="str">
        <f>Penitenciaria!F45</f>
        <v>Director de carrera / Coordinador de carreras</v>
      </c>
      <c r="I69" s="20" t="str">
        <f>Penitenciaria!G45</f>
        <v>Realizar la lista de estudiantes a titularse</v>
      </c>
      <c r="J69" s="20" t="str">
        <f>Penitenciaria!H45</f>
        <v>Matriz de datos de estudiantes a titularse</v>
      </c>
      <c r="K69" s="62">
        <f>Penitenciaria!I45</f>
        <v>1</v>
      </c>
      <c r="L69" s="160">
        <f>Penitenciaria!J45</f>
        <v>0</v>
      </c>
      <c r="M69" s="20">
        <f>Penitenciaria!K45</f>
        <v>0</v>
      </c>
      <c r="N69" s="20">
        <f>Penitenciaria!L45</f>
        <v>0</v>
      </c>
      <c r="O69" s="20">
        <f>Penitenciaria!M45</f>
        <v>0</v>
      </c>
      <c r="P69" s="20">
        <v>2025</v>
      </c>
    </row>
    <row r="70" spans="1:16" ht="14.25" customHeight="1">
      <c r="A70" s="20" t="s">
        <v>499</v>
      </c>
      <c r="B70" s="20" t="str">
        <f>Penitenciaria!B46</f>
        <v>ESTRATEGIA 3</v>
      </c>
      <c r="C70" s="20" t="str">
        <f>Penitenciaria!E46</f>
        <v>OBJETIVO OPERATIVO 1</v>
      </c>
      <c r="D70" s="20" t="b">
        <f>Penitenciaria!B47</f>
        <v>0</v>
      </c>
      <c r="E70" s="20" t="str">
        <f>Penitenciaria!C47</f>
        <v>Media</v>
      </c>
      <c r="F70" s="20" t="str">
        <f>Penitenciaria!D47</f>
        <v>2025-I(Todo el ciclo)
2025-II(Todo de ciclo)</v>
      </c>
      <c r="G70" s="20" t="str">
        <f>Penitenciaria!E47</f>
        <v>Colaborar con la comisión de Vinculación en la construcción de los documentos necesarios para la firma de convenios.</v>
      </c>
      <c r="H70" s="20" t="str">
        <f>Penitenciaria!F47</f>
        <v>Director/a carrera -responsable de practicas y vinculación</v>
      </c>
      <c r="I70" s="20" t="str">
        <f>Penitenciaria!G47</f>
        <v>Brindar apoyo y realizar ITV de vinculación de la carrera</v>
      </c>
      <c r="J70" s="20" t="str">
        <f>Penitenciaria!H47</f>
        <v>ITV  y los convenios.</v>
      </c>
      <c r="K70" s="62">
        <f>Penitenciaria!I47</f>
        <v>0.5</v>
      </c>
      <c r="L70" s="160">
        <f>Penitenciaria!J47</f>
        <v>0</v>
      </c>
      <c r="M70" s="20">
        <f>Penitenciaria!K47</f>
        <v>0</v>
      </c>
      <c r="N70" s="20">
        <f>Penitenciaria!L47</f>
        <v>0</v>
      </c>
      <c r="O70" s="20" t="str">
        <f>Penitenciaria!M47</f>
        <v>NO consta ningún ITV de vinculación</v>
      </c>
      <c r="P70" s="20">
        <v>2025</v>
      </c>
    </row>
    <row r="71" spans="1:16" ht="14.25" customHeight="1">
      <c r="A71" s="20" t="s">
        <v>499</v>
      </c>
      <c r="B71" s="20" t="str">
        <f>$B$70</f>
        <v>ESTRATEGIA 3</v>
      </c>
      <c r="C71" s="20" t="str">
        <f>$C$70</f>
        <v>OBJETIVO OPERATIVO 1</v>
      </c>
      <c r="D71" s="20" t="b">
        <f>Penitenciaria!B48</f>
        <v>0</v>
      </c>
      <c r="E71" s="20" t="str">
        <f>Penitenciaria!C48</f>
        <v>Baja</v>
      </c>
      <c r="F71" s="20" t="str">
        <f>Penitenciaria!D48</f>
        <v>2024-II( fin ciclo)
2025-I( fin ciclo)</v>
      </c>
      <c r="G71" s="20" t="str">
        <f>Penitenciaria!E48</f>
        <v>Divulgación de los resultados de los proyectos de vinculación, asistiendo a las ferias convocados por diferentes organizaciones.</v>
      </c>
      <c r="H71" s="20" t="str">
        <f>Penitenciaria!F48</f>
        <v>Director/a carrera -responsable de practicas y vinculación</v>
      </c>
      <c r="I71" s="20" t="str">
        <f>Penitenciaria!G48</f>
        <v>Realizar la divulgación de los resultados de los proyectos de vinculación</v>
      </c>
      <c r="J71" s="20" t="str">
        <f>Penitenciaria!H48</f>
        <v>Informe de la divulgación.</v>
      </c>
      <c r="K71" s="62">
        <f>Penitenciaria!I48</f>
        <v>1</v>
      </c>
      <c r="L71" s="160">
        <f>Penitenciaria!J48</f>
        <v>0</v>
      </c>
      <c r="M71" s="20">
        <f>Penitenciaria!K48</f>
        <v>0</v>
      </c>
      <c r="N71" s="20">
        <f>Penitenciaria!L48</f>
        <v>0</v>
      </c>
      <c r="O71" s="20">
        <f>Penitenciaria!M48</f>
        <v>0</v>
      </c>
      <c r="P71" s="20">
        <v>2025</v>
      </c>
    </row>
    <row r="72" spans="1:16" ht="14.25" customHeight="1">
      <c r="A72" s="20" t="s">
        <v>499</v>
      </c>
      <c r="B72" s="20" t="str">
        <f>$B$70</f>
        <v>ESTRATEGIA 3</v>
      </c>
      <c r="C72" s="20" t="str">
        <f>$C$70</f>
        <v>OBJETIVO OPERATIVO 1</v>
      </c>
      <c r="D72" s="20" t="b">
        <f>Penitenciaria!B49</f>
        <v>0</v>
      </c>
      <c r="E72" s="20" t="str">
        <f>Penitenciaria!C49</f>
        <v>Baja</v>
      </c>
      <c r="F72" s="20" t="str">
        <f>Penitenciaria!D49</f>
        <v>2025-I (inicio ciclo)
2025-II(inicio ciclo)</v>
      </c>
      <c r="G72" s="20" t="str">
        <f>Penitenciaria!E49</f>
        <v>Socializar con los estudiantes el reglamento de vinculación</v>
      </c>
      <c r="H72" s="20" t="str">
        <f>Penitenciaria!F49</f>
        <v>Director/a carrera -responsable de practicas y vinculación</v>
      </c>
      <c r="I72" s="20" t="str">
        <f>Penitenciaria!G49</f>
        <v>Realizar la socialización del reglamento de vinculación con los estudiantes</v>
      </c>
      <c r="J72" s="20" t="str">
        <f>Penitenciaria!H49</f>
        <v>Informe de socialización del reglamento.</v>
      </c>
      <c r="K72" s="62">
        <f>Penitenciaria!I49</f>
        <v>1</v>
      </c>
      <c r="L72" s="160">
        <f>Penitenciaria!J49</f>
        <v>0</v>
      </c>
      <c r="M72" s="20">
        <f>Penitenciaria!K49</f>
        <v>0</v>
      </c>
      <c r="N72" s="20">
        <f>Penitenciaria!L49</f>
        <v>0</v>
      </c>
      <c r="O72" s="20">
        <f>Penitenciaria!M49</f>
        <v>0</v>
      </c>
      <c r="P72" s="20">
        <v>2025</v>
      </c>
    </row>
    <row r="73" spans="1:16" ht="14.25" customHeight="1">
      <c r="A73" s="20" t="s">
        <v>499</v>
      </c>
      <c r="B73" s="20" t="str">
        <f>$B$70</f>
        <v>ESTRATEGIA 3</v>
      </c>
      <c r="C73" s="20" t="str">
        <f>Penitenciaria!E50</f>
        <v>OBJETIVO OPERATIVO 2</v>
      </c>
      <c r="D73" s="20" t="b">
        <f>Penitenciaria!B51</f>
        <v>1</v>
      </c>
      <c r="E73" s="20" t="str">
        <f>Penitenciaria!C51</f>
        <v>Alta</v>
      </c>
      <c r="F73" s="20" t="str">
        <f>Penitenciaria!D51</f>
        <v>2025-I (inicio ciclo)
2025-II(inicio ciclo)</v>
      </c>
      <c r="G73" s="20" t="str">
        <f>Penitenciaria!E51</f>
        <v>Conocer las líneas de investigación de la carrera</v>
      </c>
      <c r="H73" s="20" t="str">
        <f>Penitenciaria!F51</f>
        <v>Director de carrera</v>
      </c>
      <c r="I73" s="20" t="str">
        <f>Penitenciaria!G51</f>
        <v>Analizar y realizar las líneas de investigación de la carrera</v>
      </c>
      <c r="J73" s="20" t="str">
        <f>Penitenciaria!H51</f>
        <v>Informe de socialización de las líneas de investigación de la carrera</v>
      </c>
      <c r="K73" s="62">
        <f>Penitenciaria!I51</f>
        <v>1</v>
      </c>
      <c r="L73" s="160">
        <f>Penitenciaria!J51</f>
        <v>0</v>
      </c>
      <c r="M73" s="20">
        <f>Penitenciaria!K51</f>
        <v>0</v>
      </c>
      <c r="N73" s="20">
        <f>Penitenciaria!L51</f>
        <v>0</v>
      </c>
      <c r="O73" s="20">
        <f>Penitenciaria!M51</f>
        <v>0</v>
      </c>
      <c r="P73" s="20">
        <v>2025</v>
      </c>
    </row>
    <row r="74" spans="1:16" ht="14.25" customHeight="1">
      <c r="A74" s="20" t="s">
        <v>499</v>
      </c>
      <c r="B74" s="20" t="str">
        <f>$B$70</f>
        <v>ESTRATEGIA 3</v>
      </c>
      <c r="C74" s="20" t="str">
        <f>$C$73</f>
        <v>OBJETIVO OPERATIVO 2</v>
      </c>
      <c r="D74" s="20" t="b">
        <f>Penitenciaria!B52</f>
        <v>1</v>
      </c>
      <c r="E74" s="20" t="str">
        <f>Penitenciaria!C52</f>
        <v>Alta</v>
      </c>
      <c r="F74" s="20" t="str">
        <f>Penitenciaria!D52</f>
        <v>2025-I(Todo el ciclo)
2025-II(Todo de ciclo)</v>
      </c>
      <c r="G74" s="20" t="str">
        <f>Penitenciaria!E52</f>
        <v>Desarrollar investigación científica y tecnológica que contribuya con la construcción de soluciones para los problemas del país, en relación con los objetivos del régimen de desarrollo.</v>
      </c>
      <c r="H74" s="20" t="str">
        <f>Penitenciaria!F52</f>
        <v>Director de Carrera
Docentes de la carrera
Comisión de Investigación</v>
      </c>
      <c r="I74" s="20" t="str">
        <f>Penitenciaria!G52</f>
        <v>Incentivar y desarrollar la investigación de los docentes de la carrera en base a las líneas de la carrera</v>
      </c>
      <c r="J74" s="20" t="str">
        <f>Penitenciaria!H52</f>
        <v>Artículos publicados por los docentes de la carrera</v>
      </c>
      <c r="K74" s="62">
        <f>Penitenciaria!I52</f>
        <v>1</v>
      </c>
      <c r="L74" s="160">
        <f>Penitenciaria!J52</f>
        <v>0</v>
      </c>
      <c r="M74" s="20">
        <f>Penitenciaria!K52</f>
        <v>0</v>
      </c>
      <c r="N74" s="20">
        <f>Penitenciaria!L52</f>
        <v>0</v>
      </c>
      <c r="O74" s="20">
        <f>Penitenciaria!M52</f>
        <v>0</v>
      </c>
      <c r="P74" s="20">
        <v>2025</v>
      </c>
    </row>
    <row r="75" spans="1:16" ht="14.25" customHeight="1">
      <c r="A75" s="20" t="s">
        <v>499</v>
      </c>
      <c r="B75" s="20" t="str">
        <f>$B$70</f>
        <v>ESTRATEGIA 3</v>
      </c>
      <c r="C75" s="20" t="str">
        <f>Penitenciaria!E53</f>
        <v>OBJETIVO OPERATIVO 3</v>
      </c>
      <c r="D75" s="20" t="b">
        <f>Penitenciaria!B54</f>
        <v>1</v>
      </c>
      <c r="E75" s="20" t="str">
        <f>Penitenciaria!C54</f>
        <v>Baja</v>
      </c>
      <c r="F75" s="20" t="str">
        <f>Penitenciaria!D54</f>
        <v>2024-II(Todo el ciclo)
2025-II(Todo de ciclo)</v>
      </c>
      <c r="G75" s="20" t="str">
        <f>Penitenciaria!E54</f>
        <v>Ejecutar la formación en valores y desarrollo de habilidades blandas.</v>
      </c>
      <c r="H75" s="20" t="str">
        <f>Penitenciaria!F54</f>
        <v>Director de carrera
Gestor académico
Bienestar institucional</v>
      </c>
      <c r="I75" s="20" t="str">
        <f>Penitenciaria!G54</f>
        <v>Realizar un curso de habilidades blandas que se desarrollara para todo el instituto</v>
      </c>
      <c r="J75" s="20" t="str">
        <f>Penitenciaria!H54</f>
        <v>Informe de formación en valores y desarrollo de habilidades blandas</v>
      </c>
      <c r="K75" s="62">
        <f>Penitenciaria!I54</f>
        <v>1</v>
      </c>
      <c r="L75" s="160">
        <f>Penitenciaria!J54</f>
        <v>0</v>
      </c>
      <c r="M75" s="20">
        <f>Penitenciaria!K54</f>
        <v>0</v>
      </c>
      <c r="N75" s="20">
        <f>Penitenciaria!L54</f>
        <v>0</v>
      </c>
      <c r="O75" s="20">
        <f>Penitenciaria!M54</f>
        <v>0</v>
      </c>
      <c r="P75" s="20">
        <v>2025</v>
      </c>
    </row>
    <row r="76" spans="1:16" ht="14.25" customHeight="1">
      <c r="A76" s="20" t="s">
        <v>499</v>
      </c>
      <c r="B76" s="20" t="str">
        <f>Penitenciaria!B55</f>
        <v>ESTRATEGIA 4</v>
      </c>
      <c r="C76" s="20" t="str">
        <f>Penitenciaria!E55</f>
        <v>OBJETIVO OPERATIVO 1</v>
      </c>
      <c r="D76" s="20" t="b">
        <f>Penitenciaria!B56</f>
        <v>0</v>
      </c>
      <c r="E76" s="20" t="str">
        <f>Penitenciaria!C56</f>
        <v>Baja</v>
      </c>
      <c r="F76" s="20" t="str">
        <f>Penitenciaria!D56</f>
        <v>2025-I (fin ciclo)
2025-II(fin ciclo)</v>
      </c>
      <c r="G76" s="20" t="str">
        <f>Penitenciaria!E56</f>
        <v>Elaboración de matrices de la oferta académica institucional.</v>
      </c>
      <c r="H76" s="20" t="str">
        <f>Penitenciaria!F56</f>
        <v>Director de Carrera
Gestor Académico</v>
      </c>
      <c r="I76" s="20" t="str">
        <f>Penitenciaria!G56</f>
        <v>Generación de matrices de oferta académica para la captación de más estudiantes</v>
      </c>
      <c r="J76" s="20" t="str">
        <f>Penitenciaria!H56</f>
        <v>Matrices de la oferta académica.</v>
      </c>
      <c r="K76" s="62">
        <f>Penitenciaria!I56</f>
        <v>1</v>
      </c>
      <c r="L76" s="160">
        <f>Penitenciaria!J56</f>
        <v>0</v>
      </c>
      <c r="M76" s="20">
        <f>Penitenciaria!K56</f>
        <v>0</v>
      </c>
      <c r="N76" s="20">
        <f>Penitenciaria!L56</f>
        <v>0</v>
      </c>
      <c r="O76" s="20">
        <f>Penitenciaria!M56</f>
        <v>0</v>
      </c>
      <c r="P76" s="20">
        <v>2025</v>
      </c>
    </row>
    <row r="77" spans="1:16" ht="14.25" customHeight="1">
      <c r="A77" s="20" t="s">
        <v>499</v>
      </c>
      <c r="B77" s="20" t="str">
        <f>$B$76</f>
        <v>ESTRATEGIA 4</v>
      </c>
      <c r="C77" s="20" t="str">
        <f>$C$76</f>
        <v>OBJETIVO OPERATIVO 1</v>
      </c>
      <c r="D77" s="20" t="b">
        <f>Penitenciaria!B57</f>
        <v>0</v>
      </c>
      <c r="E77" s="20" t="str">
        <f>Penitenciaria!C57</f>
        <v>Baja</v>
      </c>
      <c r="F77" s="20" t="str">
        <f>Penitenciaria!D57</f>
        <v>2025-I (fin ciclo)
2025-II(fin ciclo)</v>
      </c>
      <c r="G77" s="20" t="str">
        <f>Penitenciaria!E57</f>
        <v>Planificación de demanda estudiantil.</v>
      </c>
      <c r="H77" s="20" t="str">
        <f>Penitenciaria!F57</f>
        <v>Director de Carrera
Gestor Académico</v>
      </c>
      <c r="I77" s="20" t="str">
        <f>Penitenciaria!G57</f>
        <v>Planificar la demanda institucional en base a históricos de periodos anteriores</v>
      </c>
      <c r="J77" s="20" t="str">
        <f>Penitenciaria!H57</f>
        <v>Listado certificado  de matriculados de la carrera</v>
      </c>
      <c r="K77" s="62">
        <f>Penitenciaria!I57</f>
        <v>1</v>
      </c>
      <c r="L77" s="160">
        <f>Penitenciaria!J57</f>
        <v>0</v>
      </c>
      <c r="M77" s="20">
        <f>Penitenciaria!K57</f>
        <v>0</v>
      </c>
      <c r="N77" s="20">
        <f>Penitenciaria!L57</f>
        <v>0</v>
      </c>
      <c r="O77" s="20">
        <f>Penitenciaria!M57</f>
        <v>0</v>
      </c>
      <c r="P77" s="20">
        <v>2025</v>
      </c>
    </row>
    <row r="78" spans="1:16" ht="14.25" customHeight="1">
      <c r="A78" s="20" t="s">
        <v>499</v>
      </c>
      <c r="B78" s="20" t="str">
        <f>$B$76</f>
        <v>ESTRATEGIA 4</v>
      </c>
      <c r="C78" s="20" t="str">
        <f>$C$76</f>
        <v>OBJETIVO OPERATIVO 1</v>
      </c>
      <c r="D78" s="20" t="b">
        <f>Penitenciaria!B58</f>
        <v>0</v>
      </c>
      <c r="E78" s="20" t="str">
        <f>Penitenciaria!C58</f>
        <v>Media</v>
      </c>
      <c r="F78" s="20" t="str">
        <f>Penitenciaria!D58</f>
        <v>2025-II(fin ciclo)</v>
      </c>
      <c r="G78" s="20" t="str">
        <f>Penitenciaria!E58</f>
        <v>Análisis de capacidad operativa de la institución.</v>
      </c>
      <c r="H78" s="20" t="str">
        <f>Penitenciaria!F58</f>
        <v>Director de Carrera
Gestor Académico</v>
      </c>
      <c r="I78" s="20" t="str">
        <f>Penitenciaria!G58</f>
        <v>Análisis de requerimientos sustantivo y no sustantivo de la carrera</v>
      </c>
      <c r="J78" s="20" t="str">
        <f>Penitenciaria!H58</f>
        <v>Resolución de aprobación por OCS de Estandarización de Carrera</v>
      </c>
      <c r="K78" s="62">
        <f>Penitenciaria!I58</f>
        <v>1</v>
      </c>
      <c r="L78" s="160">
        <f>Penitenciaria!J58</f>
        <v>0</v>
      </c>
      <c r="M78" s="20">
        <f>Penitenciaria!K58</f>
        <v>0</v>
      </c>
      <c r="N78" s="20">
        <f>Penitenciaria!L58</f>
        <v>0</v>
      </c>
      <c r="O78" s="20">
        <f>Penitenciaria!M58</f>
        <v>0</v>
      </c>
      <c r="P78" s="20">
        <v>2025</v>
      </c>
    </row>
    <row r="79" spans="1:16" ht="14.25" customHeight="1">
      <c r="A79" s="20" t="s">
        <v>500</v>
      </c>
      <c r="B79" s="20" t="str">
        <f>'Producción Audiovisual'!B10</f>
        <v>ESTRATEGIA 1</v>
      </c>
      <c r="C79" s="20" t="str">
        <f>'Producción Audiovisual'!E10</f>
        <v>OBJETIVO OPERATIVO 1</v>
      </c>
      <c r="D79" s="20" t="b">
        <f>'Producción Audiovisual'!B11</f>
        <v>0</v>
      </c>
      <c r="E79" s="20" t="str">
        <f>'Producción Audiovisual'!C11</f>
        <v>Media</v>
      </c>
      <c r="F79" s="21" t="str">
        <f>'Producción Audiovisual'!D11</f>
        <v>2025-I ( Inicio ciclo)</v>
      </c>
      <c r="G79" s="20" t="str">
        <f>'Producción Audiovisual'!E11</f>
        <v>Planificar y estructurar las capacitaciones en el área técnica y didáctica.</v>
      </c>
      <c r="H79" s="20" t="str">
        <f>'Producción Audiovisual'!F11</f>
        <v>Director/a carrera
Docentes</v>
      </c>
      <c r="I79" s="20" t="str">
        <f>'Producción Audiovisual'!G11</f>
        <v>Desarrollo del plan de capacitación docente</v>
      </c>
      <c r="J79" s="20" t="str">
        <f>'Producción Audiovisual'!H11</f>
        <v>Plan de capacitación docente.</v>
      </c>
      <c r="K79" s="62">
        <f>'Producción Audiovisual'!I11</f>
        <v>1</v>
      </c>
      <c r="L79" s="160">
        <f>'Producción Audiovisual'!J11</f>
        <v>0</v>
      </c>
      <c r="M79" s="20">
        <f>'Producción Audiovisual'!K11</f>
        <v>0</v>
      </c>
      <c r="N79" s="20">
        <f>'Producción Audiovisual'!L11</f>
        <v>0</v>
      </c>
      <c r="O79" s="20">
        <f>'Producción Audiovisual'!M11</f>
        <v>0</v>
      </c>
      <c r="P79" s="20">
        <v>2025</v>
      </c>
    </row>
    <row r="80" spans="1:16" ht="14.25" customHeight="1">
      <c r="A80" s="20" t="s">
        <v>500</v>
      </c>
      <c r="B80" s="20" t="str">
        <f>$B$79</f>
        <v>ESTRATEGIA 1</v>
      </c>
      <c r="C80" s="20" t="str">
        <f>$C$79</f>
        <v>OBJETIVO OPERATIVO 1</v>
      </c>
      <c r="D80" s="20" t="b">
        <f>'Producción Audiovisual'!B12</f>
        <v>0</v>
      </c>
      <c r="E80" s="20" t="str">
        <f>'Producción Audiovisual'!C12</f>
        <v>Baja</v>
      </c>
      <c r="F80" s="21" t="str">
        <f>'Producción Audiovisual'!D12</f>
        <v>2025-II ( fin ciclo)</v>
      </c>
      <c r="G80" s="20" t="str">
        <f>'Producción Audiovisual'!E12</f>
        <v>Ejecutar las capacitaciones planificadas.</v>
      </c>
      <c r="H80" s="20" t="str">
        <f>'Producción Audiovisual'!F12</f>
        <v>Director/a carrera
Docentes</v>
      </c>
      <c r="I80" s="20" t="str">
        <f>'Producción Audiovisual'!G12</f>
        <v>informar sobre el plan de capacitación docente</v>
      </c>
      <c r="J80" s="20" t="str">
        <f>'Producción Audiovisual'!H12</f>
        <v>Informe de ejecución del plan de capacitación docente.</v>
      </c>
      <c r="K80" s="62">
        <f>'Producción Audiovisual'!I12</f>
        <v>0.5</v>
      </c>
      <c r="L80" s="160">
        <f>'Producción Audiovisual'!J12</f>
        <v>0</v>
      </c>
      <c r="M80" s="20">
        <f>'Producción Audiovisual'!K12</f>
        <v>0</v>
      </c>
      <c r="N80" s="20">
        <f>'Producción Audiovisual'!L12</f>
        <v>0</v>
      </c>
      <c r="O80" s="20" t="str">
        <f>'Producción Audiovisual'!M12</f>
        <v>NO consta el informe de ejecución del plan de capacitación docente del ciclo 2025-II.</v>
      </c>
      <c r="P80" s="20">
        <v>2025</v>
      </c>
    </row>
    <row r="81" spans="1:16" ht="14.25" customHeight="1">
      <c r="A81" s="20" t="s">
        <v>500</v>
      </c>
      <c r="B81" s="20" t="str">
        <f>$B$79</f>
        <v>ESTRATEGIA 1</v>
      </c>
      <c r="C81" s="20" t="str">
        <f>$C$79</f>
        <v>OBJETIVO OPERATIVO 1</v>
      </c>
      <c r="D81" s="20" t="b">
        <f>'Producción Audiovisual'!B13</f>
        <v>0</v>
      </c>
      <c r="E81" s="20" t="str">
        <f>'Producción Audiovisual'!C13</f>
        <v>Media</v>
      </c>
      <c r="F81" s="21" t="str">
        <f>'Producción Audiovisual'!D13</f>
        <v>2025-II( fin ciclo)
2025-I( fin ciclo)</v>
      </c>
      <c r="G81" s="20" t="str">
        <f>'Producción Audiovisual'!E13</f>
        <v>Entregar los resultados de los procesos de Evaluación al desempeño Docente y acciones realizadas.</v>
      </c>
      <c r="H81" s="20" t="str">
        <f>'Producción Audiovisual'!F13</f>
        <v>Director/a carrera
Docentes</v>
      </c>
      <c r="I81" s="20" t="str">
        <f>'Producción Audiovisual'!G13</f>
        <v>Generar una matriz para el registro de entrega de evaluaciones docentes</v>
      </c>
      <c r="J81" s="20" t="str">
        <f>'Producción Audiovisual'!H13</f>
        <v>Registro de entrega de evaluaciones a los docentes</v>
      </c>
      <c r="K81" s="62">
        <f>'Producción Audiovisual'!I13</f>
        <v>0.5</v>
      </c>
      <c r="L81" s="160">
        <f>'Producción Audiovisual'!J13</f>
        <v>0</v>
      </c>
      <c r="M81" s="20">
        <f>'Producción Audiovisual'!K13</f>
        <v>0</v>
      </c>
      <c r="N81" s="20">
        <f>'Producción Audiovisual'!L13</f>
        <v>0</v>
      </c>
      <c r="O81" s="20" t="str">
        <f>'Producción Audiovisual'!M13</f>
        <v>NO consta el registro de entrega de evaluaciones del ciclo 2025-II.</v>
      </c>
      <c r="P81" s="20">
        <v>2025</v>
      </c>
    </row>
    <row r="82" spans="1:16" ht="14.25" customHeight="1">
      <c r="A82" s="20" t="s">
        <v>500</v>
      </c>
      <c r="B82" s="20" t="str">
        <f t="shared" ref="B82:B89" si="7">$B$81</f>
        <v>ESTRATEGIA 1</v>
      </c>
      <c r="C82" s="20" t="str">
        <f>'Producción Audiovisual'!E14</f>
        <v>OBJETIVO OPERATIVO 2</v>
      </c>
      <c r="D82" s="20" t="b">
        <f>'Producción Audiovisual'!B15</f>
        <v>0</v>
      </c>
      <c r="E82" s="20" t="str">
        <f>'Producción Audiovisual'!C15</f>
        <v>Baja</v>
      </c>
      <c r="F82" s="21" t="str">
        <f>'Producción Audiovisual'!D15</f>
        <v>2025-I (inicio ciclo)
2025-II(inicio ciclo)</v>
      </c>
      <c r="G82" s="20" t="str">
        <f>'Producción Audiovisual'!E15</f>
        <v>Socializar con los docentes el uso adecuado de la plataforma Moodle.</v>
      </c>
      <c r="H82" s="20" t="str">
        <f>'Producción Audiovisual'!F15</f>
        <v>Responsable de Moodle de la carrera</v>
      </c>
      <c r="I82" s="20" t="str">
        <f>'Producción Audiovisual'!G15</f>
        <v>Realizar la socialización y generar un informe sobre el uso del Moodle</v>
      </c>
      <c r="J82" s="20" t="str">
        <f>'Producción Audiovisual'!H15</f>
        <v>Informe de socialización / inducción a los docentes</v>
      </c>
      <c r="K82" s="62">
        <f>'Producción Audiovisual'!I15</f>
        <v>0.5</v>
      </c>
      <c r="L82" s="160">
        <f>'Producción Audiovisual'!J15</f>
        <v>0</v>
      </c>
      <c r="M82" s="20">
        <f>'Producción Audiovisual'!K15</f>
        <v>0</v>
      </c>
      <c r="N82" s="20">
        <f>'Producción Audiovisual'!L15</f>
        <v>0</v>
      </c>
      <c r="O82" s="20" t="str">
        <f>'Producción Audiovisual'!M15</f>
        <v>NO consta el informe de socialización del ciclo 2025-II.</v>
      </c>
      <c r="P82" s="20">
        <v>2025</v>
      </c>
    </row>
    <row r="83" spans="1:16" ht="14.25" customHeight="1">
      <c r="A83" s="20" t="s">
        <v>500</v>
      </c>
      <c r="B83" s="20" t="str">
        <f t="shared" si="7"/>
        <v>ESTRATEGIA 1</v>
      </c>
      <c r="C83" s="20" t="str">
        <f>$C$82</f>
        <v>OBJETIVO OPERATIVO 2</v>
      </c>
      <c r="D83" s="20" t="b">
        <f>'Producción Audiovisual'!B16</f>
        <v>0</v>
      </c>
      <c r="E83" s="20" t="str">
        <f>'Producción Audiovisual'!C16</f>
        <v>Media</v>
      </c>
      <c r="F83" s="21" t="str">
        <f>'Producción Audiovisual'!D16</f>
        <v>2025-II( fin ciclo)
2025-I( fin ciclo)</v>
      </c>
      <c r="G83" s="20" t="str">
        <f>'Producción Audiovisual'!E16</f>
        <v>Revisar el aporte de cada docente en la plataforma Moodle</v>
      </c>
      <c r="H83" s="20" t="str">
        <f>'Producción Audiovisual'!F16</f>
        <v>Responsable de Moodle de la carrera</v>
      </c>
      <c r="I83" s="20" t="str">
        <f>'Producción Audiovisual'!G16</f>
        <v>Controlar el uso adecuado de la plataforma y generar un informe.</v>
      </c>
      <c r="J83" s="20" t="str">
        <f>'Producción Audiovisual'!H16</f>
        <v>Informe de actividades en la plataforma Moodle.</v>
      </c>
      <c r="K83" s="62">
        <f>'Producción Audiovisual'!I16</f>
        <v>0.5</v>
      </c>
      <c r="L83" s="160">
        <f>'Producción Audiovisual'!J16</f>
        <v>0</v>
      </c>
      <c r="M83" s="20">
        <f>'Producción Audiovisual'!K16</f>
        <v>0</v>
      </c>
      <c r="N83" s="20">
        <f>'Producción Audiovisual'!L16</f>
        <v>0</v>
      </c>
      <c r="O83" s="20" t="str">
        <f>'Producción Audiovisual'!M16</f>
        <v>NO consta el informe de actividades del ciclo 2025-II.</v>
      </c>
      <c r="P83" s="20">
        <v>2025</v>
      </c>
    </row>
    <row r="84" spans="1:16" ht="14.25" customHeight="1">
      <c r="A84" s="20" t="s">
        <v>500</v>
      </c>
      <c r="B84" s="20" t="str">
        <f t="shared" si="7"/>
        <v>ESTRATEGIA 1</v>
      </c>
      <c r="C84" s="20" t="str">
        <f>'Producción Audiovisual'!E17</f>
        <v>OBJETIVO OPERATIVO 3</v>
      </c>
      <c r="D84" s="20" t="b">
        <f>'Producción Audiovisual'!B18</f>
        <v>0</v>
      </c>
      <c r="E84" s="20" t="str">
        <f>'Producción Audiovisual'!C18</f>
        <v>Alta</v>
      </c>
      <c r="F84" s="21" t="str">
        <f>'Producción Audiovisual'!D18</f>
        <v>2025-I(inicio ciclo)
2025-II (inicio ciclo)</v>
      </c>
      <c r="G84" s="20" t="str">
        <f>'Producción Audiovisual'!E18</f>
        <v>Planificar y desarrollar una reunión del colectivo académico</v>
      </c>
      <c r="H84" s="20" t="str">
        <f>'Producción Audiovisual'!F18</f>
        <v>Director/a carrera</v>
      </c>
      <c r="I84" s="20" t="str">
        <f>'Producción Audiovisual'!G18</f>
        <v>Realizar y evidenciar los colectivos académicos</v>
      </c>
      <c r="J84" s="20" t="str">
        <f>'Producción Audiovisual'!H18</f>
        <v>Convocatoria al colectivo de académico</v>
      </c>
      <c r="K84" s="62">
        <f>'Producción Audiovisual'!I18</f>
        <v>0</v>
      </c>
      <c r="L84" s="160">
        <f>'Producción Audiovisual'!J18</f>
        <v>0</v>
      </c>
      <c r="M84" s="20">
        <f>'Producción Audiovisual'!K18</f>
        <v>0</v>
      </c>
      <c r="N84" s="20">
        <f>'Producción Audiovisual'!L18</f>
        <v>0</v>
      </c>
      <c r="O84" s="20" t="str">
        <f>'Producción Audiovisual'!M18</f>
        <v>Debe subirse una sola vez cuando es rediseño, NO hay evidencia.</v>
      </c>
      <c r="P84" s="20">
        <v>2025</v>
      </c>
    </row>
    <row r="85" spans="1:16" ht="14.25" customHeight="1">
      <c r="A85" s="20" t="s">
        <v>500</v>
      </c>
      <c r="B85" s="20" t="str">
        <f t="shared" si="7"/>
        <v>ESTRATEGIA 1</v>
      </c>
      <c r="C85" s="20" t="str">
        <f>$C$84</f>
        <v>OBJETIVO OPERATIVO 3</v>
      </c>
      <c r="D85" s="20" t="b">
        <f>'Producción Audiovisual'!B19</f>
        <v>0</v>
      </c>
      <c r="E85" s="20" t="str">
        <f>'Producción Audiovisual'!C19</f>
        <v>Media</v>
      </c>
      <c r="F85" s="21" t="str">
        <f>'Producción Audiovisual'!D19</f>
        <v>2025-II(fin de ciclo)
2025-I(fin de ciclo)</v>
      </c>
      <c r="G85" s="20" t="str">
        <f>'Producción Audiovisual'!E19</f>
        <v>Revisión y actualización de los PEAS</v>
      </c>
      <c r="H85" s="20" t="str">
        <f>'Producción Audiovisual'!F19</f>
        <v>Director/a carrera
Docentes</v>
      </c>
      <c r="I85" s="20" t="str">
        <f>'Producción Audiovisual'!G19</f>
        <v>Revisar si la bibliografía de la carrera es la adecuada en colectivos  según PEAS y Colectivos para el acervo bibliográfico</v>
      </c>
      <c r="J85" s="20" t="str">
        <f>'Producción Audiovisual'!H19</f>
        <v>Acervo bibliográfico de todas las asignaturas de la carrera, Informes de colectivos y PEAS revisados</v>
      </c>
      <c r="K85" s="62">
        <f>'Producción Audiovisual'!I19</f>
        <v>0.5</v>
      </c>
      <c r="L85" s="160">
        <f>'Producción Audiovisual'!J19</f>
        <v>0</v>
      </c>
      <c r="M85" s="20">
        <f>'Producción Audiovisual'!K19</f>
        <v>0</v>
      </c>
      <c r="N85" s="20">
        <f>'Producción Audiovisual'!L19</f>
        <v>0</v>
      </c>
      <c r="O85" s="20" t="str">
        <f>'Producción Audiovisual'!M19</f>
        <v>NO consta el acervo bibliográfico del ciclo académico 2025-II</v>
      </c>
      <c r="P85" s="20">
        <v>2025</v>
      </c>
    </row>
    <row r="86" spans="1:16" ht="14.25" customHeight="1">
      <c r="A86" s="20" t="s">
        <v>500</v>
      </c>
      <c r="B86" s="20" t="str">
        <f t="shared" si="7"/>
        <v>ESTRATEGIA 1</v>
      </c>
      <c r="C86" s="20" t="str">
        <f>$C$84</f>
        <v>OBJETIVO OPERATIVO 3</v>
      </c>
      <c r="D86" s="20" t="b">
        <f>'Producción Audiovisual'!B20</f>
        <v>0</v>
      </c>
      <c r="E86" s="20" t="str">
        <f>'Producción Audiovisual'!C20</f>
        <v>Media</v>
      </c>
      <c r="F86" s="21" t="str">
        <f>'Producción Audiovisual'!D20</f>
        <v>2025-II(fin de ciclo)
2025-I(fin de ciclo)</v>
      </c>
      <c r="G86" s="20" t="str">
        <f>'Producción Audiovisual'!E20</f>
        <v>Actas de reunión por colectivo académico</v>
      </c>
      <c r="H86" s="20" t="str">
        <f>'Producción Audiovisual'!F20</f>
        <v>Director/a carrera
Docentes</v>
      </c>
      <c r="I86" s="20" t="str">
        <f>'Producción Audiovisual'!G20</f>
        <v>Evidenciar el trabajo de colectivos</v>
      </c>
      <c r="J86" s="20" t="str">
        <f>'Producción Audiovisual'!H20</f>
        <v>Actas de colectivos</v>
      </c>
      <c r="K86" s="62">
        <f>'Producción Audiovisual'!I20</f>
        <v>0</v>
      </c>
      <c r="L86" s="160">
        <f>'Producción Audiovisual'!J20</f>
        <v>0</v>
      </c>
      <c r="M86" s="20">
        <f>'Producción Audiovisual'!K20</f>
        <v>0</v>
      </c>
      <c r="N86" s="20">
        <f>'Producción Audiovisual'!L20</f>
        <v>0</v>
      </c>
      <c r="O86" s="20" t="str">
        <f>'Producción Audiovisual'!M20</f>
        <v>NO constan las actas de la reunión con los colectivos.</v>
      </c>
      <c r="P86" s="20">
        <v>2025</v>
      </c>
    </row>
    <row r="87" spans="1:16" ht="14.25" customHeight="1">
      <c r="A87" s="20" t="s">
        <v>500</v>
      </c>
      <c r="B87" s="20" t="str">
        <f t="shared" si="7"/>
        <v>ESTRATEGIA 1</v>
      </c>
      <c r="C87" s="20" t="str">
        <f>'Producción Audiovisual'!E21</f>
        <v>OBJETIVO OPERATIVO 4</v>
      </c>
      <c r="D87" s="20" t="b">
        <f>'Producción Audiovisual'!B22</f>
        <v>0</v>
      </c>
      <c r="E87" s="20" t="str">
        <f>'Producción Audiovisual'!C22</f>
        <v>Baja</v>
      </c>
      <c r="F87" s="21" t="str">
        <f>'Producción Audiovisual'!D22</f>
        <v>2025-I(inicio ciclo)
2025-II (inicio ciclo)</v>
      </c>
      <c r="G87" s="20" t="str">
        <f>'Producción Audiovisual'!E22</f>
        <v>Recopilar las fichas de afinidad de los docentes de acuerdo al nivel de estudio.</v>
      </c>
      <c r="H87" s="20" t="str">
        <f>'Producción Audiovisual'!F22</f>
        <v>Director/a carrera</v>
      </c>
      <c r="I87" s="20" t="str">
        <f>'Producción Audiovisual'!G22</f>
        <v>Mantener actualizadas las fichas de afinidad de los docentes de acuerdo a la pertinencia en la carrera</v>
      </c>
      <c r="J87" s="20" t="str">
        <f>'Producción Audiovisual'!H22</f>
        <v>Fichas de afinidad de los docentes.</v>
      </c>
      <c r="K87" s="62">
        <f>'Producción Audiovisual'!I22</f>
        <v>0.5</v>
      </c>
      <c r="L87" s="160">
        <f>'Producción Audiovisual'!J22</f>
        <v>0</v>
      </c>
      <c r="M87" s="20">
        <f>'Producción Audiovisual'!K22</f>
        <v>0</v>
      </c>
      <c r="N87" s="20">
        <f>'Producción Audiovisual'!L22</f>
        <v>0</v>
      </c>
      <c r="O87" s="20" t="str">
        <f>'Producción Audiovisual'!M22</f>
        <v>NO constan las fichas de afinidad del ciclo académico 2025-II.</v>
      </c>
      <c r="P87" s="20">
        <v>2025</v>
      </c>
    </row>
    <row r="88" spans="1:16" ht="14.25" customHeight="1">
      <c r="A88" s="20" t="s">
        <v>500</v>
      </c>
      <c r="B88" s="20" t="str">
        <f t="shared" si="7"/>
        <v>ESTRATEGIA 1</v>
      </c>
      <c r="C88" s="20" t="str">
        <f>$C$87</f>
        <v>OBJETIVO OPERATIVO 4</v>
      </c>
      <c r="D88" s="20">
        <f>'Producción Audiovisual'!B23</f>
        <v>0</v>
      </c>
      <c r="E88" s="20" t="str">
        <f>'Producción Audiovisual'!C23</f>
        <v>Alta</v>
      </c>
      <c r="F88" s="21" t="str">
        <f>'Producción Audiovisual'!D23</f>
        <v>2025-I(inicio de ciclo)
2025-II(inicio de ciclo)</v>
      </c>
      <c r="G88" s="20" t="str">
        <f>'Producción Audiovisual'!E23</f>
        <v>Elaboración del distributivo docente de la carrera</v>
      </c>
      <c r="H88" s="20" t="str">
        <f>'Producción Audiovisual'!F23</f>
        <v>Director/a carrera</v>
      </c>
      <c r="I88" s="20" t="str">
        <f>'Producción Audiovisual'!G23</f>
        <v>Evidenciar la carga horaria y distributivos de los docentes</v>
      </c>
      <c r="J88" s="20" t="str">
        <f>'Producción Audiovisual'!H23</f>
        <v>Distributivo docente aprobado.</v>
      </c>
      <c r="K88" s="62">
        <f>'Producción Audiovisual'!I23</f>
        <v>0.5</v>
      </c>
      <c r="L88" s="160">
        <f>'Producción Audiovisual'!J23</f>
        <v>0</v>
      </c>
      <c r="M88" s="20">
        <f>'Producción Audiovisual'!K23</f>
        <v>0</v>
      </c>
      <c r="N88" s="20">
        <f>'Producción Audiovisual'!L23</f>
        <v>0</v>
      </c>
      <c r="O88" s="20" t="str">
        <f>'Producción Audiovisual'!M23</f>
        <v>NO constan los distributivos docentes del ciclo académico 2025-II</v>
      </c>
      <c r="P88" s="20">
        <v>2025</v>
      </c>
    </row>
    <row r="89" spans="1:16" ht="14.25" customHeight="1">
      <c r="A89" s="20" t="s">
        <v>500</v>
      </c>
      <c r="B89" s="20" t="str">
        <f t="shared" si="7"/>
        <v>ESTRATEGIA 1</v>
      </c>
      <c r="C89" s="20" t="str">
        <f>$C$87</f>
        <v>OBJETIVO OPERATIVO 4</v>
      </c>
      <c r="D89" s="20" t="b">
        <f>'Producción Audiovisual'!B24</f>
        <v>0</v>
      </c>
      <c r="E89" s="20" t="str">
        <f>'Producción Audiovisual'!C24</f>
        <v>Media</v>
      </c>
      <c r="F89" s="21" t="str">
        <f>'Producción Audiovisual'!D24</f>
        <v>2025-I(inicio de ciclo)
2025-II(inicio de ciclo)</v>
      </c>
      <c r="G89" s="20" t="str">
        <f>'Producción Audiovisual'!E24</f>
        <v>Designar responsables de la administración de la plataforma, tutorías , prácticas, vinculación , etc.</v>
      </c>
      <c r="H89" s="20" t="str">
        <f>'Producción Audiovisual'!F24</f>
        <v>Director/a carrera</v>
      </c>
      <c r="I89" s="20" t="str">
        <f>'Producción Audiovisual'!G24</f>
        <v>Realizar las designaciones y evidenciar los responsables y tutores de la carrera</v>
      </c>
      <c r="J89" s="20" t="str">
        <f>'Producción Audiovisual'!H24</f>
        <v>Oficios de designaciones de responsables.</v>
      </c>
      <c r="K89" s="62">
        <f>'Producción Audiovisual'!I24</f>
        <v>0.5</v>
      </c>
      <c r="L89" s="160">
        <f>'Producción Audiovisual'!J24</f>
        <v>0</v>
      </c>
      <c r="M89" s="20">
        <f>'Producción Audiovisual'!K24</f>
        <v>0</v>
      </c>
      <c r="N89" s="20">
        <f>'Producción Audiovisual'!L24</f>
        <v>0</v>
      </c>
      <c r="O89" s="20" t="str">
        <f>'Producción Audiovisual'!M24</f>
        <v>NO constan los oficios de designaciones del ciclo académico 2025-II</v>
      </c>
      <c r="P89" s="20">
        <v>2025</v>
      </c>
    </row>
    <row r="90" spans="1:16" ht="14.25" customHeight="1">
      <c r="A90" s="20" t="s">
        <v>500</v>
      </c>
      <c r="B90" s="20" t="str">
        <f>'Producción Audiovisual'!B25</f>
        <v>ESTRATEGIA 2</v>
      </c>
      <c r="C90" s="20" t="str">
        <f>'Producción Audiovisual'!E25</f>
        <v>OBJETIVO OPERATIVO 1</v>
      </c>
      <c r="D90" s="20" t="b">
        <f>'Producción Audiovisual'!B26</f>
        <v>0</v>
      </c>
      <c r="E90" s="20" t="str">
        <f>'Producción Audiovisual'!C26</f>
        <v>Alta</v>
      </c>
      <c r="F90" s="21" t="str">
        <f>'Producción Audiovisual'!D26</f>
        <v>2025-I(Inicio de ciclo)
2025-II(Inicio de ciclo)</v>
      </c>
      <c r="G90" s="20" t="str">
        <f>'Producción Audiovisual'!E26</f>
        <v>Elaborar y presentar el calendario de actividades de la o las carreras, horarios de clases y laboratorios.</v>
      </c>
      <c r="H90" s="20" t="str">
        <f>'Producción Audiovisual'!F26</f>
        <v>Director/a carrera</v>
      </c>
      <c r="I90" s="20" t="str">
        <f>'Producción Audiovisual'!G26</f>
        <v>Realizar los documentos necesarios para el desarrollo de las actividades de cada periodo de la carrera</v>
      </c>
      <c r="J90" s="20" t="str">
        <f>'Producción Audiovisual'!H26</f>
        <v>Calendario y horarios aprobados</v>
      </c>
      <c r="K90" s="62">
        <f>'Producción Audiovisual'!I26</f>
        <v>0.5</v>
      </c>
      <c r="L90" s="160">
        <f>'Producción Audiovisual'!J26</f>
        <v>0</v>
      </c>
      <c r="M90" s="20">
        <f>'Producción Audiovisual'!K26</f>
        <v>0</v>
      </c>
      <c r="N90" s="20">
        <f>'Producción Audiovisual'!L26</f>
        <v>0</v>
      </c>
      <c r="O90" s="20" t="str">
        <f>'Producción Audiovisual'!M26</f>
        <v>NO constan el calendario y horarios del ciclo académico 2025-II</v>
      </c>
      <c r="P90" s="20">
        <v>2025</v>
      </c>
    </row>
    <row r="91" spans="1:16" ht="14.25" customHeight="1">
      <c r="A91" s="20" t="s">
        <v>500</v>
      </c>
      <c r="B91" s="20" t="str">
        <f t="shared" ref="B91:B101" si="8">$B$90</f>
        <v>ESTRATEGIA 2</v>
      </c>
      <c r="C91" s="20" t="str">
        <f t="shared" ref="C91:C101" si="9">$C$90</f>
        <v>OBJETIVO OPERATIVO 1</v>
      </c>
      <c r="D91" s="20" t="b">
        <f>'Producción Audiovisual'!B27</f>
        <v>0</v>
      </c>
      <c r="E91" s="20" t="str">
        <f>'Producción Audiovisual'!C27</f>
        <v>Media</v>
      </c>
      <c r="F91" s="21" t="str">
        <f>'Producción Audiovisual'!D27</f>
        <v>2025-I(Todo el ciclo)
2025-II(Todo de ciclo)</v>
      </c>
      <c r="G91" s="20" t="str">
        <f>'Producción Audiovisual'!E27</f>
        <v>Requerimiento y aprobación de Documentos académicos. (Sílabos, guías practicas e informes de avance de Silabo)</v>
      </c>
      <c r="H91" s="20" t="str">
        <f>'Producción Audiovisual'!F27</f>
        <v>Director/a carrera - gestor académico</v>
      </c>
      <c r="I91" s="20" t="str">
        <f>'Producción Audiovisual'!G27</f>
        <v>Solicitud de documentos académicos por materias</v>
      </c>
      <c r="J91" s="20" t="str">
        <f>'Producción Audiovisual'!H27</f>
        <v>Documentación aprobada.</v>
      </c>
      <c r="K91" s="62">
        <f>'Producción Audiovisual'!I27</f>
        <v>0.5</v>
      </c>
      <c r="L91" s="160">
        <f>'Producción Audiovisual'!J27</f>
        <v>0</v>
      </c>
      <c r="M91" s="20">
        <f>'Producción Audiovisual'!K27</f>
        <v>0</v>
      </c>
      <c r="N91" s="20">
        <f>'Producción Audiovisual'!L27</f>
        <v>0</v>
      </c>
      <c r="O91" s="20" t="str">
        <f>'Producción Audiovisual'!M27</f>
        <v>NO consta la documentación del ciclo académico 2025-II</v>
      </c>
      <c r="P91" s="20">
        <v>2025</v>
      </c>
    </row>
    <row r="92" spans="1:16" ht="14.25" customHeight="1">
      <c r="A92" s="20" t="s">
        <v>500</v>
      </c>
      <c r="B92" s="20" t="str">
        <f t="shared" si="8"/>
        <v>ESTRATEGIA 2</v>
      </c>
      <c r="C92" s="20" t="str">
        <f t="shared" si="9"/>
        <v>OBJETIVO OPERATIVO 1</v>
      </c>
      <c r="D92" s="20" t="b">
        <f>'Producción Audiovisual'!B28</f>
        <v>0</v>
      </c>
      <c r="E92" s="20" t="str">
        <f>'Producción Audiovisual'!C28</f>
        <v>Media</v>
      </c>
      <c r="F92" s="21" t="str">
        <f>'Producción Audiovisual'!D28</f>
        <v>2025-I(Todo el ciclo)
2025-II(Todo de ciclo)</v>
      </c>
      <c r="G92" s="20" t="str">
        <f>'Producción Audiovisual'!E28</f>
        <v>Seguimiento al cumplimiento de la documentación académica.</v>
      </c>
      <c r="H92" s="20" t="str">
        <f>'Producción Audiovisual'!F28</f>
        <v>Director/a carrera - gestor académico</v>
      </c>
      <c r="I92" s="20" t="str">
        <f>'Producción Audiovisual'!G28</f>
        <v>Revisión de documentos académicos por materias</v>
      </c>
      <c r="J92" s="20" t="str">
        <f>'Producción Audiovisual'!H28</f>
        <v>Informe de carrera sobre la documentación recibida.</v>
      </c>
      <c r="K92" s="62">
        <f>'Producción Audiovisual'!I28</f>
        <v>0.5</v>
      </c>
      <c r="L92" s="160">
        <f>'Producción Audiovisual'!J28</f>
        <v>0</v>
      </c>
      <c r="M92" s="20">
        <f>'Producción Audiovisual'!K28</f>
        <v>0</v>
      </c>
      <c r="N92" s="20">
        <f>'Producción Audiovisual'!L28</f>
        <v>0</v>
      </c>
      <c r="O92" s="20" t="str">
        <f>'Producción Audiovisual'!M28</f>
        <v>NO consta la documentación del ciclo académico 2025-II</v>
      </c>
      <c r="P92" s="20">
        <v>2025</v>
      </c>
    </row>
    <row r="93" spans="1:16" ht="14.25" customHeight="1">
      <c r="A93" s="20" t="s">
        <v>500</v>
      </c>
      <c r="B93" s="20" t="str">
        <f t="shared" si="8"/>
        <v>ESTRATEGIA 2</v>
      </c>
      <c r="C93" s="20" t="str">
        <f t="shared" si="9"/>
        <v>OBJETIVO OPERATIVO 1</v>
      </c>
      <c r="D93" s="20" t="b">
        <f>'Producción Audiovisual'!B29</f>
        <v>0</v>
      </c>
      <c r="E93" s="20" t="str">
        <f>'Producción Audiovisual'!C29</f>
        <v>Baja</v>
      </c>
      <c r="F93" s="21" t="str">
        <f>'Producción Audiovisual'!D29</f>
        <v>2025-I(Todo el ciclo)
2025-II(Todo de ciclo)</v>
      </c>
      <c r="G93" s="20" t="str">
        <f>'Producción Audiovisual'!E29</f>
        <v>Reuniones de carrera  para socialización y toma de decisiones</v>
      </c>
      <c r="H93" s="20" t="str">
        <f>'Producción Audiovisual'!F29</f>
        <v>Director/a carrera - gestor académico</v>
      </c>
      <c r="I93" s="20" t="str">
        <f>'Producción Audiovisual'!G29</f>
        <v>Reuniones de carrera de acuerdo a requerimientos</v>
      </c>
      <c r="J93" s="20" t="str">
        <f>'Producción Audiovisual'!H29</f>
        <v>Convocatorias, actas e informes de reuniones de carrera.</v>
      </c>
      <c r="K93" s="62">
        <f>'Producción Audiovisual'!I29</f>
        <v>0.5</v>
      </c>
      <c r="L93" s="160">
        <f>'Producción Audiovisual'!J29</f>
        <v>0</v>
      </c>
      <c r="M93" s="20">
        <f>'Producción Audiovisual'!K29</f>
        <v>0</v>
      </c>
      <c r="N93" s="20">
        <f>'Producción Audiovisual'!L29</f>
        <v>0</v>
      </c>
      <c r="O93" s="20" t="str">
        <f>'Producción Audiovisual'!M29</f>
        <v>NO consta la documentación del ciclo académico 2025-II</v>
      </c>
      <c r="P93" s="20">
        <v>2025</v>
      </c>
    </row>
    <row r="94" spans="1:16" ht="14.25" customHeight="1">
      <c r="A94" s="20" t="s">
        <v>500</v>
      </c>
      <c r="B94" s="20" t="str">
        <f t="shared" si="8"/>
        <v>ESTRATEGIA 2</v>
      </c>
      <c r="C94" s="20" t="str">
        <f t="shared" si="9"/>
        <v>OBJETIVO OPERATIVO 1</v>
      </c>
      <c r="D94" s="20" t="b">
        <f>'Producción Audiovisual'!B30</f>
        <v>0</v>
      </c>
      <c r="E94" s="20" t="str">
        <f>'Producción Audiovisual'!C30</f>
        <v>Baja</v>
      </c>
      <c r="F94" s="21">
        <f>'Producción Audiovisual'!D30</f>
        <v>45838</v>
      </c>
      <c r="G94" s="20" t="str">
        <f>'Producción Audiovisual'!E30</f>
        <v>Informe semestral POA 2025</v>
      </c>
      <c r="H94" s="20" t="str">
        <f>'Producción Audiovisual'!F30</f>
        <v>Director/a carrera - gestor académico</v>
      </c>
      <c r="I94" s="20" t="str">
        <f>'Producción Audiovisual'!G30</f>
        <v>Informar sobre el avance del  POA</v>
      </c>
      <c r="J94" s="20" t="str">
        <f>'Producción Audiovisual'!H30</f>
        <v>Informe semestral seguimiento POA 2025</v>
      </c>
      <c r="K94" s="62">
        <f>'Producción Audiovisual'!I30</f>
        <v>1</v>
      </c>
      <c r="L94" s="160">
        <f>'Producción Audiovisual'!J30</f>
        <v>0</v>
      </c>
      <c r="M94" s="20">
        <f>'Producción Audiovisual'!K30</f>
        <v>0</v>
      </c>
      <c r="N94" s="20">
        <f>'Producción Audiovisual'!L30</f>
        <v>0</v>
      </c>
      <c r="O94" s="20">
        <f>'Producción Audiovisual'!M30</f>
        <v>0</v>
      </c>
      <c r="P94" s="20">
        <v>2025</v>
      </c>
    </row>
    <row r="95" spans="1:16" ht="14.25" customHeight="1">
      <c r="A95" s="20" t="s">
        <v>500</v>
      </c>
      <c r="B95" s="20" t="str">
        <f t="shared" si="8"/>
        <v>ESTRATEGIA 2</v>
      </c>
      <c r="C95" s="20" t="str">
        <f t="shared" si="9"/>
        <v>OBJETIVO OPERATIVO 1</v>
      </c>
      <c r="D95" s="20" t="b">
        <f>'Producción Audiovisual'!B31</f>
        <v>0</v>
      </c>
      <c r="E95" s="20" t="str">
        <f>'Producción Audiovisual'!C31</f>
        <v>Baja</v>
      </c>
      <c r="F95" s="21">
        <f>'Producción Audiovisual'!D31</f>
        <v>45991</v>
      </c>
      <c r="G95" s="20" t="str">
        <f>'Producción Audiovisual'!E31</f>
        <v>Informe final POA 2025</v>
      </c>
      <c r="H95" s="20" t="str">
        <f>'Producción Audiovisual'!F31</f>
        <v>Director/a carrera - gestor académico</v>
      </c>
      <c r="I95" s="20" t="str">
        <f>'Producción Audiovisual'!G31</f>
        <v>Informar sobre el alcance final del  POA</v>
      </c>
      <c r="J95" s="20" t="str">
        <f>'Producción Audiovisual'!H31</f>
        <v>Informe final POA 2025</v>
      </c>
      <c r="K95" s="62">
        <f>'Producción Audiovisual'!I31</f>
        <v>1</v>
      </c>
      <c r="L95" s="160">
        <f>'Producción Audiovisual'!J31</f>
        <v>0</v>
      </c>
      <c r="M95" s="20">
        <f>'Producción Audiovisual'!K31</f>
        <v>0</v>
      </c>
      <c r="N95" s="20">
        <f>'Producción Audiovisual'!L31</f>
        <v>0</v>
      </c>
      <c r="O95" s="20">
        <f>'Producción Audiovisual'!M31</f>
        <v>0</v>
      </c>
      <c r="P95" s="20">
        <v>2025</v>
      </c>
    </row>
    <row r="96" spans="1:16" ht="14.25" customHeight="1">
      <c r="A96" s="20" t="s">
        <v>500</v>
      </c>
      <c r="B96" s="20" t="str">
        <f t="shared" si="8"/>
        <v>ESTRATEGIA 2</v>
      </c>
      <c r="C96" s="20" t="str">
        <f t="shared" si="9"/>
        <v>OBJETIVO OPERATIVO 1</v>
      </c>
      <c r="D96" s="20" t="b">
        <f>'Producción Audiovisual'!B32</f>
        <v>0</v>
      </c>
      <c r="E96" s="20" t="str">
        <f>'Producción Audiovisual'!C32</f>
        <v>Baja</v>
      </c>
      <c r="F96" s="21">
        <f>'Producción Audiovisual'!D32</f>
        <v>46011</v>
      </c>
      <c r="G96" s="20" t="str">
        <f>'Producción Audiovisual'!E32</f>
        <v>Elaborar la Planificación Operativa Anual 2025</v>
      </c>
      <c r="H96" s="20" t="str">
        <f>'Producción Audiovisual'!F32</f>
        <v>Director/a carrera - gestor académico</v>
      </c>
      <c r="I96" s="20" t="str">
        <f>'Producción Audiovisual'!G32</f>
        <v>Realizar la planificación para el 2026</v>
      </c>
      <c r="J96" s="20" t="str">
        <f>'Producción Audiovisual'!H32</f>
        <v>POA 2026</v>
      </c>
      <c r="K96" s="62">
        <f>'Producción Audiovisual'!I32</f>
        <v>1</v>
      </c>
      <c r="L96" s="160">
        <f>'Producción Audiovisual'!J32</f>
        <v>0</v>
      </c>
      <c r="M96" s="20">
        <f>'Producción Audiovisual'!K32</f>
        <v>0</v>
      </c>
      <c r="N96" s="20">
        <f>'Producción Audiovisual'!L32</f>
        <v>0</v>
      </c>
      <c r="O96" s="20">
        <f>'Producción Audiovisual'!M32</f>
        <v>0</v>
      </c>
      <c r="P96" s="20">
        <v>2025</v>
      </c>
    </row>
    <row r="97" spans="1:16" ht="14.25" customHeight="1">
      <c r="A97" s="20" t="s">
        <v>500</v>
      </c>
      <c r="B97" s="20" t="str">
        <f t="shared" si="8"/>
        <v>ESTRATEGIA 2</v>
      </c>
      <c r="C97" s="20" t="str">
        <f t="shared" si="9"/>
        <v>OBJETIVO OPERATIVO 1</v>
      </c>
      <c r="D97" s="20" t="b">
        <f>'Producción Audiovisual'!B33</f>
        <v>0</v>
      </c>
      <c r="E97" s="20" t="str">
        <f>'Producción Audiovisual'!C33</f>
        <v>Media</v>
      </c>
      <c r="F97" s="21" t="str">
        <f>'Producción Audiovisual'!D33</f>
        <v>2025-I (inicio de ciclo)
2025-II (inicio de ciclo)</v>
      </c>
      <c r="G97" s="20" t="str">
        <f>'Producción Audiovisual'!E33</f>
        <v>Designación de tutores de curso</v>
      </c>
      <c r="H97" s="20" t="str">
        <f>'Producción Audiovisual'!F33</f>
        <v>Director/a carrera</v>
      </c>
      <c r="I97" s="20" t="str">
        <f>'Producción Audiovisual'!G33</f>
        <v>Realizar las designaciones y evidenciar los responsables y tutores de la carrera</v>
      </c>
      <c r="J97" s="20" t="str">
        <f>'Producción Audiovisual'!H33</f>
        <v>Documento de designación de tutores por parte del director de carrera</v>
      </c>
      <c r="K97" s="62">
        <f>'Producción Audiovisual'!I33</f>
        <v>0.5</v>
      </c>
      <c r="L97" s="160">
        <f>'Producción Audiovisual'!J33</f>
        <v>0</v>
      </c>
      <c r="M97" s="20">
        <f>'Producción Audiovisual'!K33</f>
        <v>0</v>
      </c>
      <c r="N97" s="20">
        <f>'Producción Audiovisual'!L33</f>
        <v>0</v>
      </c>
      <c r="O97" s="20" t="str">
        <f>'Producción Audiovisual'!M33</f>
        <v>NO consta la documentación del ciclo académico 2025-II</v>
      </c>
      <c r="P97" s="20">
        <v>2025</v>
      </c>
    </row>
    <row r="98" spans="1:16" ht="14.25" customHeight="1">
      <c r="A98" s="20" t="s">
        <v>500</v>
      </c>
      <c r="B98" s="20" t="str">
        <f t="shared" si="8"/>
        <v>ESTRATEGIA 2</v>
      </c>
      <c r="C98" s="20" t="str">
        <f t="shared" si="9"/>
        <v>OBJETIVO OPERATIVO 1</v>
      </c>
      <c r="D98" s="20" t="b">
        <f>'Producción Audiovisual'!B34</f>
        <v>0</v>
      </c>
      <c r="E98" s="20" t="str">
        <f>'Producción Audiovisual'!C34</f>
        <v>Media</v>
      </c>
      <c r="F98" s="21" t="str">
        <f>'Producción Audiovisual'!D34</f>
        <v>2025-I(Todo el ciclo)
2025-II(Todo el ciclo)</v>
      </c>
      <c r="G98" s="20" t="str">
        <f>'Producción Audiovisual'!E34</f>
        <v>Ejecutar las actividades de la fase de SEGUIMIENTO del modelo metodológico del proceso de Seguimiento Curricular</v>
      </c>
      <c r="H98" s="20" t="str">
        <f>'Producción Audiovisual'!F34</f>
        <v>Director/a de carrera - Gestor/a académico
Tutores de curso</v>
      </c>
      <c r="I98" s="20" t="str">
        <f>'Producción Audiovisual'!G34</f>
        <v>Realizar el Seguimiento del modelo metodológico</v>
      </c>
      <c r="J98" s="20" t="str">
        <f>'Producción Audiovisual'!H34</f>
        <v>Fase SEGUIMIENTO:
INICIO: Socialización de Tutorías Académicas
DURANTE: Registro de Calificaciones del Primer Parcial
FINAL : Registro de Calificación Finales</v>
      </c>
      <c r="K98" s="62">
        <f>'Producción Audiovisual'!I34</f>
        <v>0.5</v>
      </c>
      <c r="L98" s="160">
        <f>'Producción Audiovisual'!J34</f>
        <v>0</v>
      </c>
      <c r="M98" s="20">
        <f>'Producción Audiovisual'!K34</f>
        <v>0</v>
      </c>
      <c r="N98" s="20">
        <f>'Producción Audiovisual'!L34</f>
        <v>0</v>
      </c>
      <c r="O98" s="20" t="str">
        <f>'Producción Audiovisual'!M34</f>
        <v>NO consta la documentación del ciclo académico 2025-II</v>
      </c>
      <c r="P98" s="20">
        <v>2025</v>
      </c>
    </row>
    <row r="99" spans="1:16" ht="14.25" customHeight="1">
      <c r="A99" s="20" t="s">
        <v>500</v>
      </c>
      <c r="B99" s="20" t="str">
        <f t="shared" si="8"/>
        <v>ESTRATEGIA 2</v>
      </c>
      <c r="C99" s="20" t="str">
        <f t="shared" si="9"/>
        <v>OBJETIVO OPERATIVO 1</v>
      </c>
      <c r="D99" s="20" t="b">
        <f>'Producción Audiovisual'!B35</f>
        <v>0</v>
      </c>
      <c r="E99" s="20" t="str">
        <f>'Producción Audiovisual'!C35</f>
        <v>Media</v>
      </c>
      <c r="F99" s="21" t="str">
        <f>'Producción Audiovisual'!D35</f>
        <v>2025-I(Todo el ciclo)
2025-II(Todo el ciclo)</v>
      </c>
      <c r="G99" s="20" t="str">
        <f>'Producción Audiovisual'!E35</f>
        <v>Ejecutar las actividades de la fase de CONTROL del modelo metodológico del proceso de Seguimiento Curricular</v>
      </c>
      <c r="H99" s="20" t="str">
        <f>'Producción Audiovisual'!F35</f>
        <v>Director/a de carrera - Gestor/a académico
Tutores de curso</v>
      </c>
      <c r="I99" s="20" t="str">
        <f>'Producción Audiovisual'!G35</f>
        <v>Realizar el Control del modelo metodológico</v>
      </c>
      <c r="J99" s="20" t="str">
        <f>'Producción Audiovisual'!H35</f>
        <v>Fase CONTROL:
INICIO: Matriz consolidada de resultados de Pruebas de Diagnostico
DURANTE: Matriz consolidada de resultados de Calificaciones del Primer Parcial
FINAL : Matriz consolidada de resultados de Calificaciones Finales</v>
      </c>
      <c r="K99" s="62">
        <f>'Producción Audiovisual'!I35</f>
        <v>0.5</v>
      </c>
      <c r="L99" s="160">
        <f>'Producción Audiovisual'!J35</f>
        <v>0</v>
      </c>
      <c r="M99" s="20">
        <f>'Producción Audiovisual'!K35</f>
        <v>0</v>
      </c>
      <c r="N99" s="20">
        <f>'Producción Audiovisual'!L35</f>
        <v>0</v>
      </c>
      <c r="O99" s="20" t="str">
        <f>'Producción Audiovisual'!M35</f>
        <v>NO consta la documentación del ciclo académico 2025-II</v>
      </c>
      <c r="P99" s="20">
        <v>2025</v>
      </c>
    </row>
    <row r="100" spans="1:16" ht="14.25" customHeight="1">
      <c r="A100" s="20" t="s">
        <v>500</v>
      </c>
      <c r="B100" s="20" t="str">
        <f t="shared" si="8"/>
        <v>ESTRATEGIA 2</v>
      </c>
      <c r="C100" s="20" t="str">
        <f t="shared" si="9"/>
        <v>OBJETIVO OPERATIVO 1</v>
      </c>
      <c r="D100" s="20" t="b">
        <f>'Producción Audiovisual'!B36</f>
        <v>0</v>
      </c>
      <c r="E100" s="20" t="str">
        <f>'Producción Audiovisual'!C36</f>
        <v>Media</v>
      </c>
      <c r="F100" s="21" t="str">
        <f>'Producción Audiovisual'!D36</f>
        <v>2025-I(Todo el ciclo)
2025-II(Todo el ciclo)</v>
      </c>
      <c r="G100" s="20" t="str">
        <f>'Producción Audiovisual'!E36</f>
        <v>Ejecutar las actividades de la fase de EVALUACIÓN del modelo metodológico del proceso de Seguimiento Curricular</v>
      </c>
      <c r="H100" s="20" t="str">
        <f>'Producción Audiovisual'!F36</f>
        <v>Director/a de carrera - Gestor/a académico
Tutores de curso</v>
      </c>
      <c r="I100" s="20" t="str">
        <f>'Producción Audiovisual'!G36</f>
        <v>Realizar la Evaluación del modelo metodológico</v>
      </c>
      <c r="J100" s="20" t="str">
        <f>'Producción Audiovisual'!H36</f>
        <v>Fase EVALAUCIÓN:
INICIO: Acta de reunión de inicio de ciclo estudiantes
DURANTE: Acta de reunión del Primer Parcial Docentes - Estudiantes
FINAL : Acta de reunión Final - Docentes - Estudiantes</v>
      </c>
      <c r="K100" s="62">
        <f>'Producción Audiovisual'!I36</f>
        <v>0.5</v>
      </c>
      <c r="L100" s="160">
        <f>'Producción Audiovisual'!J36</f>
        <v>0</v>
      </c>
      <c r="M100" s="20">
        <f>'Producción Audiovisual'!K36</f>
        <v>0</v>
      </c>
      <c r="N100" s="20">
        <f>'Producción Audiovisual'!L36</f>
        <v>0</v>
      </c>
      <c r="O100" s="20" t="str">
        <f>'Producción Audiovisual'!M36</f>
        <v>NO consta la documentación del ciclo académico 2025-II</v>
      </c>
      <c r="P100" s="20">
        <v>2025</v>
      </c>
    </row>
    <row r="101" spans="1:16" ht="14.25" customHeight="1">
      <c r="A101" s="20" t="s">
        <v>500</v>
      </c>
      <c r="B101" s="20" t="str">
        <f t="shared" si="8"/>
        <v>ESTRATEGIA 2</v>
      </c>
      <c r="C101" s="20" t="str">
        <f t="shared" si="9"/>
        <v>OBJETIVO OPERATIVO 1</v>
      </c>
      <c r="D101" s="20" t="b">
        <f>'Producción Audiovisual'!B37</f>
        <v>0</v>
      </c>
      <c r="E101" s="20" t="str">
        <f>'Producción Audiovisual'!C37</f>
        <v>Baja</v>
      </c>
      <c r="F101" s="21" t="str">
        <f>'Producción Audiovisual'!D37</f>
        <v>2025-II(Fin de ciclo)
2025-I(Fin de Ciclo)</v>
      </c>
      <c r="G101" s="20" t="str">
        <f>'Producción Audiovisual'!E37</f>
        <v>Elaboración del Plan de Mejoramiento del proceso enseñanza aprendizaje</v>
      </c>
      <c r="H101" s="20" t="str">
        <f>'Producción Audiovisual'!F37</f>
        <v>Director/a carrera
Responsable de Seguimiento a graduados de la carrera</v>
      </c>
      <c r="I101" s="20" t="str">
        <f>'Producción Audiovisual'!G37</f>
        <v>De acuerdo a los resultados generar el Plan de Mejoramiento enseñanza aprendizaje</v>
      </c>
      <c r="J101" s="20" t="str">
        <f>'Producción Audiovisual'!H37</f>
        <v>Informe de plan de mejoramiento curricular</v>
      </c>
      <c r="K101" s="62">
        <f>'Producción Audiovisual'!I37</f>
        <v>0.5</v>
      </c>
      <c r="L101" s="160">
        <f>'Producción Audiovisual'!J37</f>
        <v>0</v>
      </c>
      <c r="M101" s="20">
        <f>'Producción Audiovisual'!K37</f>
        <v>0</v>
      </c>
      <c r="N101" s="20">
        <f>'Producción Audiovisual'!L37</f>
        <v>0</v>
      </c>
      <c r="O101" s="20" t="str">
        <f>'Producción Audiovisual'!M37</f>
        <v>NO consta el informe de plan de mejoramiento curricular del ciclo 2025-I</v>
      </c>
      <c r="P101" s="20">
        <v>2025</v>
      </c>
    </row>
    <row r="102" spans="1:16" ht="14.25" customHeight="1">
      <c r="A102" s="20" t="s">
        <v>500</v>
      </c>
      <c r="B102" s="20" t="str">
        <f t="shared" ref="B102:B107" si="10">$B$101</f>
        <v>ESTRATEGIA 2</v>
      </c>
      <c r="C102" s="20" t="str">
        <f>'Producción Audiovisual'!E38</f>
        <v>OBJETIVO OPERATIVO 2</v>
      </c>
      <c r="D102" s="20" t="b">
        <f>'Producción Audiovisual'!B39</f>
        <v>1</v>
      </c>
      <c r="E102" s="20" t="str">
        <f>'Producción Audiovisual'!C39</f>
        <v>Media</v>
      </c>
      <c r="F102" s="21" t="str">
        <f>'Producción Audiovisual'!D39</f>
        <v>2025-II(Inicio de ciclo)</v>
      </c>
      <c r="G102" s="20" t="str">
        <f>'Producción Audiovisual'!E39</f>
        <v>Diseñar, gestionar e implementar cursos o programas de inducción y de actualización para docentes y estudiantes.</v>
      </c>
      <c r="H102" s="20" t="str">
        <f>'Producción Audiovisual'!F39</f>
        <v>Director/a carrera - gestor académico</v>
      </c>
      <c r="I102" s="20" t="str">
        <f>'Producción Audiovisual'!G39</f>
        <v>Generar la capacitación docente</v>
      </c>
      <c r="J102" s="20" t="str">
        <f>'Producción Audiovisual'!H39</f>
        <v>Informes de cursos y o programas.</v>
      </c>
      <c r="K102" s="62">
        <f>'Producción Audiovisual'!I39</f>
        <v>0.5</v>
      </c>
      <c r="L102" s="160">
        <f>'Producción Audiovisual'!J39</f>
        <v>0</v>
      </c>
      <c r="M102" s="20">
        <f>'Producción Audiovisual'!K39</f>
        <v>0</v>
      </c>
      <c r="N102" s="20">
        <f>'Producción Audiovisual'!L39</f>
        <v>0</v>
      </c>
      <c r="O102" s="20" t="str">
        <f>'Producción Audiovisual'!M39</f>
        <v>NO consta el informe de cursos y/o capacitaciones del ciclo 2025-II</v>
      </c>
      <c r="P102" s="20">
        <v>2025</v>
      </c>
    </row>
    <row r="103" spans="1:16" ht="14.25" customHeight="1">
      <c r="A103" s="20" t="s">
        <v>500</v>
      </c>
      <c r="B103" s="20" t="str">
        <f t="shared" si="10"/>
        <v>ESTRATEGIA 2</v>
      </c>
      <c r="C103" s="20" t="str">
        <f>$C$102</f>
        <v>OBJETIVO OPERATIVO 2</v>
      </c>
      <c r="D103" s="20" t="b">
        <f>'Producción Audiovisual'!B40</f>
        <v>1</v>
      </c>
      <c r="E103" s="20" t="str">
        <f>'Producción Audiovisual'!C40</f>
        <v>Media</v>
      </c>
      <c r="F103" s="21" t="str">
        <f>'Producción Audiovisual'!D40</f>
        <v>2025-II(Inicio de ciclo)</v>
      </c>
      <c r="G103" s="20" t="str">
        <f>'Producción Audiovisual'!E40</f>
        <v>Capacitar a los estudiantes sobre la utilización de la Plataforma Moodle.</v>
      </c>
      <c r="H103" s="20" t="str">
        <f>'Producción Audiovisual'!F40</f>
        <v>responsable plataforma Moodle de la carrera</v>
      </c>
      <c r="I103" s="20" t="str">
        <f>'Producción Audiovisual'!G40</f>
        <v>Generar la capacitación estudiantil sobre el Moodle</v>
      </c>
      <c r="J103" s="20" t="str">
        <f>'Producción Audiovisual'!H40</f>
        <v>Informe sobre la capacitación</v>
      </c>
      <c r="K103" s="62">
        <f>'Producción Audiovisual'!I40</f>
        <v>0</v>
      </c>
      <c r="L103" s="160">
        <f>'Producción Audiovisual'!J40</f>
        <v>0</v>
      </c>
      <c r="M103" s="20">
        <f>'Producción Audiovisual'!K40</f>
        <v>0</v>
      </c>
      <c r="N103" s="20">
        <f>'Producción Audiovisual'!L40</f>
        <v>0</v>
      </c>
      <c r="O103" s="20" t="str">
        <f>'Producción Audiovisual'!M40</f>
        <v>NO se encuentran las evidencias</v>
      </c>
      <c r="P103" s="20">
        <v>2025</v>
      </c>
    </row>
    <row r="104" spans="1:16" ht="14.25" customHeight="1">
      <c r="A104" s="20" t="s">
        <v>500</v>
      </c>
      <c r="B104" s="20" t="str">
        <f t="shared" si="10"/>
        <v>ESTRATEGIA 2</v>
      </c>
      <c r="C104" s="20" t="str">
        <f>$C$102</f>
        <v>OBJETIVO OPERATIVO 2</v>
      </c>
      <c r="D104" s="20" t="b">
        <f>'Producción Audiovisual'!B41</f>
        <v>1</v>
      </c>
      <c r="E104" s="20" t="str">
        <f>'Producción Audiovisual'!C41</f>
        <v>Baja</v>
      </c>
      <c r="F104" s="21" t="str">
        <f>'Producción Audiovisual'!D41</f>
        <v>2025-II(Fin de ciclo)</v>
      </c>
      <c r="G104" s="20" t="str">
        <f>'Producción Audiovisual'!E41</f>
        <v>Elaborar y ejecutar la planificación de oferta complementaria.</v>
      </c>
      <c r="H104" s="20" t="str">
        <f>'Producción Audiovisual'!F41</f>
        <v>Docentes de la carrera</v>
      </c>
      <c r="I104" s="20" t="str">
        <f>'Producción Audiovisual'!G41</f>
        <v>Analizar y realizar la oferta complementaria</v>
      </c>
      <c r="J104" s="20" t="str">
        <f>'Producción Audiovisual'!H41</f>
        <v>Informe de ejecución de la oferta complementaria.</v>
      </c>
      <c r="K104" s="62">
        <f>'Producción Audiovisual'!I41</f>
        <v>0</v>
      </c>
      <c r="L104" s="160">
        <f>'Producción Audiovisual'!J41</f>
        <v>0</v>
      </c>
      <c r="M104" s="20">
        <f>'Producción Audiovisual'!K41</f>
        <v>0</v>
      </c>
      <c r="N104" s="20">
        <f>'Producción Audiovisual'!L41</f>
        <v>0</v>
      </c>
      <c r="O104" s="20" t="str">
        <f>'Producción Audiovisual'!M41</f>
        <v>NO se encuentran las evidencias</v>
      </c>
      <c r="P104" s="20">
        <v>2025</v>
      </c>
    </row>
    <row r="105" spans="1:16" ht="14.25" customHeight="1">
      <c r="A105" s="20" t="s">
        <v>500</v>
      </c>
      <c r="B105" s="20" t="str">
        <f t="shared" si="10"/>
        <v>ESTRATEGIA 2</v>
      </c>
      <c r="C105" s="20" t="str">
        <f>'Producción Audiovisual'!E42</f>
        <v>OBJETIVO OPERATIVO 3</v>
      </c>
      <c r="D105" s="20" t="b">
        <f>'Producción Audiovisual'!B43</f>
        <v>1</v>
      </c>
      <c r="E105" s="20" t="str">
        <f>'Producción Audiovisual'!C43</f>
        <v>Alta</v>
      </c>
      <c r="F105" s="21" t="str">
        <f>'Producción Audiovisual'!D43</f>
        <v>2025-I(Inicio de ciclo)</v>
      </c>
      <c r="G105" s="20" t="str">
        <f>'Producción Audiovisual'!E43</f>
        <v>Revisión de requisitos de la opción de titulación de los estudiantes.</v>
      </c>
      <c r="H105" s="20" t="str">
        <f>'Producción Audiovisual'!F43</f>
        <v>Director de carrera / Coordinador de carreras</v>
      </c>
      <c r="I105" s="20" t="str">
        <f>'Producción Audiovisual'!G43</f>
        <v>Realizar el análisis de la opción de titulación para los estudiantes</v>
      </c>
      <c r="J105" s="20" t="str">
        <f>'Producción Audiovisual'!H43</f>
        <v>Recopilar los documentos de los estudiantes de titulación.</v>
      </c>
      <c r="K105" s="62">
        <f>'Producción Audiovisual'!I43</f>
        <v>0</v>
      </c>
      <c r="L105" s="160">
        <f>'Producción Audiovisual'!J43</f>
        <v>0</v>
      </c>
      <c r="M105" s="20">
        <f>'Producción Audiovisual'!K43</f>
        <v>0</v>
      </c>
      <c r="N105" s="20">
        <f>'Producción Audiovisual'!L43</f>
        <v>0</v>
      </c>
      <c r="O105" s="20" t="str">
        <f>'Producción Audiovisual'!M43</f>
        <v>NO se encuentran las evidencias</v>
      </c>
      <c r="P105" s="20">
        <v>2025</v>
      </c>
    </row>
    <row r="106" spans="1:16" ht="14.25" customHeight="1">
      <c r="A106" s="20" t="s">
        <v>500</v>
      </c>
      <c r="B106" s="20" t="str">
        <f t="shared" si="10"/>
        <v>ESTRATEGIA 2</v>
      </c>
      <c r="C106" s="20" t="str">
        <f>$C$105</f>
        <v>OBJETIVO OPERATIVO 3</v>
      </c>
      <c r="D106" s="20" t="b">
        <f>'Producción Audiovisual'!B44</f>
        <v>1</v>
      </c>
      <c r="E106" s="20" t="str">
        <f>'Producción Audiovisual'!C44</f>
        <v>Alta</v>
      </c>
      <c r="F106" s="21" t="str">
        <f>'Producción Audiovisual'!D44</f>
        <v>2025-I(Inicio de ciclo)</v>
      </c>
      <c r="G106" s="20" t="str">
        <f>'Producción Audiovisual'!E44</f>
        <v>Coordinación para aprobación de documentación de la integración curricular.</v>
      </c>
      <c r="H106" s="20" t="str">
        <f>'Producción Audiovisual'!F44</f>
        <v>Director de carrera / Coordinador de carreras</v>
      </c>
      <c r="I106" s="20" t="str">
        <f>'Producción Audiovisual'!G44</f>
        <v>Revisar y coordinar la aprobación de documentos para el ingreso a la unidad de integración curricular</v>
      </c>
      <c r="J106" s="20" t="str">
        <f>'Producción Audiovisual'!H44</f>
        <v>Aprobación de la documentación a titulación.</v>
      </c>
      <c r="K106" s="62">
        <f>'Producción Audiovisual'!I44</f>
        <v>0</v>
      </c>
      <c r="L106" s="160">
        <f>'Producción Audiovisual'!J44</f>
        <v>0</v>
      </c>
      <c r="M106" s="20">
        <f>'Producción Audiovisual'!K44</f>
        <v>0</v>
      </c>
      <c r="N106" s="20">
        <f>'Producción Audiovisual'!L44</f>
        <v>0</v>
      </c>
      <c r="O106" s="20" t="str">
        <f>'Producción Audiovisual'!M44</f>
        <v>NO se encuentran las evidencias</v>
      </c>
      <c r="P106" s="20">
        <v>2025</v>
      </c>
    </row>
    <row r="107" spans="1:16" ht="14.25" customHeight="1">
      <c r="A107" s="20" t="s">
        <v>500</v>
      </c>
      <c r="B107" s="20" t="str">
        <f t="shared" si="10"/>
        <v>ESTRATEGIA 2</v>
      </c>
      <c r="C107" s="20" t="str">
        <f>$C$105</f>
        <v>OBJETIVO OPERATIVO 3</v>
      </c>
      <c r="D107" s="20" t="b">
        <f>'Producción Audiovisual'!B45</f>
        <v>1</v>
      </c>
      <c r="E107" s="20" t="str">
        <f>'Producción Audiovisual'!C45</f>
        <v>Alta</v>
      </c>
      <c r="F107" s="21" t="str">
        <f>'Producción Audiovisual'!D45</f>
        <v>2025-I(Fin de ciclo)</v>
      </c>
      <c r="G107" s="20" t="str">
        <f>'Producción Audiovisual'!E45</f>
        <v>Coordinación del evento de incorporación.</v>
      </c>
      <c r="H107" s="20" t="str">
        <f>'Producción Audiovisual'!F45</f>
        <v>Director de carrera / Coordinador de carreras</v>
      </c>
      <c r="I107" s="20" t="str">
        <f>'Producción Audiovisual'!G45</f>
        <v>Realizar la lista de estudiantes a titularse</v>
      </c>
      <c r="J107" s="20" t="str">
        <f>'Producción Audiovisual'!H45</f>
        <v>Matriz de datos de estudiantes a titularse</v>
      </c>
      <c r="K107" s="62">
        <f>'Producción Audiovisual'!I45</f>
        <v>0</v>
      </c>
      <c r="L107" s="160">
        <f>'Producción Audiovisual'!J45</f>
        <v>0</v>
      </c>
      <c r="M107" s="20">
        <f>'Producción Audiovisual'!K45</f>
        <v>0</v>
      </c>
      <c r="N107" s="20">
        <f>'Producción Audiovisual'!L45</f>
        <v>0</v>
      </c>
      <c r="O107" s="20" t="str">
        <f>'Producción Audiovisual'!M45</f>
        <v>NO se encuentran las evidencias</v>
      </c>
      <c r="P107" s="20">
        <v>2025</v>
      </c>
    </row>
    <row r="108" spans="1:16" ht="14.25" customHeight="1">
      <c r="A108" s="20" t="s">
        <v>500</v>
      </c>
      <c r="B108" s="20" t="str">
        <f>'Producción Audiovisual'!B46</f>
        <v>ESTRATEGIA 3</v>
      </c>
      <c r="C108" s="20" t="str">
        <f>'Producción Audiovisual'!E46</f>
        <v>OBJETIVO OPERATIVO 1</v>
      </c>
      <c r="D108" s="20" t="b">
        <f>'Producción Audiovisual'!B47</f>
        <v>0</v>
      </c>
      <c r="E108" s="20" t="str">
        <f>'Producción Audiovisual'!C47</f>
        <v>Media</v>
      </c>
      <c r="F108" s="21" t="str">
        <f>'Producción Audiovisual'!D47</f>
        <v>2025-I(Todo el ciclo)
2025-II(Todo de ciclo)</v>
      </c>
      <c r="G108" s="20" t="str">
        <f>'Producción Audiovisual'!E47</f>
        <v>Colaborar con la comisión de Vinculación en la construcción de los documentos necesarios para la firma de convenios.</v>
      </c>
      <c r="H108" s="20" t="str">
        <f>'Producción Audiovisual'!F47</f>
        <v>Director/a carrera -responsable de practicas y vinculación</v>
      </c>
      <c r="I108" s="20" t="str">
        <f>'Producción Audiovisual'!G47</f>
        <v>Brindar apoyo y realizar ITV de vinculación de la carrera</v>
      </c>
      <c r="J108" s="20" t="str">
        <f>'Producción Audiovisual'!H47</f>
        <v>ITV  y los convenios.</v>
      </c>
      <c r="K108" s="62">
        <f>'Producción Audiovisual'!I47</f>
        <v>1</v>
      </c>
      <c r="L108" s="160">
        <f>'Producción Audiovisual'!J47</f>
        <v>0</v>
      </c>
      <c r="M108" s="20">
        <f>'Producción Audiovisual'!K47</f>
        <v>0</v>
      </c>
      <c r="N108" s="20">
        <f>'Producción Audiovisual'!L47</f>
        <v>0</v>
      </c>
      <c r="O108" s="20" t="str">
        <f>'Producción Audiovisual'!M47</f>
        <v>No se realizaron itvs y convenios en el periodo</v>
      </c>
      <c r="P108" s="20">
        <v>2025</v>
      </c>
    </row>
    <row r="109" spans="1:16" ht="14.25" customHeight="1">
      <c r="A109" s="20" t="s">
        <v>500</v>
      </c>
      <c r="B109" s="20" t="str">
        <f>$B$108</f>
        <v>ESTRATEGIA 3</v>
      </c>
      <c r="C109" s="20" t="str">
        <f>$C$108</f>
        <v>OBJETIVO OPERATIVO 1</v>
      </c>
      <c r="D109" s="20" t="b">
        <f>'Producción Audiovisual'!B48</f>
        <v>0</v>
      </c>
      <c r="E109" s="20" t="str">
        <f>'Producción Audiovisual'!C48</f>
        <v>Baja</v>
      </c>
      <c r="F109" s="21" t="str">
        <f>'Producción Audiovisual'!D48</f>
        <v>2025-II( fin ciclo)
2025-I( fin ciclo)</v>
      </c>
      <c r="G109" s="20" t="str">
        <f>'Producción Audiovisual'!E48</f>
        <v>Divulgación de los resultados de los proyectos de vinculación, asistiendo a las ferias convocados por diferentes organizaciones.</v>
      </c>
      <c r="H109" s="20" t="str">
        <f>'Producción Audiovisual'!F48</f>
        <v>Director/a carrera -responsable de practicas y vinculación</v>
      </c>
      <c r="I109" s="20" t="str">
        <f>'Producción Audiovisual'!G48</f>
        <v>Realizar la divulgación de los resultados de los proyectos de vinculación</v>
      </c>
      <c r="J109" s="20" t="str">
        <f>'Producción Audiovisual'!H48</f>
        <v>Informe de la divulgación.</v>
      </c>
      <c r="K109" s="62">
        <f>'Producción Audiovisual'!I48</f>
        <v>1</v>
      </c>
      <c r="L109" s="160">
        <f>'Producción Audiovisual'!J48</f>
        <v>0</v>
      </c>
      <c r="M109" s="20">
        <f>'Producción Audiovisual'!K48</f>
        <v>0</v>
      </c>
      <c r="N109" s="20">
        <f>'Producción Audiovisual'!L48</f>
        <v>0</v>
      </c>
      <c r="O109" s="20">
        <f>'Producción Audiovisual'!M48</f>
        <v>0</v>
      </c>
      <c r="P109" s="20">
        <v>2025</v>
      </c>
    </row>
    <row r="110" spans="1:16" ht="14.25" customHeight="1">
      <c r="A110" s="20" t="s">
        <v>500</v>
      </c>
      <c r="B110" s="20" t="str">
        <f>$B$108</f>
        <v>ESTRATEGIA 3</v>
      </c>
      <c r="C110" s="20" t="str">
        <f>$C$108</f>
        <v>OBJETIVO OPERATIVO 1</v>
      </c>
      <c r="D110" s="20" t="b">
        <f>'Producción Audiovisual'!B49</f>
        <v>0</v>
      </c>
      <c r="E110" s="20" t="str">
        <f>'Producción Audiovisual'!C49</f>
        <v>Baja</v>
      </c>
      <c r="F110" s="21" t="str">
        <f>'Producción Audiovisual'!D49</f>
        <v>2025-I (inicio ciclo)
2025-II(inicio ciclo)</v>
      </c>
      <c r="G110" s="20" t="str">
        <f>'Producción Audiovisual'!E49</f>
        <v>Socializar con los estudiantes el reglamento de vinculación</v>
      </c>
      <c r="H110" s="20" t="str">
        <f>'Producción Audiovisual'!F49</f>
        <v>Director/a carrera -responsable de practicas y vinculación</v>
      </c>
      <c r="I110" s="20" t="str">
        <f>'Producción Audiovisual'!G49</f>
        <v>Realizar la socialización del reglamento de vinculación con los estudiantes</v>
      </c>
      <c r="J110" s="20" t="str">
        <f>'Producción Audiovisual'!H49</f>
        <v>Informe de socialización del reglamento.</v>
      </c>
      <c r="K110" s="62">
        <f>'Producción Audiovisual'!I49</f>
        <v>0.5</v>
      </c>
      <c r="L110" s="160">
        <f>'Producción Audiovisual'!J49</f>
        <v>0</v>
      </c>
      <c r="M110" s="20">
        <f>'Producción Audiovisual'!K49</f>
        <v>0</v>
      </c>
      <c r="N110" s="20">
        <f>'Producción Audiovisual'!L49</f>
        <v>0</v>
      </c>
      <c r="O110" s="20" t="str">
        <f>'Producción Audiovisual'!M49</f>
        <v>NO se encuentra el informe de socialización del reglamento del ciclo académico 2025-II</v>
      </c>
      <c r="P110" s="20">
        <v>2025</v>
      </c>
    </row>
    <row r="111" spans="1:16" ht="14.25" customHeight="1">
      <c r="A111" s="20" t="s">
        <v>500</v>
      </c>
      <c r="B111" s="20" t="str">
        <f>$B$108</f>
        <v>ESTRATEGIA 3</v>
      </c>
      <c r="C111" s="20" t="str">
        <f>'Producción Audiovisual'!E50</f>
        <v>OBJETIVO OPERATIVO 2</v>
      </c>
      <c r="D111" s="20" t="b">
        <f>'Producción Audiovisual'!B51</f>
        <v>1</v>
      </c>
      <c r="E111" s="20" t="str">
        <f>'Producción Audiovisual'!C51</f>
        <v>Alta</v>
      </c>
      <c r="F111" s="21" t="str">
        <f>'Producción Audiovisual'!D51</f>
        <v>2025-I (inicio ciclo)
2025-II(inicio ciclo)</v>
      </c>
      <c r="G111" s="20" t="str">
        <f>'Producción Audiovisual'!E51</f>
        <v>Conocer las líneas de investigación de la carrera</v>
      </c>
      <c r="H111" s="20" t="str">
        <f>'Producción Audiovisual'!F51</f>
        <v>Director de carrera</v>
      </c>
      <c r="I111" s="20" t="str">
        <f>'Producción Audiovisual'!G51</f>
        <v>Analizar y realizar las líneas de investigación de la carrera</v>
      </c>
      <c r="J111" s="20" t="str">
        <f>'Producción Audiovisual'!H51</f>
        <v>Informe de socialización de las líneas de investigación de la carrera</v>
      </c>
      <c r="K111" s="62">
        <f>'Producción Audiovisual'!I51</f>
        <v>1</v>
      </c>
      <c r="L111" s="160">
        <f>'Producción Audiovisual'!J51</f>
        <v>0</v>
      </c>
      <c r="M111" s="20">
        <f>'Producción Audiovisual'!K51</f>
        <v>0</v>
      </c>
      <c r="N111" s="20">
        <f>'Producción Audiovisual'!L51</f>
        <v>0</v>
      </c>
      <c r="O111" s="20">
        <f>'Producción Audiovisual'!M51</f>
        <v>0</v>
      </c>
      <c r="P111" s="20">
        <v>2025</v>
      </c>
    </row>
    <row r="112" spans="1:16" ht="14.25" customHeight="1">
      <c r="A112" s="20" t="s">
        <v>500</v>
      </c>
      <c r="B112" s="20" t="str">
        <f>$B$111</f>
        <v>ESTRATEGIA 3</v>
      </c>
      <c r="C112" s="20" t="str">
        <f>$C$111</f>
        <v>OBJETIVO OPERATIVO 2</v>
      </c>
      <c r="D112" s="20" t="b">
        <f>'Producción Audiovisual'!B52</f>
        <v>1</v>
      </c>
      <c r="E112" s="20" t="str">
        <f>'Producción Audiovisual'!C52</f>
        <v>Alta</v>
      </c>
      <c r="F112" s="21" t="str">
        <f>'Producción Audiovisual'!D52</f>
        <v>2025-I(Todo el ciclo)
2025-II(Todo de ciclo)</v>
      </c>
      <c r="G112" s="20" t="str">
        <f>'Producción Audiovisual'!E52</f>
        <v>Desarrollar investigación científica y tecnológica que contribuya con la construcción de soluciones para los problemas del país, en relación con los objetivos del régimen de desarrollo.</v>
      </c>
      <c r="H112" s="20" t="str">
        <f>'Producción Audiovisual'!F52</f>
        <v>Director de Carrera
Docentes de la carrera
Comisión de Investigación</v>
      </c>
      <c r="I112" s="20" t="str">
        <f>'Producción Audiovisual'!G52</f>
        <v>Incentivar y desarrollar la investigación de los docentes de la carrera en base a las líneas de la carrera</v>
      </c>
      <c r="J112" s="20" t="str">
        <f>'Producción Audiovisual'!H52</f>
        <v>Artículos publicados por los docentes de la carrera</v>
      </c>
      <c r="K112" s="62">
        <f>'Producción Audiovisual'!I52</f>
        <v>0</v>
      </c>
      <c r="L112" s="160">
        <f>'Producción Audiovisual'!J52</f>
        <v>0</v>
      </c>
      <c r="M112" s="20">
        <f>'Producción Audiovisual'!K52</f>
        <v>0</v>
      </c>
      <c r="N112" s="20">
        <f>'Producción Audiovisual'!L52</f>
        <v>0</v>
      </c>
      <c r="O112" s="20" t="str">
        <f>'Producción Audiovisual'!M52</f>
        <v>NO existen artículo publicados por docentes de la carrera.</v>
      </c>
      <c r="P112" s="20">
        <v>2025</v>
      </c>
    </row>
    <row r="113" spans="1:16" ht="14.25" customHeight="1">
      <c r="A113" s="20" t="s">
        <v>500</v>
      </c>
      <c r="B113" s="20" t="str">
        <f>$B$112</f>
        <v>ESTRATEGIA 3</v>
      </c>
      <c r="C113" s="20" t="str">
        <f>'Producción Audiovisual'!E53</f>
        <v>OBJETIVO OPERATIVO 3</v>
      </c>
      <c r="D113" s="20" t="b">
        <f>'Producción Audiovisual'!B54</f>
        <v>1</v>
      </c>
      <c r="E113" s="20" t="str">
        <f>'Producción Audiovisual'!C54</f>
        <v>Baja</v>
      </c>
      <c r="F113" s="21" t="str">
        <f>'Producción Audiovisual'!D54</f>
        <v>2025-I(Todo el ciclo)
2025-II(Todo de ciclo)</v>
      </c>
      <c r="G113" s="20" t="str">
        <f>'Producción Audiovisual'!E54</f>
        <v>Ejecutar la formación en valores y desarrollo de habilidades blandas.</v>
      </c>
      <c r="H113" s="20" t="str">
        <f>'Producción Audiovisual'!F54</f>
        <v>Director de carrera
Gestor académico
Bienestar institucional</v>
      </c>
      <c r="I113" s="20" t="str">
        <f>'Producción Audiovisual'!G54</f>
        <v>Realizar un curso de habilidades blandas que se desarrollara para todo el instituto</v>
      </c>
      <c r="J113" s="20" t="str">
        <f>'Producción Audiovisual'!H54</f>
        <v>Informe de formación en valores y desarrollo de habilidades blandas</v>
      </c>
      <c r="K113" s="62">
        <f>'Producción Audiovisual'!I54</f>
        <v>1</v>
      </c>
      <c r="L113" s="160">
        <f>'Producción Audiovisual'!J54</f>
        <v>0</v>
      </c>
      <c r="M113" s="20">
        <f>'Producción Audiovisual'!K54</f>
        <v>0</v>
      </c>
      <c r="N113" s="20">
        <f>'Producción Audiovisual'!L54</f>
        <v>0</v>
      </c>
      <c r="O113" s="20">
        <f>'Producción Audiovisual'!M54</f>
        <v>0</v>
      </c>
      <c r="P113" s="20">
        <v>2025</v>
      </c>
    </row>
    <row r="114" spans="1:16" ht="14.25" customHeight="1">
      <c r="A114" s="20" t="s">
        <v>500</v>
      </c>
      <c r="B114" s="20" t="str">
        <f>'Producción Audiovisual'!B55</f>
        <v>ESTRATEGIA 4</v>
      </c>
      <c r="C114" s="20" t="str">
        <f>'Producción Audiovisual'!E55</f>
        <v>OBJETIVO OPERATIVO 1</v>
      </c>
      <c r="D114" s="20" t="b">
        <f>'Producción Audiovisual'!B56</f>
        <v>0</v>
      </c>
      <c r="E114" s="20" t="str">
        <f>'Producción Audiovisual'!C56</f>
        <v>Baja</v>
      </c>
      <c r="F114" s="21" t="str">
        <f>'Producción Audiovisual'!D56</f>
        <v>2025-I (fin ciclo)
2025-II(fin ciclo)</v>
      </c>
      <c r="G114" s="20" t="str">
        <f>'Producción Audiovisual'!E56</f>
        <v>Elaboración de matrices de la oferta académica institucional.</v>
      </c>
      <c r="H114" s="20" t="str">
        <f>'Producción Audiovisual'!F56</f>
        <v>Director de Carrera
Gestor Académico</v>
      </c>
      <c r="I114" s="20" t="str">
        <f>'Producción Audiovisual'!G56</f>
        <v>Generación de matrices de oferta académica para la captación de más estudiantes</v>
      </c>
      <c r="J114" s="20" t="str">
        <f>'Producción Audiovisual'!H56</f>
        <v>Matrices de la oferta académica.</v>
      </c>
      <c r="K114" s="62">
        <f>'Producción Audiovisual'!I56</f>
        <v>1</v>
      </c>
      <c r="L114" s="160">
        <f>'Producción Audiovisual'!J56</f>
        <v>0</v>
      </c>
      <c r="M114" s="20">
        <f>'Producción Audiovisual'!K56</f>
        <v>0</v>
      </c>
      <c r="N114" s="20">
        <f>'Producción Audiovisual'!L56</f>
        <v>0</v>
      </c>
      <c r="O114" s="20">
        <f>'Producción Audiovisual'!M56</f>
        <v>0</v>
      </c>
      <c r="P114" s="20">
        <v>2025</v>
      </c>
    </row>
    <row r="115" spans="1:16" ht="14.25" customHeight="1">
      <c r="A115" s="20" t="s">
        <v>500</v>
      </c>
      <c r="B115" s="20" t="str">
        <f>$B$114</f>
        <v>ESTRATEGIA 4</v>
      </c>
      <c r="C115" s="20" t="str">
        <f>$C$114</f>
        <v>OBJETIVO OPERATIVO 1</v>
      </c>
      <c r="D115" s="20" t="b">
        <f>'Producción Audiovisual'!B57</f>
        <v>0</v>
      </c>
      <c r="E115" s="20" t="str">
        <f>'Producción Audiovisual'!C57</f>
        <v>Baja</v>
      </c>
      <c r="F115" s="21" t="str">
        <f>'Producción Audiovisual'!D57</f>
        <v xml:space="preserve">
2025-II(fin ciclo)</v>
      </c>
      <c r="G115" s="20" t="str">
        <f>'Producción Audiovisual'!E57</f>
        <v>Planificación de demanda estudiantil.</v>
      </c>
      <c r="H115" s="20" t="str">
        <f>'Producción Audiovisual'!F57</f>
        <v>Director de Carrera
Gestor Académico</v>
      </c>
      <c r="I115" s="20" t="str">
        <f>'Producción Audiovisual'!G57</f>
        <v>Planificar la demanda institucional en base a históricos de periodos anteriores</v>
      </c>
      <c r="J115" s="20" t="str">
        <f>'Producción Audiovisual'!H57</f>
        <v>Listado certificado  de matriculados de la carrera</v>
      </c>
      <c r="K115" s="62">
        <f>'Producción Audiovisual'!I57</f>
        <v>1</v>
      </c>
      <c r="L115" s="160">
        <f>'Producción Audiovisual'!J57</f>
        <v>0</v>
      </c>
      <c r="M115" s="20">
        <f>'Producción Audiovisual'!K57</f>
        <v>0</v>
      </c>
      <c r="N115" s="20">
        <f>'Producción Audiovisual'!L57</f>
        <v>0</v>
      </c>
      <c r="O115" s="20">
        <f>'Producción Audiovisual'!M57</f>
        <v>0</v>
      </c>
      <c r="P115" s="20">
        <v>2025</v>
      </c>
    </row>
    <row r="116" spans="1:16" ht="14.25" customHeight="1">
      <c r="A116" s="20" t="s">
        <v>500</v>
      </c>
      <c r="B116" s="20" t="str">
        <f>$B$114</f>
        <v>ESTRATEGIA 4</v>
      </c>
      <c r="C116" s="20" t="str">
        <f>$C$114</f>
        <v>OBJETIVO OPERATIVO 1</v>
      </c>
      <c r="D116" s="20" t="b">
        <f>'Producción Audiovisual'!B58</f>
        <v>0</v>
      </c>
      <c r="E116" s="20" t="str">
        <f>'Producción Audiovisual'!C58</f>
        <v>Media</v>
      </c>
      <c r="F116" s="21" t="str">
        <f>'Producción Audiovisual'!D58</f>
        <v>2025-II(fin ciclo)</v>
      </c>
      <c r="G116" s="20" t="str">
        <f>'Producción Audiovisual'!E58</f>
        <v>Análisis de capacidad operativa de la institución.</v>
      </c>
      <c r="H116" s="20" t="str">
        <f>'Producción Audiovisual'!F58</f>
        <v>Director de Carrera
Gestor Académico</v>
      </c>
      <c r="I116" s="20" t="str">
        <f>'Producción Audiovisual'!G58</f>
        <v>Análisis de requerimientos sustantivo y no sustantivo de la carrera</v>
      </c>
      <c r="J116" s="20" t="str">
        <f>'Producción Audiovisual'!H58</f>
        <v>Resolución de aprobación por OCS de Estandarización de Carrera</v>
      </c>
      <c r="K116" s="62">
        <f>'Producción Audiovisual'!I58</f>
        <v>1</v>
      </c>
      <c r="L116" s="160">
        <f>'Producción Audiovisual'!J58</f>
        <v>0</v>
      </c>
      <c r="M116" s="20">
        <f>'Producción Audiovisual'!K58</f>
        <v>0</v>
      </c>
      <c r="N116" s="20">
        <f>'Producción Audiovisual'!L58</f>
        <v>0</v>
      </c>
      <c r="O116" s="20">
        <f>'Producción Audiovisual'!M58</f>
        <v>0</v>
      </c>
      <c r="P116" s="20">
        <v>2025</v>
      </c>
    </row>
    <row r="117" spans="1:16" ht="14.25" customHeight="1">
      <c r="A117" s="20" t="s">
        <v>481</v>
      </c>
      <c r="B117" s="20" t="str">
        <f>'Plataformas tecnológicas'!B10</f>
        <v>ESTRATEGIA 1</v>
      </c>
      <c r="C117" s="20" t="str">
        <f>'Plataformas tecnológicas'!E10</f>
        <v>OBJETIVO OPERATIVO 1</v>
      </c>
      <c r="D117" s="20" t="b">
        <f>'Plataformas tecnológicas'!B11</f>
        <v>0</v>
      </c>
      <c r="E117" s="20" t="str">
        <f>'Plataformas tecnológicas'!C11</f>
        <v>Media</v>
      </c>
      <c r="F117" s="21" t="str">
        <f>'Plataformas tecnológicas'!D11</f>
        <v>2025-I ( Inicio ciclo)</v>
      </c>
      <c r="G117" s="20" t="str">
        <f>'Plataformas tecnológicas'!E11</f>
        <v>Planificar y estructurar las capacitaciones en el área técnica y didáctica.</v>
      </c>
      <c r="H117" s="20" t="str">
        <f>'Plataformas tecnológicas'!F11</f>
        <v>Director/a carrera
Docentes</v>
      </c>
      <c r="I117" s="20" t="str">
        <f>'Plataformas tecnológicas'!G11</f>
        <v>Desarrollo del plan de capacitación docente</v>
      </c>
      <c r="J117" s="20" t="str">
        <f>'Plataformas tecnológicas'!H11</f>
        <v>Plan de capacitación docente.</v>
      </c>
      <c r="K117" s="62">
        <f>'Plataformas tecnológicas'!I11</f>
        <v>1</v>
      </c>
      <c r="L117" s="160">
        <f>'Plataformas tecnológicas'!J11</f>
        <v>0</v>
      </c>
      <c r="M117" s="20">
        <f>'Plataformas tecnológicas'!K11</f>
        <v>0</v>
      </c>
      <c r="N117" s="20">
        <f>'Plataformas tecnológicas'!L11</f>
        <v>0</v>
      </c>
      <c r="O117" s="20">
        <f>'Plataformas tecnológicas'!M11</f>
        <v>0</v>
      </c>
      <c r="P117" s="20">
        <v>2025</v>
      </c>
    </row>
    <row r="118" spans="1:16" ht="14.25" customHeight="1">
      <c r="A118" s="20" t="s">
        <v>481</v>
      </c>
      <c r="B118" s="20" t="str">
        <f>$B$117</f>
        <v>ESTRATEGIA 1</v>
      </c>
      <c r="C118" s="20" t="str">
        <f>$C$117</f>
        <v>OBJETIVO OPERATIVO 1</v>
      </c>
      <c r="D118" s="20" t="b">
        <f>'Plataformas tecnológicas'!B12</f>
        <v>0</v>
      </c>
      <c r="E118" s="20" t="str">
        <f>'Plataformas tecnológicas'!C12</f>
        <v>Baja</v>
      </c>
      <c r="F118" s="21" t="str">
        <f>'Plataformas tecnológicas'!D12</f>
        <v>2025-II ( fin ciclo)</v>
      </c>
      <c r="G118" s="20" t="str">
        <f>'Plataformas tecnológicas'!E12</f>
        <v>Ejecutar las capacitaciones planificadas.</v>
      </c>
      <c r="H118" s="20" t="str">
        <f>'Plataformas tecnológicas'!F12</f>
        <v>Director/a carrera
Docentes</v>
      </c>
      <c r="I118" s="20" t="str">
        <f>'Plataformas tecnológicas'!G12</f>
        <v>informar sobre el plan de capacitación docente</v>
      </c>
      <c r="J118" s="20" t="str">
        <f>'Plataformas tecnológicas'!H12</f>
        <v>Informe de ejecución del plan de capacitación docente.</v>
      </c>
      <c r="K118" s="62">
        <f>'Plataformas tecnológicas'!I12</f>
        <v>1</v>
      </c>
      <c r="L118" s="160">
        <f>'Plataformas tecnológicas'!J12</f>
        <v>0</v>
      </c>
      <c r="M118" s="20">
        <f>'Plataformas tecnológicas'!K12</f>
        <v>0</v>
      </c>
      <c r="N118" s="20">
        <f>'Plataformas tecnológicas'!L12</f>
        <v>0</v>
      </c>
      <c r="O118" s="20">
        <f>'Plataformas tecnológicas'!M12</f>
        <v>0</v>
      </c>
      <c r="P118" s="20">
        <v>2025</v>
      </c>
    </row>
    <row r="119" spans="1:16" ht="14.25" customHeight="1">
      <c r="A119" s="20" t="s">
        <v>481</v>
      </c>
      <c r="B119" s="20" t="str">
        <f>$B$117</f>
        <v>ESTRATEGIA 1</v>
      </c>
      <c r="C119" s="20" t="str">
        <f>$C$117</f>
        <v>OBJETIVO OPERATIVO 1</v>
      </c>
      <c r="D119" s="20" t="b">
        <f>'Plataformas tecnológicas'!B13</f>
        <v>0</v>
      </c>
      <c r="E119" s="20" t="str">
        <f>'Plataformas tecnológicas'!C13</f>
        <v>Media</v>
      </c>
      <c r="F119" s="21" t="str">
        <f>'Plataformas tecnológicas'!D13</f>
        <v>2025-II( fin ciclo)
2025-I( fin ciclo)</v>
      </c>
      <c r="G119" s="20" t="str">
        <f>'Plataformas tecnológicas'!E13</f>
        <v>Entregar los resultados de los procesos de Evaluación al desempeño Docente y acciones realizadas.</v>
      </c>
      <c r="H119" s="20" t="str">
        <f>'Plataformas tecnológicas'!F13</f>
        <v>Director/a carrera
Docentes</v>
      </c>
      <c r="I119" s="20" t="str">
        <f>'Plataformas tecnológicas'!G13</f>
        <v>Generar una matriz para el registro de entrega de evaluaciones docentes</v>
      </c>
      <c r="J119" s="20" t="str">
        <f>'Plataformas tecnológicas'!H13</f>
        <v>Registro de entrega de evaluaciones a los docentes</v>
      </c>
      <c r="K119" s="62">
        <f>'Plataformas tecnológicas'!I13</f>
        <v>1</v>
      </c>
      <c r="L119" s="160">
        <f>'Plataformas tecnológicas'!J13</f>
        <v>0</v>
      </c>
      <c r="M119" s="20">
        <f>'Plataformas tecnológicas'!K13</f>
        <v>0</v>
      </c>
      <c r="N119" s="20">
        <f>'Plataformas tecnológicas'!L13</f>
        <v>0</v>
      </c>
      <c r="O119" s="20">
        <f>'Plataformas tecnológicas'!M13</f>
        <v>0</v>
      </c>
      <c r="P119" s="20">
        <v>2025</v>
      </c>
    </row>
    <row r="120" spans="1:16" ht="14.25" customHeight="1">
      <c r="A120" s="20" t="s">
        <v>481</v>
      </c>
      <c r="B120" s="20" t="str">
        <f t="shared" ref="B120:B127" si="11">$B$119</f>
        <v>ESTRATEGIA 1</v>
      </c>
      <c r="C120" s="20" t="str">
        <f>'Plataformas tecnológicas'!E14</f>
        <v>OBJETIVO OPERATIVO 2</v>
      </c>
      <c r="D120" s="20" t="b">
        <f>'Plataformas tecnológicas'!B15</f>
        <v>0</v>
      </c>
      <c r="E120" s="20" t="str">
        <f>'Plataformas tecnológicas'!C15</f>
        <v>Baja</v>
      </c>
      <c r="F120" s="21" t="str">
        <f>'Plataformas tecnológicas'!D15</f>
        <v>2025-I (inicio ciclo)
2025-II(inicio ciclo)</v>
      </c>
      <c r="G120" s="20" t="str">
        <f>'Plataformas tecnológicas'!E15</f>
        <v>Socializar con los docentes el uso adecuado de la plataforma Moodle.</v>
      </c>
      <c r="H120" s="20" t="str">
        <f>'Plataformas tecnológicas'!F15</f>
        <v>Responsable de Moodle de la carrera</v>
      </c>
      <c r="I120" s="20" t="str">
        <f>'Plataformas tecnológicas'!G15</f>
        <v>Realizar la socialización y generar un informe sobre el uso del Moodle</v>
      </c>
      <c r="J120" s="20" t="str">
        <f>'Plataformas tecnológicas'!H15</f>
        <v>Informe de socialización / inducción a los docentes</v>
      </c>
      <c r="K120" s="62">
        <f>'Plataformas tecnológicas'!I15</f>
        <v>1</v>
      </c>
      <c r="L120" s="160">
        <f>'Plataformas tecnológicas'!J15</f>
        <v>0</v>
      </c>
      <c r="M120" s="20">
        <f>'Plataformas tecnológicas'!K15</f>
        <v>0</v>
      </c>
      <c r="N120" s="20">
        <f>'Plataformas tecnológicas'!L15</f>
        <v>0</v>
      </c>
      <c r="O120" s="20">
        <f>'Plataformas tecnológicas'!M15</f>
        <v>0</v>
      </c>
      <c r="P120" s="20">
        <v>2025</v>
      </c>
    </row>
    <row r="121" spans="1:16" ht="14.25" customHeight="1">
      <c r="A121" s="20" t="s">
        <v>481</v>
      </c>
      <c r="B121" s="20" t="str">
        <f t="shared" si="11"/>
        <v>ESTRATEGIA 1</v>
      </c>
      <c r="C121" s="20" t="str">
        <f>$C$120</f>
        <v>OBJETIVO OPERATIVO 2</v>
      </c>
      <c r="D121" s="20" t="b">
        <f>'Plataformas tecnológicas'!B16</f>
        <v>0</v>
      </c>
      <c r="E121" s="20" t="str">
        <f>'Plataformas tecnológicas'!C16</f>
        <v>Media</v>
      </c>
      <c r="F121" s="21" t="str">
        <f>'Plataformas tecnológicas'!D16</f>
        <v>2025-II( fin ciclo)
2025-I( fin ciclo)</v>
      </c>
      <c r="G121" s="20" t="str">
        <f>'Plataformas tecnológicas'!E16</f>
        <v>Revisar el aporte de cada docente en la plataforma Moodle</v>
      </c>
      <c r="H121" s="20" t="str">
        <f>'Plataformas tecnológicas'!F16</f>
        <v>Responsable de Moodle de la carrera</v>
      </c>
      <c r="I121" s="20" t="str">
        <f>'Plataformas tecnológicas'!G16</f>
        <v>Controlar el uso adecuado de la plataforma y generar un informe.</v>
      </c>
      <c r="J121" s="20" t="str">
        <f>'Plataformas tecnológicas'!H16</f>
        <v>Informe de actividades en la plataforma Moodle.</v>
      </c>
      <c r="K121" s="62">
        <f>'Plataformas tecnológicas'!I16</f>
        <v>1</v>
      </c>
      <c r="L121" s="160">
        <f>'Plataformas tecnológicas'!J16</f>
        <v>0</v>
      </c>
      <c r="M121" s="20">
        <f>'Plataformas tecnológicas'!K16</f>
        <v>0</v>
      </c>
      <c r="N121" s="20">
        <f>'Plataformas tecnológicas'!L16</f>
        <v>0</v>
      </c>
      <c r="O121" s="20">
        <f>'Plataformas tecnológicas'!M16</f>
        <v>0</v>
      </c>
      <c r="P121" s="20">
        <v>2025</v>
      </c>
    </row>
    <row r="122" spans="1:16" ht="14.25" customHeight="1">
      <c r="A122" s="20" t="s">
        <v>481</v>
      </c>
      <c r="B122" s="20" t="str">
        <f t="shared" si="11"/>
        <v>ESTRATEGIA 1</v>
      </c>
      <c r="C122" s="20" t="str">
        <f>'Plataformas tecnológicas'!E17</f>
        <v>OBJETIVO OPERATIVO 3</v>
      </c>
      <c r="D122" s="20" t="b">
        <f>'Plataformas tecnológicas'!B18</f>
        <v>0</v>
      </c>
      <c r="E122" s="20" t="str">
        <f>'Plataformas tecnológicas'!C18</f>
        <v>Alta</v>
      </c>
      <c r="F122" s="21" t="str">
        <f>'Plataformas tecnológicas'!D18</f>
        <v>2025-I(inicio ciclo)
2025-II (inicio ciclo)</v>
      </c>
      <c r="G122" s="20" t="str">
        <f>'Plataformas tecnológicas'!E18</f>
        <v>Planificar y desarrollar una reunión del colectivo académico</v>
      </c>
      <c r="H122" s="20" t="str">
        <f>'Plataformas tecnológicas'!F18</f>
        <v>Director/a carrera</v>
      </c>
      <c r="I122" s="20" t="str">
        <f>'Plataformas tecnológicas'!G18</f>
        <v>Realizar y evidenciar los colectivos académicos</v>
      </c>
      <c r="J122" s="20" t="str">
        <f>'Plataformas tecnológicas'!H18</f>
        <v>Convocatoria al colectivo de académico</v>
      </c>
      <c r="K122" s="62">
        <f>'Plataformas tecnológicas'!I18</f>
        <v>1</v>
      </c>
      <c r="L122" s="160">
        <f>'Plataformas tecnológicas'!J18</f>
        <v>0</v>
      </c>
      <c r="M122" s="20">
        <f>'Plataformas tecnológicas'!K18</f>
        <v>0</v>
      </c>
      <c r="N122" s="20">
        <f>'Plataformas tecnológicas'!L18</f>
        <v>0</v>
      </c>
      <c r="O122" s="20">
        <f>'Plataformas tecnológicas'!M18</f>
        <v>0</v>
      </c>
      <c r="P122" s="20">
        <v>2025</v>
      </c>
    </row>
    <row r="123" spans="1:16" ht="14.25" customHeight="1">
      <c r="A123" s="20" t="s">
        <v>481</v>
      </c>
      <c r="B123" s="20" t="str">
        <f t="shared" si="11"/>
        <v>ESTRATEGIA 1</v>
      </c>
      <c r="C123" s="20" t="str">
        <f>$C$122</f>
        <v>OBJETIVO OPERATIVO 3</v>
      </c>
      <c r="D123" s="20" t="b">
        <f>'Plataformas tecnológicas'!B19</f>
        <v>0</v>
      </c>
      <c r="E123" s="20" t="str">
        <f>'Plataformas tecnológicas'!C19</f>
        <v>Media</v>
      </c>
      <c r="F123" s="21" t="str">
        <f>'Plataformas tecnológicas'!D19</f>
        <v>2025-II(fin de ciclo)
2025-I(fin de ciclo)</v>
      </c>
      <c r="G123" s="20" t="str">
        <f>'Plataformas tecnológicas'!E19</f>
        <v>Revisión y actualización de los PEAS</v>
      </c>
      <c r="H123" s="20" t="str">
        <f>'Plataformas tecnológicas'!F19</f>
        <v>Director/a carrera
Docentes</v>
      </c>
      <c r="I123" s="20" t="str">
        <f>'Plataformas tecnológicas'!G19</f>
        <v>Revisar si la bibliografía de la carrera es la adecuada en colectivos  según PEAS y Colectivos para el acervo bibliográfico</v>
      </c>
      <c r="J123" s="20" t="str">
        <f>'Plataformas tecnológicas'!H19</f>
        <v>Acervo bibliográfico de todas las asignaturas de la carrera, Informes de colectivos y PEAS revisados</v>
      </c>
      <c r="K123" s="62">
        <f>'Plataformas tecnológicas'!I19</f>
        <v>1</v>
      </c>
      <c r="L123" s="160">
        <f>'Plataformas tecnológicas'!J19</f>
        <v>0</v>
      </c>
      <c r="M123" s="20">
        <f>'Plataformas tecnológicas'!K19</f>
        <v>0</v>
      </c>
      <c r="N123" s="20">
        <f>'Plataformas tecnológicas'!L19</f>
        <v>0</v>
      </c>
      <c r="O123" s="20">
        <f>'Plataformas tecnológicas'!M19</f>
        <v>0</v>
      </c>
      <c r="P123" s="20">
        <v>2025</v>
      </c>
    </row>
    <row r="124" spans="1:16" ht="14.25" customHeight="1">
      <c r="A124" s="20" t="s">
        <v>481</v>
      </c>
      <c r="B124" s="20" t="str">
        <f t="shared" si="11"/>
        <v>ESTRATEGIA 1</v>
      </c>
      <c r="C124" s="20" t="str">
        <f>$C$122</f>
        <v>OBJETIVO OPERATIVO 3</v>
      </c>
      <c r="D124" s="20" t="b">
        <f>'Plataformas tecnológicas'!B20</f>
        <v>0</v>
      </c>
      <c r="E124" s="20" t="str">
        <f>'Plataformas tecnológicas'!C20</f>
        <v>Media</v>
      </c>
      <c r="F124" s="21" t="str">
        <f>'Plataformas tecnológicas'!D20</f>
        <v>2025-II(fin de ciclo)
2025-I(fin de ciclo)</v>
      </c>
      <c r="G124" s="20" t="str">
        <f>'Plataformas tecnológicas'!E20</f>
        <v>Actas de reunión por colectivo académico</v>
      </c>
      <c r="H124" s="20" t="str">
        <f>'Plataformas tecnológicas'!F20</f>
        <v>Director/a carrera
Docentes</v>
      </c>
      <c r="I124" s="20" t="str">
        <f>'Plataformas tecnológicas'!G20</f>
        <v>Evidenciar el trabajo de colectivos</v>
      </c>
      <c r="J124" s="20" t="str">
        <f>'Plataformas tecnológicas'!H20</f>
        <v>Actas de colectivos</v>
      </c>
      <c r="K124" s="62">
        <f>'Plataformas tecnológicas'!I20</f>
        <v>1</v>
      </c>
      <c r="L124" s="160">
        <f>'Plataformas tecnológicas'!J20</f>
        <v>0</v>
      </c>
      <c r="M124" s="20">
        <f>'Plataformas tecnológicas'!K20</f>
        <v>0</v>
      </c>
      <c r="N124" s="20">
        <f>'Plataformas tecnológicas'!L20</f>
        <v>0</v>
      </c>
      <c r="O124" s="20">
        <f>'Plataformas tecnológicas'!M20</f>
        <v>0</v>
      </c>
      <c r="P124" s="20">
        <v>2025</v>
      </c>
    </row>
    <row r="125" spans="1:16" ht="14.25" customHeight="1">
      <c r="A125" s="20" t="s">
        <v>481</v>
      </c>
      <c r="B125" s="20" t="str">
        <f t="shared" si="11"/>
        <v>ESTRATEGIA 1</v>
      </c>
      <c r="C125" s="20" t="str">
        <f>'Plataformas tecnológicas'!E21</f>
        <v>OBJETIVO OPERATIVO 4</v>
      </c>
      <c r="D125" s="20" t="b">
        <f>'Plataformas tecnológicas'!B22</f>
        <v>0</v>
      </c>
      <c r="E125" s="20" t="str">
        <f>'Plataformas tecnológicas'!C22</f>
        <v>Baja</v>
      </c>
      <c r="F125" s="21" t="str">
        <f>'Plataformas tecnológicas'!D22</f>
        <v>2025-I(inicio ciclo)
2025-II (inicio ciclo)</v>
      </c>
      <c r="G125" s="20" t="str">
        <f>'Plataformas tecnológicas'!E22</f>
        <v>Recopilar las fichas de afinidad de los docentes de acuerdo al nivel de estudio.</v>
      </c>
      <c r="H125" s="20" t="str">
        <f>'Plataformas tecnológicas'!F22</f>
        <v>Director/a carrera</v>
      </c>
      <c r="I125" s="20" t="str">
        <f>'Plataformas tecnológicas'!G22</f>
        <v>Mantener actualizadas las fichas de afinidad de los docentes de acuerdo a la pertinencia en la carrera</v>
      </c>
      <c r="J125" s="20" t="str">
        <f>'Plataformas tecnológicas'!H22</f>
        <v>Fichas de afinidad de los docentes.</v>
      </c>
      <c r="K125" s="62">
        <f>'Plataformas tecnológicas'!I22</f>
        <v>1</v>
      </c>
      <c r="L125" s="160">
        <f>'Plataformas tecnológicas'!J22</f>
        <v>0</v>
      </c>
      <c r="M125" s="20">
        <f>'Plataformas tecnológicas'!K22</f>
        <v>0</v>
      </c>
      <c r="N125" s="20">
        <f>'Plataformas tecnológicas'!L22</f>
        <v>0</v>
      </c>
      <c r="O125" s="20">
        <f>'Plataformas tecnológicas'!M22</f>
        <v>0</v>
      </c>
      <c r="P125" s="20">
        <v>2025</v>
      </c>
    </row>
    <row r="126" spans="1:16" ht="14.25" customHeight="1">
      <c r="A126" s="20" t="s">
        <v>481</v>
      </c>
      <c r="B126" s="20" t="str">
        <f t="shared" si="11"/>
        <v>ESTRATEGIA 1</v>
      </c>
      <c r="C126" s="20" t="str">
        <f>$C$125</f>
        <v>OBJETIVO OPERATIVO 4</v>
      </c>
      <c r="D126" s="20">
        <f>'Plataformas tecnológicas'!B23</f>
        <v>0</v>
      </c>
      <c r="E126" s="20" t="str">
        <f>'Plataformas tecnológicas'!C23</f>
        <v>Alta</v>
      </c>
      <c r="F126" s="21" t="str">
        <f>'Plataformas tecnológicas'!D23</f>
        <v>2025-I(inicio de ciclo)
2025-II(inicio de ciclo)</v>
      </c>
      <c r="G126" s="20" t="str">
        <f>'Plataformas tecnológicas'!E23</f>
        <v>Elaboración del distributivo docente de la carrera</v>
      </c>
      <c r="H126" s="20" t="str">
        <f>'Plataformas tecnológicas'!F23</f>
        <v>Director/a carrera</v>
      </c>
      <c r="I126" s="20" t="str">
        <f>'Plataformas tecnológicas'!G23</f>
        <v>Evidenciar la carga horaria y distributivos de los docentes</v>
      </c>
      <c r="J126" s="20" t="str">
        <f>'Plataformas tecnológicas'!H23</f>
        <v>Distributivo docente aprobado.</v>
      </c>
      <c r="K126" s="62">
        <f>'Plataformas tecnológicas'!I23</f>
        <v>1</v>
      </c>
      <c r="L126" s="160">
        <f>'Plataformas tecnológicas'!J23</f>
        <v>0</v>
      </c>
      <c r="M126" s="20">
        <f>'Plataformas tecnológicas'!K23</f>
        <v>0</v>
      </c>
      <c r="N126" s="20">
        <f>'Plataformas tecnológicas'!L23</f>
        <v>0</v>
      </c>
      <c r="O126" s="20">
        <f>'Plataformas tecnológicas'!M23</f>
        <v>0</v>
      </c>
      <c r="P126" s="20">
        <v>2025</v>
      </c>
    </row>
    <row r="127" spans="1:16" ht="14.25" customHeight="1">
      <c r="A127" s="20" t="s">
        <v>481</v>
      </c>
      <c r="B127" s="20" t="str">
        <f t="shared" si="11"/>
        <v>ESTRATEGIA 1</v>
      </c>
      <c r="C127" s="20" t="str">
        <f>$C$125</f>
        <v>OBJETIVO OPERATIVO 4</v>
      </c>
      <c r="D127" s="20" t="b">
        <f>'Plataformas tecnológicas'!B24</f>
        <v>0</v>
      </c>
      <c r="E127" s="20" t="str">
        <f>'Plataformas tecnológicas'!C24</f>
        <v>Media</v>
      </c>
      <c r="F127" s="21" t="str">
        <f>'Plataformas tecnológicas'!D24</f>
        <v>2025-I(inicio de ciclo)
2025-II(inicio de ciclo)</v>
      </c>
      <c r="G127" s="20" t="str">
        <f>'Plataformas tecnológicas'!E24</f>
        <v>Designar responsables de la administración de la plataforma, tutorías , prácticas, vinculación , etc.</v>
      </c>
      <c r="H127" s="20" t="str">
        <f>'Plataformas tecnológicas'!F24</f>
        <v>Director/a carrera</v>
      </c>
      <c r="I127" s="20" t="str">
        <f>'Plataformas tecnológicas'!G24</f>
        <v>Realizar las designaciones y evidenciar los responsables y tutores de la carrera</v>
      </c>
      <c r="J127" s="20" t="str">
        <f>'Plataformas tecnológicas'!H24</f>
        <v>Oficios de designaciones de responsables.</v>
      </c>
      <c r="K127" s="62">
        <f>'Plataformas tecnológicas'!I24</f>
        <v>1</v>
      </c>
      <c r="L127" s="160">
        <f>'Plataformas tecnológicas'!J24</f>
        <v>0</v>
      </c>
      <c r="M127" s="20">
        <f>'Plataformas tecnológicas'!K24</f>
        <v>0</v>
      </c>
      <c r="N127" s="20">
        <f>'Plataformas tecnológicas'!L24</f>
        <v>0</v>
      </c>
      <c r="O127" s="20">
        <f>'Plataformas tecnológicas'!M24</f>
        <v>0</v>
      </c>
      <c r="P127" s="20">
        <v>2025</v>
      </c>
    </row>
    <row r="128" spans="1:16" ht="14.25" customHeight="1">
      <c r="A128" s="20" t="s">
        <v>481</v>
      </c>
      <c r="B128" s="20" t="str">
        <f>'Plataformas tecnológicas'!B25</f>
        <v>ESTRATEGIA 2</v>
      </c>
      <c r="C128" s="20" t="str">
        <f>'Plataformas tecnológicas'!E25</f>
        <v>OBJETIVO OPERATIVO 1</v>
      </c>
      <c r="D128" s="20" t="b">
        <f>'Plataformas tecnológicas'!B26</f>
        <v>0</v>
      </c>
      <c r="E128" s="20" t="str">
        <f>'Plataformas tecnológicas'!C26</f>
        <v>Alta</v>
      </c>
      <c r="F128" s="21" t="str">
        <f>'Plataformas tecnológicas'!D26</f>
        <v>2025-I(Inicio de ciclo)
2025-II(Inicio de ciclo)</v>
      </c>
      <c r="G128" s="20" t="str">
        <f>'Plataformas tecnológicas'!E26</f>
        <v>Elaborar y presentar el calendario de actividades de la o las carreras, horarios de clases y laboratorios.</v>
      </c>
      <c r="H128" s="20" t="str">
        <f>'Plataformas tecnológicas'!F26</f>
        <v>Director/a carrera</v>
      </c>
      <c r="I128" s="20" t="str">
        <f>'Plataformas tecnológicas'!G26</f>
        <v>Realizar los documentos necesarios para el desarrollo de las actividades de cada periodo de la carrera</v>
      </c>
      <c r="J128" s="20" t="str">
        <f>'Plataformas tecnológicas'!H26</f>
        <v>Calendario y horarios aprobados</v>
      </c>
      <c r="K128" s="62">
        <f>'Plataformas tecnológicas'!I26</f>
        <v>1</v>
      </c>
      <c r="L128" s="160">
        <f>'Plataformas tecnológicas'!J26</f>
        <v>0</v>
      </c>
      <c r="M128" s="20">
        <f>'Plataformas tecnológicas'!K26</f>
        <v>0</v>
      </c>
      <c r="N128" s="20">
        <f>'Plataformas tecnológicas'!L26</f>
        <v>0</v>
      </c>
      <c r="O128" s="20">
        <f>'Plataformas tecnológicas'!M26</f>
        <v>0</v>
      </c>
      <c r="P128" s="20">
        <v>2025</v>
      </c>
    </row>
    <row r="129" spans="1:16" ht="14.25" customHeight="1">
      <c r="A129" s="20" t="s">
        <v>481</v>
      </c>
      <c r="B129" s="20" t="str">
        <f t="shared" ref="B129:B145" si="12">$B$128</f>
        <v>ESTRATEGIA 2</v>
      </c>
      <c r="C129" s="20" t="str">
        <f t="shared" ref="C129:C139" si="13">$C$128</f>
        <v>OBJETIVO OPERATIVO 1</v>
      </c>
      <c r="D129" s="20" t="b">
        <f>'Plataformas tecnológicas'!B27</f>
        <v>0</v>
      </c>
      <c r="E129" s="20" t="str">
        <f>'Plataformas tecnológicas'!C27</f>
        <v>Media</v>
      </c>
      <c r="F129" s="21" t="str">
        <f>'Plataformas tecnológicas'!D27</f>
        <v>2025-I(Todo el ciclo)
2025-II(Todo de ciclo)</v>
      </c>
      <c r="G129" s="20" t="str">
        <f>'Plataformas tecnológicas'!E27</f>
        <v>Requerimiento y aprobación de Documentos académicos. (Sílabos, guías practicas e informes de avance de Silabo)</v>
      </c>
      <c r="H129" s="20" t="str">
        <f>'Plataformas tecnológicas'!F27</f>
        <v>Director/a carrera - gestor académico</v>
      </c>
      <c r="I129" s="20" t="str">
        <f>'Plataformas tecnológicas'!G27</f>
        <v>Solicitud de documentos académicos por materias</v>
      </c>
      <c r="J129" s="20" t="str">
        <f>'Plataformas tecnológicas'!H27</f>
        <v>Documentación aprobada.</v>
      </c>
      <c r="K129" s="62">
        <f>'Plataformas tecnológicas'!I27</f>
        <v>1</v>
      </c>
      <c r="L129" s="160">
        <f>'Plataformas tecnológicas'!J27</f>
        <v>0</v>
      </c>
      <c r="M129" s="20">
        <f>'Plataformas tecnológicas'!K27</f>
        <v>0</v>
      </c>
      <c r="N129" s="20">
        <f>'Plataformas tecnológicas'!L27</f>
        <v>0</v>
      </c>
      <c r="O129" s="20">
        <f>'Plataformas tecnológicas'!M27</f>
        <v>0</v>
      </c>
      <c r="P129" s="20">
        <v>2025</v>
      </c>
    </row>
    <row r="130" spans="1:16" ht="14.25" customHeight="1">
      <c r="A130" s="20" t="s">
        <v>481</v>
      </c>
      <c r="B130" s="20" t="str">
        <f t="shared" si="12"/>
        <v>ESTRATEGIA 2</v>
      </c>
      <c r="C130" s="20" t="str">
        <f t="shared" si="13"/>
        <v>OBJETIVO OPERATIVO 1</v>
      </c>
      <c r="D130" s="20" t="b">
        <f>'Plataformas tecnológicas'!B28</f>
        <v>0</v>
      </c>
      <c r="E130" s="20" t="str">
        <f>'Plataformas tecnológicas'!C28</f>
        <v>Media</v>
      </c>
      <c r="F130" s="21" t="str">
        <f>'Plataformas tecnológicas'!D28</f>
        <v>2025-I(Todo el ciclo)
2025-II(Todo de ciclo)</v>
      </c>
      <c r="G130" s="20" t="str">
        <f>'Plataformas tecnológicas'!E28</f>
        <v>Seguimiento al cumplimiento de la documentación académica.</v>
      </c>
      <c r="H130" s="20" t="str">
        <f>'Plataformas tecnológicas'!F28</f>
        <v>Director/a carrera - gestor académico</v>
      </c>
      <c r="I130" s="20" t="str">
        <f>'Plataformas tecnológicas'!G28</f>
        <v>Revisión de documentos académicos por materias</v>
      </c>
      <c r="J130" s="20" t="str">
        <f>'Plataformas tecnológicas'!H28</f>
        <v>Informe de carrera sobre la documentación recibida.</v>
      </c>
      <c r="K130" s="62">
        <f>'Plataformas tecnológicas'!I28</f>
        <v>1</v>
      </c>
      <c r="L130" s="160">
        <f>'Plataformas tecnológicas'!J28</f>
        <v>0</v>
      </c>
      <c r="M130" s="20">
        <f>'Plataformas tecnológicas'!K28</f>
        <v>0</v>
      </c>
      <c r="N130" s="20">
        <f>'Plataformas tecnológicas'!L28</f>
        <v>0</v>
      </c>
      <c r="O130" s="20">
        <f>'Plataformas tecnológicas'!M28</f>
        <v>0</v>
      </c>
      <c r="P130" s="20">
        <v>2025</v>
      </c>
    </row>
    <row r="131" spans="1:16" ht="14.25" customHeight="1">
      <c r="A131" s="20" t="s">
        <v>481</v>
      </c>
      <c r="B131" s="20" t="str">
        <f t="shared" si="12"/>
        <v>ESTRATEGIA 2</v>
      </c>
      <c r="C131" s="20" t="str">
        <f t="shared" si="13"/>
        <v>OBJETIVO OPERATIVO 1</v>
      </c>
      <c r="D131" s="20" t="b">
        <f>'Plataformas tecnológicas'!B29</f>
        <v>0</v>
      </c>
      <c r="E131" s="20" t="str">
        <f>'Plataformas tecnológicas'!C29</f>
        <v>Baja</v>
      </c>
      <c r="F131" s="21" t="str">
        <f>'Plataformas tecnológicas'!D29</f>
        <v>2025-I(Todo el ciclo)
2025-II(Todo de ciclo)</v>
      </c>
      <c r="G131" s="20" t="str">
        <f>'Plataformas tecnológicas'!E29</f>
        <v>Reuniones de carrera  para socialización y toma de decisiones</v>
      </c>
      <c r="H131" s="20" t="str">
        <f>'Plataformas tecnológicas'!F29</f>
        <v>Director/a carrera - gestor académico</v>
      </c>
      <c r="I131" s="20" t="str">
        <f>'Plataformas tecnológicas'!G29</f>
        <v>Reuniones de carrera de acuerdo a requerimientos</v>
      </c>
      <c r="J131" s="20" t="str">
        <f>'Plataformas tecnológicas'!H29</f>
        <v>Convocatorias, actas e informes de reuniones de carrera.</v>
      </c>
      <c r="K131" s="62">
        <f>'Plataformas tecnológicas'!I29</f>
        <v>1</v>
      </c>
      <c r="L131" s="160">
        <f>'Plataformas tecnológicas'!J29</f>
        <v>0</v>
      </c>
      <c r="M131" s="20">
        <f>'Plataformas tecnológicas'!K29</f>
        <v>0</v>
      </c>
      <c r="N131" s="20">
        <f>'Plataformas tecnológicas'!L29</f>
        <v>0</v>
      </c>
      <c r="O131" s="20">
        <f>'Plataformas tecnológicas'!M29</f>
        <v>0</v>
      </c>
      <c r="P131" s="20">
        <v>2025</v>
      </c>
    </row>
    <row r="132" spans="1:16" ht="14.25" customHeight="1">
      <c r="A132" s="20" t="s">
        <v>481</v>
      </c>
      <c r="B132" s="20" t="str">
        <f t="shared" si="12"/>
        <v>ESTRATEGIA 2</v>
      </c>
      <c r="C132" s="20" t="str">
        <f t="shared" si="13"/>
        <v>OBJETIVO OPERATIVO 1</v>
      </c>
      <c r="D132" s="20" t="b">
        <f>'Plataformas tecnológicas'!B30</f>
        <v>0</v>
      </c>
      <c r="E132" s="20" t="str">
        <f>'Plataformas tecnológicas'!C30</f>
        <v>Baja</v>
      </c>
      <c r="F132" s="21">
        <f>'Plataformas tecnológicas'!D30</f>
        <v>45838</v>
      </c>
      <c r="G132" s="20" t="str">
        <f>'Plataformas tecnológicas'!E30</f>
        <v>Informe semestral POA 2025</v>
      </c>
      <c r="H132" s="20" t="str">
        <f>'Plataformas tecnológicas'!F30</f>
        <v>Director/a carrera - gestor académico</v>
      </c>
      <c r="I132" s="20" t="str">
        <f>'Plataformas tecnológicas'!G30</f>
        <v>Informar sobre el avance del  POA</v>
      </c>
      <c r="J132" s="20" t="str">
        <f>'Plataformas tecnológicas'!H30</f>
        <v>Informe semestral seguimiento POA 2025</v>
      </c>
      <c r="K132" s="62">
        <f>'Plataformas tecnológicas'!I30</f>
        <v>1</v>
      </c>
      <c r="L132" s="160">
        <f>'Plataformas tecnológicas'!J30</f>
        <v>0</v>
      </c>
      <c r="M132" s="20">
        <f>'Plataformas tecnológicas'!K30</f>
        <v>0</v>
      </c>
      <c r="N132" s="20">
        <f>'Plataformas tecnológicas'!L30</f>
        <v>0</v>
      </c>
      <c r="O132" s="20">
        <f>'Plataformas tecnológicas'!M30</f>
        <v>0</v>
      </c>
      <c r="P132" s="20">
        <v>2025</v>
      </c>
    </row>
    <row r="133" spans="1:16" ht="14.25" customHeight="1">
      <c r="A133" s="20" t="s">
        <v>481</v>
      </c>
      <c r="B133" s="20" t="str">
        <f t="shared" si="12"/>
        <v>ESTRATEGIA 2</v>
      </c>
      <c r="C133" s="20" t="str">
        <f t="shared" si="13"/>
        <v>OBJETIVO OPERATIVO 1</v>
      </c>
      <c r="D133" s="20" t="b">
        <f>'Plataformas tecnológicas'!B31</f>
        <v>0</v>
      </c>
      <c r="E133" s="20" t="str">
        <f>'Plataformas tecnológicas'!C31</f>
        <v>Baja</v>
      </c>
      <c r="F133" s="21">
        <f>'Plataformas tecnológicas'!D31</f>
        <v>45991</v>
      </c>
      <c r="G133" s="20" t="str">
        <f>'Plataformas tecnológicas'!E31</f>
        <v>Informe final POA 2025</v>
      </c>
      <c r="H133" s="20" t="str">
        <f>'Plataformas tecnológicas'!F31</f>
        <v>Director/a carrera - gestor académico</v>
      </c>
      <c r="I133" s="20" t="str">
        <f>'Plataformas tecnológicas'!G31</f>
        <v>Informar sobre el alcance final del  POA</v>
      </c>
      <c r="J133" s="20" t="str">
        <f>'Plataformas tecnológicas'!H31</f>
        <v>Informe final POA 2025</v>
      </c>
      <c r="K133" s="62">
        <f>'Plataformas tecnológicas'!I31</f>
        <v>1</v>
      </c>
      <c r="L133" s="160">
        <f>'Plataformas tecnológicas'!J31</f>
        <v>0</v>
      </c>
      <c r="M133" s="20">
        <f>'Plataformas tecnológicas'!K31</f>
        <v>0</v>
      </c>
      <c r="N133" s="20">
        <f>'Plataformas tecnológicas'!L31</f>
        <v>0</v>
      </c>
      <c r="O133" s="20">
        <f>'Plataformas tecnológicas'!M31</f>
        <v>0</v>
      </c>
      <c r="P133" s="20">
        <v>2025</v>
      </c>
    </row>
    <row r="134" spans="1:16" ht="14.25" customHeight="1">
      <c r="A134" s="20" t="s">
        <v>481</v>
      </c>
      <c r="B134" s="20" t="str">
        <f t="shared" si="12"/>
        <v>ESTRATEGIA 2</v>
      </c>
      <c r="C134" s="20" t="str">
        <f t="shared" si="13"/>
        <v>OBJETIVO OPERATIVO 1</v>
      </c>
      <c r="D134" s="20" t="b">
        <f>'Plataformas tecnológicas'!B32</f>
        <v>0</v>
      </c>
      <c r="E134" s="20" t="str">
        <f>'Plataformas tecnológicas'!C32</f>
        <v>Baja</v>
      </c>
      <c r="F134" s="21">
        <f>'Plataformas tecnológicas'!D32</f>
        <v>46011</v>
      </c>
      <c r="G134" s="20" t="str">
        <f>'Plataformas tecnológicas'!E32</f>
        <v>Elaborar la Planificación Operativa Anual 2025</v>
      </c>
      <c r="H134" s="20" t="str">
        <f>'Plataformas tecnológicas'!F32</f>
        <v>Director/a carrera - gestor académico</v>
      </c>
      <c r="I134" s="20" t="str">
        <f>'Plataformas tecnológicas'!G32</f>
        <v>Realizar la planificación para el 2026</v>
      </c>
      <c r="J134" s="20" t="str">
        <f>'Plataformas tecnológicas'!H32</f>
        <v>POA 2026</v>
      </c>
      <c r="K134" s="62">
        <f>'Plataformas tecnológicas'!I32</f>
        <v>1</v>
      </c>
      <c r="L134" s="160">
        <f>'Plataformas tecnológicas'!J32</f>
        <v>0</v>
      </c>
      <c r="M134" s="20">
        <f>'Plataformas tecnológicas'!K32</f>
        <v>0</v>
      </c>
      <c r="N134" s="20">
        <f>'Plataformas tecnológicas'!L32</f>
        <v>0</v>
      </c>
      <c r="O134" s="20">
        <f>'Plataformas tecnológicas'!M32</f>
        <v>0</v>
      </c>
      <c r="P134" s="20">
        <v>2025</v>
      </c>
    </row>
    <row r="135" spans="1:16" ht="14.25" customHeight="1">
      <c r="A135" s="20" t="s">
        <v>481</v>
      </c>
      <c r="B135" s="20" t="str">
        <f t="shared" si="12"/>
        <v>ESTRATEGIA 2</v>
      </c>
      <c r="C135" s="20" t="str">
        <f t="shared" si="13"/>
        <v>OBJETIVO OPERATIVO 1</v>
      </c>
      <c r="D135" s="20" t="b">
        <f>'Plataformas tecnológicas'!B33</f>
        <v>0</v>
      </c>
      <c r="E135" s="20" t="str">
        <f>'Plataformas tecnológicas'!C33</f>
        <v>Media</v>
      </c>
      <c r="F135" s="21" t="str">
        <f>'Plataformas tecnológicas'!D33</f>
        <v>2025-I (inicio de ciclo)
2025-II (inicio de ciclo)</v>
      </c>
      <c r="G135" s="20" t="str">
        <f>'Plataformas tecnológicas'!E33</f>
        <v>Designación de tutores de curso</v>
      </c>
      <c r="H135" s="20" t="str">
        <f>'Plataformas tecnológicas'!F33</f>
        <v>Director/a carrera</v>
      </c>
      <c r="I135" s="20" t="str">
        <f>'Plataformas tecnológicas'!G33</f>
        <v>Realizar las designaciones y evidenciar los responsables y tutores de la carrera</v>
      </c>
      <c r="J135" s="20" t="str">
        <f>'Plataformas tecnológicas'!H33</f>
        <v>Documento de designación de tutores por parte del director de carrera</v>
      </c>
      <c r="K135" s="62">
        <f>'Plataformas tecnológicas'!I33</f>
        <v>1</v>
      </c>
      <c r="L135" s="160">
        <f>'Plataformas tecnológicas'!J33</f>
        <v>0</v>
      </c>
      <c r="M135" s="20">
        <f>'Plataformas tecnológicas'!K33</f>
        <v>0</v>
      </c>
      <c r="N135" s="20">
        <f>'Plataformas tecnológicas'!L33</f>
        <v>0</v>
      </c>
      <c r="O135" s="20">
        <f>'Plataformas tecnológicas'!M33</f>
        <v>0</v>
      </c>
      <c r="P135" s="20">
        <v>2025</v>
      </c>
    </row>
    <row r="136" spans="1:16" ht="14.25" customHeight="1">
      <c r="A136" s="20" t="s">
        <v>481</v>
      </c>
      <c r="B136" s="20" t="str">
        <f t="shared" si="12"/>
        <v>ESTRATEGIA 2</v>
      </c>
      <c r="C136" s="20" t="str">
        <f t="shared" si="13"/>
        <v>OBJETIVO OPERATIVO 1</v>
      </c>
      <c r="D136" s="20" t="b">
        <f>'Plataformas tecnológicas'!B34</f>
        <v>0</v>
      </c>
      <c r="E136" s="20" t="str">
        <f>'Plataformas tecnológicas'!C34</f>
        <v>Media</v>
      </c>
      <c r="F136" s="21" t="str">
        <f>'Plataformas tecnológicas'!D34</f>
        <v>2025-I(Todo el ciclo)
2025-II(Todo el ciclo)</v>
      </c>
      <c r="G136" s="20" t="str">
        <f>'Plataformas tecnológicas'!E34</f>
        <v>Ejecutar las actividades de la fase de SEGUIMIENTO del modelo metodológico del proceso de Seguimiento Curricular</v>
      </c>
      <c r="H136" s="20" t="str">
        <f>'Plataformas tecnológicas'!F34</f>
        <v>Director/a de carrera - Gestor/a académico
Tutores de curso</v>
      </c>
      <c r="I136" s="20" t="str">
        <f>'Plataformas tecnológicas'!G34</f>
        <v>Realizar el Seguimiento del modelo metodológico</v>
      </c>
      <c r="J136" s="20" t="str">
        <f>'Plataformas tecnológicas'!H34</f>
        <v>Fase SEGUIMIENTO:
INICIO: Socialización de Tutorías Académicas
DURANTE: Registro de Calificaciones del Primer Parcial
FINAL : Registro de Calificación Finales</v>
      </c>
      <c r="K136" s="62">
        <f>'Plataformas tecnológicas'!I34</f>
        <v>1</v>
      </c>
      <c r="L136" s="160">
        <f>'Plataformas tecnológicas'!J34</f>
        <v>0</v>
      </c>
      <c r="M136" s="20">
        <f>'Plataformas tecnológicas'!K34</f>
        <v>0</v>
      </c>
      <c r="N136" s="20">
        <f>'Plataformas tecnológicas'!L34</f>
        <v>0</v>
      </c>
      <c r="O136" s="20">
        <f>'Plataformas tecnológicas'!M34</f>
        <v>0</v>
      </c>
      <c r="P136" s="20">
        <v>2025</v>
      </c>
    </row>
    <row r="137" spans="1:16" ht="14.25" customHeight="1">
      <c r="A137" s="20" t="s">
        <v>481</v>
      </c>
      <c r="B137" s="20" t="str">
        <f t="shared" si="12"/>
        <v>ESTRATEGIA 2</v>
      </c>
      <c r="C137" s="20" t="str">
        <f t="shared" si="13"/>
        <v>OBJETIVO OPERATIVO 1</v>
      </c>
      <c r="D137" s="20" t="b">
        <f>'Plataformas tecnológicas'!B35</f>
        <v>0</v>
      </c>
      <c r="E137" s="20" t="str">
        <f>'Plataformas tecnológicas'!C35</f>
        <v>Media</v>
      </c>
      <c r="F137" s="21" t="str">
        <f>'Plataformas tecnológicas'!D35</f>
        <v>2025-I(Todo el ciclo)
2025-II(Todo el ciclo)</v>
      </c>
      <c r="G137" s="20" t="str">
        <f>'Plataformas tecnológicas'!E35</f>
        <v>Ejecutar las actividades de la fase de CONTROL del modelo metodológico del proceso de Seguimiento Curricular</v>
      </c>
      <c r="H137" s="20" t="str">
        <f>'Plataformas tecnológicas'!F35</f>
        <v>Director/a de carrera - Gestor/a académico
Tutores de curso</v>
      </c>
      <c r="I137" s="20" t="str">
        <f>'Plataformas tecnológicas'!G35</f>
        <v>Realizar el Control del modelo metodológico</v>
      </c>
      <c r="J137" s="20" t="str">
        <f>'Plataformas tecnológicas'!H35</f>
        <v>Fase CONTROL:
INICIO: Matriz consolidada de resultados de Pruebas de Diagnostico
DURANTE: Matriz consolidada de resultados de Calificaciones del Primer Parcial
FINAL : Matriz consolidada de resultados de Calificaciones Finales</v>
      </c>
      <c r="K137" s="62">
        <f>'Plataformas tecnológicas'!I35</f>
        <v>1</v>
      </c>
      <c r="L137" s="160">
        <f>'Plataformas tecnológicas'!J35</f>
        <v>0</v>
      </c>
      <c r="M137" s="20">
        <f>'Plataformas tecnológicas'!K35</f>
        <v>0</v>
      </c>
      <c r="N137" s="20">
        <f>'Plataformas tecnológicas'!L35</f>
        <v>0</v>
      </c>
      <c r="O137" s="20" t="str">
        <f>'Plataformas tecnológicas'!M35</f>
        <v>NO existe la Matriz consolidada de resultados de calificaciones del Primer Parcial del Ciclo 2025-II</v>
      </c>
      <c r="P137" s="20">
        <v>2025</v>
      </c>
    </row>
    <row r="138" spans="1:16" ht="14.25" customHeight="1">
      <c r="A138" s="20" t="s">
        <v>481</v>
      </c>
      <c r="B138" s="20" t="str">
        <f t="shared" si="12"/>
        <v>ESTRATEGIA 2</v>
      </c>
      <c r="C138" s="20" t="str">
        <f t="shared" si="13"/>
        <v>OBJETIVO OPERATIVO 1</v>
      </c>
      <c r="D138" s="20" t="b">
        <f>'Plataformas tecnológicas'!B36</f>
        <v>0</v>
      </c>
      <c r="E138" s="20" t="str">
        <f>'Plataformas tecnológicas'!C36</f>
        <v>Media</v>
      </c>
      <c r="F138" s="21" t="str">
        <f>'Plataformas tecnológicas'!D36</f>
        <v>2025-I(Todo el ciclo)
2025-II(Todo el ciclo)</v>
      </c>
      <c r="G138" s="20" t="str">
        <f>'Plataformas tecnológicas'!E36</f>
        <v>Ejecutar las actividades de la fase de EVALUACIÓN del modelo metodológico del proceso de Seguimiento Curricular</v>
      </c>
      <c r="H138" s="20" t="str">
        <f>'Plataformas tecnológicas'!F36</f>
        <v>Director/a de carrera - Gestor/a académico
Tutores de curso</v>
      </c>
      <c r="I138" s="20" t="str">
        <f>'Plataformas tecnológicas'!G36</f>
        <v>Realizar la Evaluación del modelo metodológico</v>
      </c>
      <c r="J138" s="20" t="str">
        <f>'Plataformas tecnológicas'!H36</f>
        <v>Fase EVALAUCIÓN:
INICIO: Acta de reunión de inicio de ciclo estudiantes
DURANTE: Acta de reunión del Primer Parcial Docentes - Estudiantes
FINAL : Acta de reunión Final - Docentes - Estudiantes</v>
      </c>
      <c r="K138" s="62">
        <f>'Plataformas tecnológicas'!I36</f>
        <v>0.67</v>
      </c>
      <c r="L138" s="160">
        <f>'Plataformas tecnológicas'!J36</f>
        <v>0</v>
      </c>
      <c r="M138" s="20">
        <f>'Plataformas tecnológicas'!K36</f>
        <v>0</v>
      </c>
      <c r="N138" s="20">
        <f>'Plataformas tecnológicas'!L36</f>
        <v>0</v>
      </c>
      <c r="O138" s="20" t="str">
        <f>'Plataformas tecnológicas'!M36</f>
        <v>NO existe el acta de reunión del Primer Parcial Docentes-Estudiantes del Ciclo 2025-II</v>
      </c>
      <c r="P138" s="20">
        <v>2025</v>
      </c>
    </row>
    <row r="139" spans="1:16" ht="14.25" customHeight="1">
      <c r="A139" s="20" t="s">
        <v>481</v>
      </c>
      <c r="B139" s="20" t="str">
        <f t="shared" si="12"/>
        <v>ESTRATEGIA 2</v>
      </c>
      <c r="C139" s="20" t="str">
        <f t="shared" si="13"/>
        <v>OBJETIVO OPERATIVO 1</v>
      </c>
      <c r="D139" s="20" t="b">
        <f>'Plataformas tecnológicas'!B37</f>
        <v>0</v>
      </c>
      <c r="E139" s="20" t="str">
        <f>'Plataformas tecnológicas'!C37</f>
        <v>Baja</v>
      </c>
      <c r="F139" s="21" t="str">
        <f>'Plataformas tecnológicas'!D37</f>
        <v>2025-II(Fin de ciclo)
2025-I(Fin de Ciclo)</v>
      </c>
      <c r="G139" s="20" t="str">
        <f>'Plataformas tecnológicas'!E37</f>
        <v>Elaboración del Plan de Mejoramiento del proceso enseñanza aprendizaje</v>
      </c>
      <c r="H139" s="20" t="str">
        <f>'Plataformas tecnológicas'!F37</f>
        <v>Director/a carrera
Responsable de Seguimiento a graduados de la carrera</v>
      </c>
      <c r="I139" s="20" t="str">
        <f>'Plataformas tecnológicas'!G37</f>
        <v>De acuerdo a los resultados generar el Plan de Mejoramiento enseñanza aprendizaje</v>
      </c>
      <c r="J139" s="20" t="str">
        <f>'Plataformas tecnológicas'!H37</f>
        <v>Informe de plan de mejoramiento curricular</v>
      </c>
      <c r="K139" s="62">
        <f>'Plataformas tecnológicas'!I37</f>
        <v>1</v>
      </c>
      <c r="L139" s="160">
        <f>'Plataformas tecnológicas'!J37</f>
        <v>0</v>
      </c>
      <c r="M139" s="20">
        <f>'Plataformas tecnológicas'!K37</f>
        <v>0</v>
      </c>
      <c r="N139" s="20">
        <f>'Plataformas tecnológicas'!L37</f>
        <v>0</v>
      </c>
      <c r="O139" s="20">
        <f>'Plataformas tecnológicas'!M37</f>
        <v>0</v>
      </c>
      <c r="P139" s="20">
        <v>2025</v>
      </c>
    </row>
    <row r="140" spans="1:16" ht="14.25" customHeight="1">
      <c r="A140" s="20" t="s">
        <v>481</v>
      </c>
      <c r="B140" s="20" t="str">
        <f t="shared" si="12"/>
        <v>ESTRATEGIA 2</v>
      </c>
      <c r="C140" s="20" t="str">
        <f>'Plataformas tecnológicas'!E38</f>
        <v>OBJETIVO OPERATIVO 2</v>
      </c>
      <c r="D140" s="20" t="b">
        <f>'Plataformas tecnológicas'!B39</f>
        <v>1</v>
      </c>
      <c r="E140" s="20" t="str">
        <f>'Plataformas tecnológicas'!C39</f>
        <v>Media</v>
      </c>
      <c r="F140" s="21" t="str">
        <f>'Plataformas tecnológicas'!D39</f>
        <v>2025-II(Inicio de ciclo)</v>
      </c>
      <c r="G140" s="20" t="str">
        <f>'Plataformas tecnológicas'!E39</f>
        <v>Diseñar, gestionar e implementar cursos o programas de inducción y de actualización para docentes y estudiantes.</v>
      </c>
      <c r="H140" s="20" t="str">
        <f>'Plataformas tecnológicas'!F39</f>
        <v>Director/a carrera - gestor académico</v>
      </c>
      <c r="I140" s="20" t="str">
        <f>'Plataformas tecnológicas'!G39</f>
        <v>Generar la capacitación docente</v>
      </c>
      <c r="J140" s="20" t="str">
        <f>'Plataformas tecnológicas'!H39</f>
        <v>Informes de cursos y o programas.</v>
      </c>
      <c r="K140" s="62">
        <f>'Plataformas tecnológicas'!I39</f>
        <v>1</v>
      </c>
      <c r="L140" s="160">
        <f>'Plataformas tecnológicas'!J39</f>
        <v>0</v>
      </c>
      <c r="M140" s="20">
        <f>'Plataformas tecnológicas'!K39</f>
        <v>0</v>
      </c>
      <c r="N140" s="20">
        <f>'Plataformas tecnológicas'!L39</f>
        <v>0</v>
      </c>
      <c r="O140" s="20">
        <f>'Plataformas tecnológicas'!M39</f>
        <v>0</v>
      </c>
      <c r="P140" s="20">
        <v>2025</v>
      </c>
    </row>
    <row r="141" spans="1:16" ht="14.25" customHeight="1">
      <c r="A141" s="20" t="s">
        <v>481</v>
      </c>
      <c r="B141" s="20" t="str">
        <f t="shared" si="12"/>
        <v>ESTRATEGIA 2</v>
      </c>
      <c r="C141" s="20" t="str">
        <f>$C$140</f>
        <v>OBJETIVO OPERATIVO 2</v>
      </c>
      <c r="D141" s="20" t="b">
        <f>'Plataformas tecnológicas'!B40</f>
        <v>1</v>
      </c>
      <c r="E141" s="20" t="str">
        <f>'Plataformas tecnológicas'!C40</f>
        <v>Media</v>
      </c>
      <c r="F141" s="21" t="str">
        <f>'Plataformas tecnológicas'!D40</f>
        <v>2025-II(Inicio de ciclo)</v>
      </c>
      <c r="G141" s="20" t="str">
        <f>'Plataformas tecnológicas'!E40</f>
        <v>Capacitar a los estudiantes sobre la utilización de la Plataforma Moodle.</v>
      </c>
      <c r="H141" s="20" t="str">
        <f>'Plataformas tecnológicas'!F40</f>
        <v>responsable plataforma Moodle de la carrera</v>
      </c>
      <c r="I141" s="20" t="str">
        <f>'Plataformas tecnológicas'!G40</f>
        <v>Generar la capacitación estudiantil sobre el Moodle</v>
      </c>
      <c r="J141" s="20" t="str">
        <f>'Plataformas tecnológicas'!H40</f>
        <v>Informe sobre la capacitación</v>
      </c>
      <c r="K141" s="62">
        <f>'Plataformas tecnológicas'!I40</f>
        <v>1</v>
      </c>
      <c r="L141" s="160">
        <f>'Plataformas tecnológicas'!J40</f>
        <v>0</v>
      </c>
      <c r="M141" s="20">
        <f>'Plataformas tecnológicas'!K40</f>
        <v>0</v>
      </c>
      <c r="N141" s="20">
        <f>'Plataformas tecnológicas'!L40</f>
        <v>0</v>
      </c>
      <c r="O141" s="20">
        <f>'Plataformas tecnológicas'!M40</f>
        <v>0</v>
      </c>
      <c r="P141" s="20">
        <v>2025</v>
      </c>
    </row>
    <row r="142" spans="1:16" ht="14.25" customHeight="1">
      <c r="A142" s="20" t="s">
        <v>481</v>
      </c>
      <c r="B142" s="20" t="str">
        <f t="shared" si="12"/>
        <v>ESTRATEGIA 2</v>
      </c>
      <c r="C142" s="20" t="str">
        <f>$C$140</f>
        <v>OBJETIVO OPERATIVO 2</v>
      </c>
      <c r="D142" s="20" t="b">
        <f>'Plataformas tecnológicas'!B41</f>
        <v>1</v>
      </c>
      <c r="E142" s="20" t="str">
        <f>'Plataformas tecnológicas'!C41</f>
        <v>Baja</v>
      </c>
      <c r="F142" s="21" t="str">
        <f>'Plataformas tecnológicas'!D41</f>
        <v>2025-II(Fin de ciclo)</v>
      </c>
      <c r="G142" s="20" t="str">
        <f>'Plataformas tecnológicas'!E41</f>
        <v>Elaborar y ejecutar la planificación de oferta complementaria.</v>
      </c>
      <c r="H142" s="20" t="str">
        <f>'Plataformas tecnológicas'!F41</f>
        <v>Docentes de la carrera</v>
      </c>
      <c r="I142" s="20" t="str">
        <f>'Plataformas tecnológicas'!G41</f>
        <v>Analizar y realizar la oferta complementaria</v>
      </c>
      <c r="J142" s="20" t="str">
        <f>'Plataformas tecnológicas'!H41</f>
        <v>Informe de ejecución de la oferta complementaria.</v>
      </c>
      <c r="K142" s="62">
        <f>'Plataformas tecnológicas'!I41</f>
        <v>1</v>
      </c>
      <c r="L142" s="160">
        <f>'Plataformas tecnológicas'!J41</f>
        <v>0</v>
      </c>
      <c r="M142" s="20">
        <f>'Plataformas tecnológicas'!K41</f>
        <v>0</v>
      </c>
      <c r="N142" s="20">
        <f>'Plataformas tecnológicas'!L41</f>
        <v>0</v>
      </c>
      <c r="O142" s="20">
        <f>'Plataformas tecnológicas'!M41</f>
        <v>0</v>
      </c>
      <c r="P142" s="20">
        <v>2025</v>
      </c>
    </row>
    <row r="143" spans="1:16" ht="14.25" customHeight="1">
      <c r="A143" s="20" t="s">
        <v>481</v>
      </c>
      <c r="B143" s="20" t="str">
        <f t="shared" si="12"/>
        <v>ESTRATEGIA 2</v>
      </c>
      <c r="C143" s="20" t="str">
        <f>'Plataformas tecnológicas'!E42</f>
        <v>OBJETIVO OPERATIVO 3</v>
      </c>
      <c r="D143" s="20" t="b">
        <f>'Plataformas tecnológicas'!B43</f>
        <v>1</v>
      </c>
      <c r="E143" s="20" t="str">
        <f>'Plataformas tecnológicas'!C43</f>
        <v>Alta</v>
      </c>
      <c r="F143" s="21" t="str">
        <f>'Plataformas tecnológicas'!D43</f>
        <v>2025-I(Inicio de ciclo)</v>
      </c>
      <c r="G143" s="20" t="str">
        <f>'Plataformas tecnológicas'!E43</f>
        <v>Revisión de requisitos de la opción de titulación de los estudiantes.</v>
      </c>
      <c r="H143" s="20" t="str">
        <f>'Plataformas tecnológicas'!F43</f>
        <v>Director de carrera / Coordinador de carreras</v>
      </c>
      <c r="I143" s="20" t="str">
        <f>'Plataformas tecnológicas'!G43</f>
        <v>Realizar el análisis de la opción de titulación para los estudiantes</v>
      </c>
      <c r="J143" s="20" t="str">
        <f>'Plataformas tecnológicas'!H43</f>
        <v>Recopilar los documentos de los estudiantes de titulación.</v>
      </c>
      <c r="K143" s="62">
        <f>'Plataformas tecnológicas'!I43</f>
        <v>1</v>
      </c>
      <c r="L143" s="160">
        <f>'Plataformas tecnológicas'!J43</f>
        <v>0</v>
      </c>
      <c r="M143" s="20">
        <f>'Plataformas tecnológicas'!K43</f>
        <v>0</v>
      </c>
      <c r="N143" s="20">
        <f>'Plataformas tecnológicas'!L43</f>
        <v>0</v>
      </c>
      <c r="O143" s="20">
        <f>'Plataformas tecnológicas'!M43</f>
        <v>0</v>
      </c>
      <c r="P143" s="20">
        <v>2025</v>
      </c>
    </row>
    <row r="144" spans="1:16" ht="14.25" customHeight="1">
      <c r="A144" s="20" t="s">
        <v>481</v>
      </c>
      <c r="B144" s="20" t="str">
        <f t="shared" si="12"/>
        <v>ESTRATEGIA 2</v>
      </c>
      <c r="C144" s="20" t="str">
        <f>$C$143</f>
        <v>OBJETIVO OPERATIVO 3</v>
      </c>
      <c r="D144" s="20" t="b">
        <f>'Plataformas tecnológicas'!B44</f>
        <v>1</v>
      </c>
      <c r="E144" s="20" t="str">
        <f>'Plataformas tecnológicas'!C44</f>
        <v>Alta</v>
      </c>
      <c r="F144" s="21" t="str">
        <f>'Plataformas tecnológicas'!D44</f>
        <v>2025-I(Inicio de ciclo)</v>
      </c>
      <c r="G144" s="20" t="str">
        <f>'Plataformas tecnológicas'!E44</f>
        <v>Coordinación para aprobación de documentación de la integración curricular.</v>
      </c>
      <c r="H144" s="20" t="str">
        <f>'Plataformas tecnológicas'!F44</f>
        <v>Director de carrera / Coordinador de carreras</v>
      </c>
      <c r="I144" s="20" t="str">
        <f>'Plataformas tecnológicas'!G44</f>
        <v>Revisar y coordinar la aprobación de documentos para el ingreso a la unidad de integración curricular</v>
      </c>
      <c r="J144" s="20" t="str">
        <f>'Plataformas tecnológicas'!H44</f>
        <v>Aprobación de la documentación a titulación.</v>
      </c>
      <c r="K144" s="62">
        <f>'Plataformas tecnológicas'!I44</f>
        <v>1</v>
      </c>
      <c r="L144" s="160">
        <f>'Plataformas tecnológicas'!J44</f>
        <v>0</v>
      </c>
      <c r="M144" s="20">
        <f>'Plataformas tecnológicas'!K44</f>
        <v>0</v>
      </c>
      <c r="N144" s="20">
        <f>'Plataformas tecnológicas'!L44</f>
        <v>0</v>
      </c>
      <c r="O144" s="20">
        <f>'Plataformas tecnológicas'!M44</f>
        <v>0</v>
      </c>
      <c r="P144" s="20">
        <v>2025</v>
      </c>
    </row>
    <row r="145" spans="1:16" ht="14.25" customHeight="1">
      <c r="A145" s="20" t="s">
        <v>481</v>
      </c>
      <c r="B145" s="20" t="str">
        <f t="shared" si="12"/>
        <v>ESTRATEGIA 2</v>
      </c>
      <c r="C145" s="20" t="str">
        <f>$C$143</f>
        <v>OBJETIVO OPERATIVO 3</v>
      </c>
      <c r="D145" s="20" t="b">
        <f>'Plataformas tecnológicas'!B45</f>
        <v>1</v>
      </c>
      <c r="E145" s="20" t="str">
        <f>'Plataformas tecnológicas'!C45</f>
        <v>Alta</v>
      </c>
      <c r="F145" s="21" t="str">
        <f>'Plataformas tecnológicas'!D45</f>
        <v>2025-I(Fin de ciclo)</v>
      </c>
      <c r="G145" s="20" t="str">
        <f>'Plataformas tecnológicas'!E45</f>
        <v>Coordinación del evento de incorporación.</v>
      </c>
      <c r="H145" s="20" t="str">
        <f>'Plataformas tecnológicas'!F45</f>
        <v>Director de carrera / Coordinador de carreras</v>
      </c>
      <c r="I145" s="20" t="str">
        <f>'Plataformas tecnológicas'!G45</f>
        <v>Realizar la lista de estudiantes a titularse</v>
      </c>
      <c r="J145" s="20" t="str">
        <f>'Plataformas tecnológicas'!H45</f>
        <v>Matriz de datos de estudiantes a titularse</v>
      </c>
      <c r="K145" s="62">
        <f>'Plataformas tecnológicas'!I45</f>
        <v>1</v>
      </c>
      <c r="L145" s="160">
        <f>'Plataformas tecnológicas'!J45</f>
        <v>0</v>
      </c>
      <c r="M145" s="20">
        <f>'Plataformas tecnológicas'!K45</f>
        <v>0</v>
      </c>
      <c r="N145" s="20">
        <f>'Plataformas tecnológicas'!L45</f>
        <v>0</v>
      </c>
      <c r="O145" s="20">
        <f>'Plataformas tecnológicas'!M45</f>
        <v>0</v>
      </c>
      <c r="P145" s="20">
        <v>2025</v>
      </c>
    </row>
    <row r="146" spans="1:16" ht="14.25" customHeight="1">
      <c r="A146" s="20" t="s">
        <v>481</v>
      </c>
      <c r="B146" s="20" t="str">
        <f>'Plataformas tecnológicas'!B46</f>
        <v>ESTRATEGIA 3</v>
      </c>
      <c r="C146" s="20" t="str">
        <f>'Plataformas tecnológicas'!E46</f>
        <v>OBJETIVO OPERATIVO 1</v>
      </c>
      <c r="D146" s="20" t="b">
        <f>'Plataformas tecnológicas'!B47</f>
        <v>0</v>
      </c>
      <c r="E146" s="20" t="str">
        <f>'Plataformas tecnológicas'!C47</f>
        <v>Media</v>
      </c>
      <c r="F146" s="21" t="str">
        <f>'Plataformas tecnológicas'!D47</f>
        <v>2025-I(Todo el ciclo)
2025-II(Todo de ciclo)</v>
      </c>
      <c r="G146" s="20" t="str">
        <f>'Plataformas tecnológicas'!E47</f>
        <v>Colaborar con la comisión de Vinculación en la construcción de los documentos necesarios para la firma de convenios.</v>
      </c>
      <c r="H146" s="20" t="str">
        <f>'Plataformas tecnológicas'!F47</f>
        <v>Director/a carrera -responsable de practicas y vinculación</v>
      </c>
      <c r="I146" s="20" t="str">
        <f>'Plataformas tecnológicas'!G47</f>
        <v>Brindar apoyo y realizar ITV de vinculación de la carrera</v>
      </c>
      <c r="J146" s="20" t="str">
        <f>'Plataformas tecnológicas'!H47</f>
        <v>ITV  y los convenios.</v>
      </c>
      <c r="K146" s="62">
        <f>'Plataformas tecnológicas'!I47</f>
        <v>0.5</v>
      </c>
      <c r="L146" s="160">
        <f>'Plataformas tecnológicas'!J47</f>
        <v>0</v>
      </c>
      <c r="M146" s="20">
        <f>'Plataformas tecnológicas'!K47</f>
        <v>0</v>
      </c>
      <c r="N146" s="20">
        <f>'Plataformas tecnológicas'!L47</f>
        <v>0</v>
      </c>
      <c r="O146" s="20" t="str">
        <f>'Plataformas tecnológicas'!M47</f>
        <v>NO existen evidencias (ITVs, proyectos) del Ciclo 2025-II</v>
      </c>
      <c r="P146" s="20">
        <v>2025</v>
      </c>
    </row>
    <row r="147" spans="1:16" ht="14.25" customHeight="1">
      <c r="A147" s="20" t="s">
        <v>481</v>
      </c>
      <c r="B147" s="20" t="str">
        <f>$B$146</f>
        <v>ESTRATEGIA 3</v>
      </c>
      <c r="C147" s="20" t="str">
        <f>$C$146</f>
        <v>OBJETIVO OPERATIVO 1</v>
      </c>
      <c r="D147" s="20" t="b">
        <f>'Plataformas tecnológicas'!B48</f>
        <v>0</v>
      </c>
      <c r="E147" s="20" t="str">
        <f>'Plataformas tecnológicas'!C48</f>
        <v>Baja</v>
      </c>
      <c r="F147" s="21" t="str">
        <f>'Plataformas tecnológicas'!D48</f>
        <v>2025-II( fin ciclo)
2025-I( fin ciclo)</v>
      </c>
      <c r="G147" s="20" t="str">
        <f>'Plataformas tecnológicas'!E48</f>
        <v>Divulgación de los resultados de los proyectos de vinculación, asistiendo a las ferias convocados por diferentes organizaciones.</v>
      </c>
      <c r="H147" s="20" t="str">
        <f>'Plataformas tecnológicas'!F48</f>
        <v>Director/a carrera -responsable de practicas y vinculación</v>
      </c>
      <c r="I147" s="20" t="str">
        <f>'Plataformas tecnológicas'!G48</f>
        <v>Realizar la divulgación de los resultados de los proyectos de vinculación</v>
      </c>
      <c r="J147" s="20" t="str">
        <f>'Plataformas tecnológicas'!H48</f>
        <v>Informe de la divulgación.</v>
      </c>
      <c r="K147" s="62">
        <f>'Plataformas tecnológicas'!I48</f>
        <v>1</v>
      </c>
      <c r="L147" s="160">
        <f>'Plataformas tecnológicas'!J48</f>
        <v>0</v>
      </c>
      <c r="M147" s="20">
        <f>'Plataformas tecnológicas'!K48</f>
        <v>0</v>
      </c>
      <c r="N147" s="20">
        <f>'Plataformas tecnológicas'!L48</f>
        <v>0</v>
      </c>
      <c r="O147" s="20">
        <f>'Plataformas tecnológicas'!M48</f>
        <v>0</v>
      </c>
      <c r="P147" s="20">
        <v>2025</v>
      </c>
    </row>
    <row r="148" spans="1:16" ht="14.25" customHeight="1">
      <c r="A148" s="20" t="s">
        <v>481</v>
      </c>
      <c r="B148" s="20" t="str">
        <f>$B$146</f>
        <v>ESTRATEGIA 3</v>
      </c>
      <c r="C148" s="20" t="str">
        <f>$C$146</f>
        <v>OBJETIVO OPERATIVO 1</v>
      </c>
      <c r="D148" s="20" t="b">
        <f>'Plataformas tecnológicas'!B49</f>
        <v>0</v>
      </c>
      <c r="E148" s="20" t="str">
        <f>'Plataformas tecnológicas'!C49</f>
        <v>Baja</v>
      </c>
      <c r="F148" s="21" t="str">
        <f>'Plataformas tecnológicas'!D49</f>
        <v>2025-I (inicio ciclo)
2025-II(inicio ciclo)</v>
      </c>
      <c r="G148" s="20" t="str">
        <f>'Plataformas tecnológicas'!E49</f>
        <v>Socializar con los estudiantes el reglamento de vinculación</v>
      </c>
      <c r="H148" s="20" t="str">
        <f>'Plataformas tecnológicas'!F49</f>
        <v>Director/a carrera -responsable de practicas y vinculación</v>
      </c>
      <c r="I148" s="20" t="str">
        <f>'Plataformas tecnológicas'!G49</f>
        <v>Realizar la socialización del reglamento de vinculación con los estudiantes</v>
      </c>
      <c r="J148" s="20" t="str">
        <f>'Plataformas tecnológicas'!H49</f>
        <v>Informe de socialización del reglamento.</v>
      </c>
      <c r="K148" s="62">
        <f>'Plataformas tecnológicas'!I49</f>
        <v>1</v>
      </c>
      <c r="L148" s="160">
        <f>'Plataformas tecnológicas'!J49</f>
        <v>0</v>
      </c>
      <c r="M148" s="20">
        <f>'Plataformas tecnológicas'!K49</f>
        <v>0</v>
      </c>
      <c r="N148" s="20">
        <f>'Plataformas tecnológicas'!L49</f>
        <v>0</v>
      </c>
      <c r="O148" s="20">
        <f>'Plataformas tecnológicas'!M49</f>
        <v>0</v>
      </c>
      <c r="P148" s="20">
        <v>2025</v>
      </c>
    </row>
    <row r="149" spans="1:16" ht="14.25" customHeight="1">
      <c r="A149" s="20" t="s">
        <v>481</v>
      </c>
      <c r="B149" s="20" t="str">
        <f>$B$148</f>
        <v>ESTRATEGIA 3</v>
      </c>
      <c r="C149" s="20" t="str">
        <f>'Plataformas tecnológicas'!E50</f>
        <v>OBJETIVO OPERATIVO 2</v>
      </c>
      <c r="D149" s="20" t="b">
        <f>'Plataformas tecnológicas'!B51</f>
        <v>1</v>
      </c>
      <c r="E149" s="20" t="str">
        <f>'Plataformas tecnológicas'!C51</f>
        <v>Alta</v>
      </c>
      <c r="F149" s="21" t="str">
        <f>'Plataformas tecnológicas'!D51</f>
        <v>2025-I (inicio ciclo)
2025-II(inicio ciclo)</v>
      </c>
      <c r="G149" s="20" t="str">
        <f>'Plataformas tecnológicas'!E51</f>
        <v>Conocer las líneas de investigación de la carrera</v>
      </c>
      <c r="H149" s="20" t="str">
        <f>'Plataformas tecnológicas'!F51</f>
        <v>Director de carrera</v>
      </c>
      <c r="I149" s="20" t="str">
        <f>'Plataformas tecnológicas'!G51</f>
        <v>Analizar y realizar las líneas de investigación de la carrera</v>
      </c>
      <c r="J149" s="20" t="str">
        <f>'Plataformas tecnológicas'!H51</f>
        <v>Informe de socialización de las líneas de investigación de la carrera</v>
      </c>
      <c r="K149" s="62">
        <f>'Plataformas tecnológicas'!I51</f>
        <v>1</v>
      </c>
      <c r="L149" s="160">
        <f>'Plataformas tecnológicas'!J51</f>
        <v>0</v>
      </c>
      <c r="M149" s="20">
        <f>'Plataformas tecnológicas'!K51</f>
        <v>0</v>
      </c>
      <c r="N149" s="20">
        <f>'Plataformas tecnológicas'!L51</f>
        <v>0</v>
      </c>
      <c r="O149" s="20" t="str">
        <f>'Plataformas tecnológicas'!M51</f>
        <v>NO sube el informe de socialización de las líneas de investigación de la carrera</v>
      </c>
      <c r="P149" s="20">
        <v>2025</v>
      </c>
    </row>
    <row r="150" spans="1:16" ht="14.25" customHeight="1">
      <c r="A150" s="20" t="s">
        <v>481</v>
      </c>
      <c r="B150" s="20" t="str">
        <f>$B$148</f>
        <v>ESTRATEGIA 3</v>
      </c>
      <c r="C150" s="20" t="str">
        <f>$C$149</f>
        <v>OBJETIVO OPERATIVO 2</v>
      </c>
      <c r="D150" s="20" t="b">
        <f>'Plataformas tecnológicas'!B52</f>
        <v>1</v>
      </c>
      <c r="E150" s="20" t="str">
        <f>'Plataformas tecnológicas'!C52</f>
        <v>Alta</v>
      </c>
      <c r="F150" s="21" t="str">
        <f>'Plataformas tecnológicas'!D52</f>
        <v>2025-I(Todo el ciclo)
2025-II(Todo de ciclo)</v>
      </c>
      <c r="G150" s="20" t="str">
        <f>'Plataformas tecnológicas'!E52</f>
        <v>Desarrollar investigación científica y tecnológica que contribuya con la construcción de soluciones para los problemas del país, en relación con los objetivos del régimen de desarrollo.</v>
      </c>
      <c r="H150" s="20" t="str">
        <f>'Plataformas tecnológicas'!F52</f>
        <v>Director de Carrera
Docentes de la carrera
Comisión de Investigación</v>
      </c>
      <c r="I150" s="20" t="str">
        <f>'Plataformas tecnológicas'!G52</f>
        <v>Incentivar y desarrollar la investigación de los docentes de la carrera en base a las líneas de la carrera</v>
      </c>
      <c r="J150" s="20" t="str">
        <f>'Plataformas tecnológicas'!H52</f>
        <v>Artículos publicados por los docentes de la carrera</v>
      </c>
      <c r="K150" s="62">
        <f>'Plataformas tecnológicas'!I52</f>
        <v>1</v>
      </c>
      <c r="L150" s="160">
        <f>'Plataformas tecnológicas'!J52</f>
        <v>0</v>
      </c>
      <c r="M150" s="20">
        <f>'Plataformas tecnológicas'!K52</f>
        <v>0</v>
      </c>
      <c r="N150" s="20">
        <f>'Plataformas tecnológicas'!L52</f>
        <v>0</v>
      </c>
      <c r="O150" s="20">
        <f>'Plataformas tecnológicas'!M52</f>
        <v>0</v>
      </c>
      <c r="P150" s="20">
        <v>2025</v>
      </c>
    </row>
    <row r="151" spans="1:16" ht="14.25" customHeight="1">
      <c r="A151" s="20" t="s">
        <v>481</v>
      </c>
      <c r="B151" s="20" t="str">
        <f>$B$148</f>
        <v>ESTRATEGIA 3</v>
      </c>
      <c r="C151" s="20" t="str">
        <f>'Plataformas tecnológicas'!E53</f>
        <v>OBJETIVO OPERATIVO 3</v>
      </c>
      <c r="D151" s="20" t="b">
        <f>'Plataformas tecnológicas'!B54</f>
        <v>1</v>
      </c>
      <c r="E151" s="20" t="str">
        <f>'Plataformas tecnológicas'!C54</f>
        <v>Baja</v>
      </c>
      <c r="F151" s="21" t="str">
        <f>'Plataformas tecnológicas'!D54</f>
        <v>2025-I(Todo el ciclo)
2025-II(Todo de ciclo)</v>
      </c>
      <c r="G151" s="20" t="str">
        <f>'Plataformas tecnológicas'!E54</f>
        <v>Ejecutar la formación en valores y desarrollo de habilidades blandas.</v>
      </c>
      <c r="H151" s="20" t="str">
        <f>'Plataformas tecnológicas'!F54</f>
        <v>Director de carrera
Gestor académico
Bienestar institucional</v>
      </c>
      <c r="I151" s="20" t="str">
        <f>'Plataformas tecnológicas'!G54</f>
        <v>Realizar un curso de habilidades blandas que se desarrollara para todo el instituto</v>
      </c>
      <c r="J151" s="20" t="str">
        <f>'Plataformas tecnológicas'!H54</f>
        <v>Informe de formación en valores y desarrollo de habilidades blandas</v>
      </c>
      <c r="K151" s="62">
        <f>'Plataformas tecnológicas'!I54</f>
        <v>1</v>
      </c>
      <c r="L151" s="160">
        <f>'Plataformas tecnológicas'!J54</f>
        <v>0</v>
      </c>
      <c r="M151" s="20">
        <f>'Plataformas tecnológicas'!K54</f>
        <v>0</v>
      </c>
      <c r="N151" s="20">
        <f>'Plataformas tecnológicas'!L54</f>
        <v>0</v>
      </c>
      <c r="O151" s="20">
        <f>'Plataformas tecnológicas'!M54</f>
        <v>0</v>
      </c>
      <c r="P151" s="20">
        <v>2025</v>
      </c>
    </row>
    <row r="152" spans="1:16" ht="14.25" customHeight="1">
      <c r="A152" s="20" t="s">
        <v>481</v>
      </c>
      <c r="B152" s="20" t="str">
        <f>'Plataformas tecnológicas'!B55</f>
        <v>ESTRATEGIA 4</v>
      </c>
      <c r="C152" s="20" t="str">
        <f>'Plataformas tecnológicas'!E55</f>
        <v>OBJETIVO OPERATIVO 1</v>
      </c>
      <c r="D152" s="20" t="b">
        <f>'Plataformas tecnológicas'!B56</f>
        <v>0</v>
      </c>
      <c r="E152" s="20" t="str">
        <f>'Plataformas tecnológicas'!C56</f>
        <v>Baja</v>
      </c>
      <c r="F152" s="21" t="str">
        <f>'Plataformas tecnológicas'!D56</f>
        <v>2025-I (fin ciclo)
2025-II(fin ciclo)</v>
      </c>
      <c r="G152" s="20" t="str">
        <f>'Plataformas tecnológicas'!E56</f>
        <v>Elaboración de matrices de la oferta académica institucional.</v>
      </c>
      <c r="H152" s="20" t="str">
        <f>'Plataformas tecnológicas'!F56</f>
        <v>Director de Carrera
Gestor Académico</v>
      </c>
      <c r="I152" s="20" t="str">
        <f>'Plataformas tecnológicas'!G56</f>
        <v>Generación de matrices de oferta académica para la captación de más estudiantes</v>
      </c>
      <c r="J152" s="20" t="str">
        <f>'Plataformas tecnológicas'!H56</f>
        <v>Matrices de la oferta académica.</v>
      </c>
      <c r="K152" s="20" t="e">
        <f>#REF!</f>
        <v>#REF!</v>
      </c>
      <c r="L152" s="160">
        <f>'Plataformas tecnológicas'!J56</f>
        <v>0</v>
      </c>
      <c r="M152" s="20">
        <f>'Plataformas tecnológicas'!K56</f>
        <v>0</v>
      </c>
      <c r="N152" s="20">
        <f>'Plataformas tecnológicas'!L56</f>
        <v>0</v>
      </c>
      <c r="O152" s="20" t="str">
        <f>'Plataformas tecnológicas'!M56</f>
        <v>NO sube las matrices de la oferta académica</v>
      </c>
      <c r="P152" s="20">
        <v>2025</v>
      </c>
    </row>
    <row r="153" spans="1:16" ht="14.25" customHeight="1">
      <c r="A153" s="20" t="s">
        <v>481</v>
      </c>
      <c r="B153" s="20" t="str">
        <f>$B$152</f>
        <v>ESTRATEGIA 4</v>
      </c>
      <c r="C153" s="20" t="str">
        <f>$C$152</f>
        <v>OBJETIVO OPERATIVO 1</v>
      </c>
      <c r="D153" s="20" t="b">
        <f>'Plataformas tecnológicas'!B57</f>
        <v>0</v>
      </c>
      <c r="E153" s="20" t="str">
        <f>'Plataformas tecnológicas'!C57</f>
        <v>Baja</v>
      </c>
      <c r="F153" s="21" t="str">
        <f>'Plataformas tecnológicas'!D57</f>
        <v xml:space="preserve">
2025-II(fin ciclo)</v>
      </c>
      <c r="G153" s="20" t="str">
        <f>'Plataformas tecnológicas'!E57</f>
        <v>Planificación de demanda estudiantil.</v>
      </c>
      <c r="H153" s="20" t="str">
        <f>'Plataformas tecnológicas'!F57</f>
        <v>Director de Carrera
Gestor Académico</v>
      </c>
      <c r="I153" s="20" t="str">
        <f>'Plataformas tecnológicas'!G57</f>
        <v>Planificar la demanda institucional en base a históricos de periodos anteriores</v>
      </c>
      <c r="J153" s="20" t="str">
        <f>'Plataformas tecnológicas'!H57</f>
        <v>Listado certificado  de matriculados de la carrera</v>
      </c>
      <c r="K153" s="62">
        <f>'Plataformas tecnológicas'!I56</f>
        <v>1</v>
      </c>
      <c r="L153" s="160">
        <f>'Plataformas tecnológicas'!J57</f>
        <v>0</v>
      </c>
      <c r="M153" s="20">
        <f>'Plataformas tecnológicas'!K57</f>
        <v>0</v>
      </c>
      <c r="N153" s="20">
        <f>'Plataformas tecnológicas'!L57</f>
        <v>0</v>
      </c>
      <c r="O153" s="20">
        <f>'Plataformas tecnológicas'!M57</f>
        <v>0</v>
      </c>
      <c r="P153" s="20">
        <v>2025</v>
      </c>
    </row>
    <row r="154" spans="1:16" ht="14.25" customHeight="1">
      <c r="A154" s="20" t="s">
        <v>481</v>
      </c>
      <c r="B154" s="20" t="str">
        <f>$B$152</f>
        <v>ESTRATEGIA 4</v>
      </c>
      <c r="C154" s="20" t="str">
        <f>$C$152</f>
        <v>OBJETIVO OPERATIVO 1</v>
      </c>
      <c r="D154" s="20" t="b">
        <f>'Plataformas tecnológicas'!B58</f>
        <v>0</v>
      </c>
      <c r="E154" s="20" t="str">
        <f>'Plataformas tecnológicas'!C58</f>
        <v>Media</v>
      </c>
      <c r="F154" s="21" t="str">
        <f>'Plataformas tecnológicas'!D58</f>
        <v>2025-II(fin ciclo)</v>
      </c>
      <c r="G154" s="20" t="str">
        <f>'Plataformas tecnológicas'!E58</f>
        <v>Análisis de capacidad operativa de la institución.</v>
      </c>
      <c r="H154" s="20" t="str">
        <f>'Plataformas tecnológicas'!F58</f>
        <v>Director de Carrera
Gestor Académico</v>
      </c>
      <c r="I154" s="20" t="str">
        <f>'Plataformas tecnológicas'!G58</f>
        <v>Análisis de requerimientos sustantivo y no sustantivo de la carrera</v>
      </c>
      <c r="J154" s="20" t="str">
        <f>'Plataformas tecnológicas'!H58</f>
        <v>Resolución de aprobación por OCS de Estandarización de Carrera</v>
      </c>
      <c r="K154" s="62">
        <f>'Plataformas tecnológicas'!I58</f>
        <v>1</v>
      </c>
      <c r="L154" s="160">
        <f>'Plataformas tecnológicas'!J58</f>
        <v>0</v>
      </c>
      <c r="M154" s="20">
        <f>'Plataformas tecnológicas'!K58</f>
        <v>0</v>
      </c>
      <c r="N154" s="20">
        <f>'Plataformas tecnológicas'!L58</f>
        <v>0</v>
      </c>
      <c r="O154" s="20">
        <f>'Plataformas tecnológicas'!M58</f>
        <v>0</v>
      </c>
      <c r="P154" s="20">
        <v>2025</v>
      </c>
    </row>
    <row r="155" spans="1:16" ht="14.25" customHeight="1">
      <c r="A155" s="20" t="s">
        <v>501</v>
      </c>
      <c r="B155" s="20" t="str">
        <f>'Universitaria de Entrenamiento'!B10</f>
        <v>ESTRATEGIA 1</v>
      </c>
      <c r="C155" s="20" t="str">
        <f>'Universitaria de Entrenamiento'!E10</f>
        <v>OBJETIVO OPERATIVO 1</v>
      </c>
      <c r="D155" s="20" t="str">
        <f>'Universitaria de Entrenamiento'!B11</f>
        <v>FALSE</v>
      </c>
      <c r="E155" s="20" t="str">
        <f>'Universitaria de Entrenamiento'!C11</f>
        <v>Media</v>
      </c>
      <c r="F155" s="20" t="str">
        <f>'Universitaria de Entrenamiento'!D11</f>
        <v>2025-I ( Inicio ciclo)</v>
      </c>
      <c r="G155" s="20" t="str">
        <f>'Universitaria de Entrenamiento'!E11</f>
        <v>Planificar y estructurar las capacitaciones en el área técnica y didáctica.</v>
      </c>
      <c r="H155" s="20" t="str">
        <f>'Universitaria de Entrenamiento'!F11</f>
        <v>Director/a carrera
Docentes</v>
      </c>
      <c r="I155" s="20" t="str">
        <f>'Universitaria de Entrenamiento'!G11</f>
        <v>Desarrollo del plan de capacitación docente</v>
      </c>
      <c r="J155" s="20" t="str">
        <f>'Universitaria de Entrenamiento'!H11</f>
        <v>Plan de capacitación docente.</v>
      </c>
      <c r="K155" s="62">
        <f>'Universitaria de Entrenamiento'!I11</f>
        <v>0</v>
      </c>
      <c r="L155" s="20" t="str">
        <f>'Universitaria de Entrenamiento'!J11</f>
        <v>$ -</v>
      </c>
      <c r="M155" s="20">
        <f>'Universitaria de Entrenamiento'!K11</f>
        <v>0</v>
      </c>
      <c r="N155" s="20">
        <f>'Universitaria de Entrenamiento'!L11</f>
        <v>0</v>
      </c>
      <c r="O155" s="20" t="str">
        <f>'Universitaria de Entrenamiento'!M11</f>
        <v>NO SE APERTURÓ</v>
      </c>
      <c r="P155" s="20">
        <v>2025</v>
      </c>
    </row>
    <row r="156" spans="1:16" ht="14.25" customHeight="1">
      <c r="A156" s="20" t="s">
        <v>501</v>
      </c>
      <c r="B156" s="20" t="str">
        <f t="shared" ref="B156:B165" si="14">$B$155</f>
        <v>ESTRATEGIA 1</v>
      </c>
      <c r="C156" s="20" t="str">
        <f>$C$155</f>
        <v>OBJETIVO OPERATIVO 1</v>
      </c>
      <c r="D156" s="20" t="str">
        <f>'Universitaria de Entrenamiento'!B12</f>
        <v>FALSE</v>
      </c>
      <c r="E156" s="20" t="str">
        <f>'Universitaria de Entrenamiento'!C12</f>
        <v>Baja</v>
      </c>
      <c r="F156" s="20" t="str">
        <f>'Universitaria de Entrenamiento'!D12</f>
        <v>2025-II ( fin ciclo)</v>
      </c>
      <c r="G156" s="20" t="str">
        <f>'Universitaria de Entrenamiento'!E12</f>
        <v>Ejecutar las capacitaciones planificadas.</v>
      </c>
      <c r="H156" s="20" t="str">
        <f>'Universitaria de Entrenamiento'!F12</f>
        <v>Director/a carrera
Docentes</v>
      </c>
      <c r="I156" s="20" t="str">
        <f>'Universitaria de Entrenamiento'!G12</f>
        <v>informar sobre el plan de capacitación docente</v>
      </c>
      <c r="J156" s="20" t="str">
        <f>'Universitaria de Entrenamiento'!H12</f>
        <v>Informe de ejecución del plan de capacitación docente.</v>
      </c>
      <c r="K156" s="62">
        <f>'Universitaria de Entrenamiento'!I12</f>
        <v>0</v>
      </c>
      <c r="L156" s="20" t="str">
        <f>'Universitaria de Entrenamiento'!J12</f>
        <v>$ -</v>
      </c>
      <c r="M156" s="20">
        <f>'Universitaria de Entrenamiento'!K12</f>
        <v>0</v>
      </c>
      <c r="N156" s="20">
        <f>'Universitaria de Entrenamiento'!L12</f>
        <v>0</v>
      </c>
      <c r="O156" s="20" t="str">
        <f>'Universitaria de Entrenamiento'!M12</f>
        <v>NO SE APERTURÓ</v>
      </c>
      <c r="P156" s="20">
        <v>2025</v>
      </c>
    </row>
    <row r="157" spans="1:16" ht="14.25" customHeight="1">
      <c r="A157" s="20" t="s">
        <v>501</v>
      </c>
      <c r="B157" s="20" t="str">
        <f t="shared" si="14"/>
        <v>ESTRATEGIA 1</v>
      </c>
      <c r="C157" s="20" t="str">
        <f>$C$155</f>
        <v>OBJETIVO OPERATIVO 1</v>
      </c>
      <c r="D157" s="20" t="str">
        <f>'Universitaria de Entrenamiento'!B13</f>
        <v>FALSE</v>
      </c>
      <c r="E157" s="20" t="str">
        <f>'Universitaria de Entrenamiento'!C13</f>
        <v>Media</v>
      </c>
      <c r="F157" s="20" t="str">
        <f>'Universitaria de Entrenamiento'!D13</f>
        <v>2025-II( fin ciclo)
2025-I( fin ciclo)</v>
      </c>
      <c r="G157" s="20" t="str">
        <f>'Universitaria de Entrenamiento'!E13</f>
        <v>Entregar los resultados de los procesos de Evaluación al desempeño Docente y acciones realizadas.</v>
      </c>
      <c r="H157" s="20" t="str">
        <f>'Universitaria de Entrenamiento'!F13</f>
        <v>Director/a carrera
Docentes</v>
      </c>
      <c r="I157" s="20" t="str">
        <f>'Universitaria de Entrenamiento'!G13</f>
        <v>Generar una matriz para el registro de entrega de evaluaciones docentes</v>
      </c>
      <c r="J157" s="20" t="str">
        <f>'Universitaria de Entrenamiento'!H13</f>
        <v>Registro de entrega de evaluaciones a los docentes</v>
      </c>
      <c r="K157" s="62">
        <f>'Universitaria de Entrenamiento'!I13</f>
        <v>0</v>
      </c>
      <c r="L157" s="20" t="str">
        <f>'Universitaria de Entrenamiento'!J13</f>
        <v>$ -</v>
      </c>
      <c r="M157" s="20">
        <f>'Universitaria de Entrenamiento'!K13</f>
        <v>0</v>
      </c>
      <c r="N157" s="20">
        <f>'Universitaria de Entrenamiento'!L13</f>
        <v>0</v>
      </c>
      <c r="O157" s="20" t="str">
        <f>'Universitaria de Entrenamiento'!M13</f>
        <v>NO SE APERTURÓ</v>
      </c>
      <c r="P157" s="20">
        <v>2025</v>
      </c>
    </row>
    <row r="158" spans="1:16" ht="14.25" customHeight="1">
      <c r="A158" s="20" t="s">
        <v>501</v>
      </c>
      <c r="B158" s="20" t="str">
        <f t="shared" si="14"/>
        <v>ESTRATEGIA 1</v>
      </c>
      <c r="C158" s="20" t="str">
        <f>'Universitaria de Entrenamiento'!E14</f>
        <v>OBJETIVO OPERATIVO 2</v>
      </c>
      <c r="D158" s="20" t="str">
        <f>'Universitaria de Entrenamiento'!B15</f>
        <v>FALSE</v>
      </c>
      <c r="E158" s="20" t="str">
        <f>'Universitaria de Entrenamiento'!C15</f>
        <v>Baja</v>
      </c>
      <c r="F158" s="20" t="str">
        <f>'Universitaria de Entrenamiento'!D15</f>
        <v>2025-I (inicio ciclo)
2025-II(inicio ciclo)</v>
      </c>
      <c r="G158" s="20" t="str">
        <f>'Universitaria de Entrenamiento'!E15</f>
        <v>Socializar con los docentes el uso adecuado de la plataforma Moodle.</v>
      </c>
      <c r="H158" s="20" t="str">
        <f>'Universitaria de Entrenamiento'!F15</f>
        <v>Responsable de Moodle de la carrera</v>
      </c>
      <c r="I158" s="20" t="str">
        <f>'Universitaria de Entrenamiento'!G15</f>
        <v>Realizar la socialización y generar un informe sobre el uso del Moodle</v>
      </c>
      <c r="J158" s="20" t="str">
        <f>'Universitaria de Entrenamiento'!H15</f>
        <v>Informe de socialización / inducción a los docentes</v>
      </c>
      <c r="K158" s="62">
        <f>'Universitaria de Entrenamiento'!I15</f>
        <v>0</v>
      </c>
      <c r="L158" s="20" t="str">
        <f>'Universitaria de Entrenamiento'!J15</f>
        <v>$ -</v>
      </c>
      <c r="M158" s="20">
        <f>'Universitaria de Entrenamiento'!K15</f>
        <v>0</v>
      </c>
      <c r="N158" s="20">
        <f>'Universitaria de Entrenamiento'!L15</f>
        <v>0</v>
      </c>
      <c r="O158" s="20" t="str">
        <f>'Universitaria de Entrenamiento'!M15</f>
        <v>NO SE APERTURÓ</v>
      </c>
      <c r="P158" s="20">
        <v>2025</v>
      </c>
    </row>
    <row r="159" spans="1:16" ht="14.25" customHeight="1">
      <c r="A159" s="20" t="s">
        <v>501</v>
      </c>
      <c r="B159" s="20" t="str">
        <f t="shared" si="14"/>
        <v>ESTRATEGIA 1</v>
      </c>
      <c r="C159" s="20" t="str">
        <f>$C$158</f>
        <v>OBJETIVO OPERATIVO 2</v>
      </c>
      <c r="D159" s="20" t="str">
        <f>'Universitaria de Entrenamiento'!B16</f>
        <v>FALSE</v>
      </c>
      <c r="E159" s="20" t="str">
        <f>'Universitaria de Entrenamiento'!C16</f>
        <v>Media</v>
      </c>
      <c r="F159" s="20" t="str">
        <f>'Universitaria de Entrenamiento'!D16</f>
        <v>2025-II( fin ciclo)
2025-I( fin ciclo)</v>
      </c>
      <c r="G159" s="20" t="str">
        <f>'Universitaria de Entrenamiento'!E16</f>
        <v>Revisar el aporte de cada docente en la plataforma Moodle</v>
      </c>
      <c r="H159" s="20" t="str">
        <f>'Universitaria de Entrenamiento'!F16</f>
        <v>Responsable de Moodle de la carrera</v>
      </c>
      <c r="I159" s="20" t="str">
        <f>'Universitaria de Entrenamiento'!G16</f>
        <v>Controlar el uso adecuado de la plataforma y generar un informe.</v>
      </c>
      <c r="J159" s="20" t="str">
        <f>'Universitaria de Entrenamiento'!H16</f>
        <v>Informe de actividades en la plataforma Moodle.</v>
      </c>
      <c r="K159" s="62">
        <f>'Universitaria de Entrenamiento'!I16</f>
        <v>0</v>
      </c>
      <c r="L159" s="20" t="str">
        <f>'Universitaria de Entrenamiento'!J16</f>
        <v>$ -</v>
      </c>
      <c r="M159" s="20">
        <f>'Universitaria de Entrenamiento'!K16</f>
        <v>0</v>
      </c>
      <c r="N159" s="20">
        <f>'Universitaria de Entrenamiento'!L16</f>
        <v>0</v>
      </c>
      <c r="O159" s="20" t="str">
        <f>'Universitaria de Entrenamiento'!M16</f>
        <v>NO SE APERTURÓ</v>
      </c>
      <c r="P159" s="20">
        <v>2025</v>
      </c>
    </row>
    <row r="160" spans="1:16" ht="14.25" customHeight="1">
      <c r="A160" s="20" t="s">
        <v>501</v>
      </c>
      <c r="B160" s="20" t="str">
        <f t="shared" si="14"/>
        <v>ESTRATEGIA 1</v>
      </c>
      <c r="C160" s="20" t="str">
        <f>'Universitaria de Entrenamiento'!E17</f>
        <v>OBJETIVO OPERATIVO 3</v>
      </c>
      <c r="D160" s="20" t="str">
        <f>'Universitaria de Entrenamiento'!B18</f>
        <v>FALSE</v>
      </c>
      <c r="E160" s="20" t="str">
        <f>'Universitaria de Entrenamiento'!C18</f>
        <v>Alta</v>
      </c>
      <c r="F160" s="20" t="str">
        <f>'Universitaria de Entrenamiento'!D18</f>
        <v>2025-I(inicio ciclo)
2025-II (inicio ciclo)</v>
      </c>
      <c r="G160" s="20" t="str">
        <f>'Universitaria de Entrenamiento'!E18</f>
        <v>Planificar y desarrollar una reunión del colectivo académico</v>
      </c>
      <c r="H160" s="20" t="str">
        <f>'Universitaria de Entrenamiento'!F18</f>
        <v>Director/a carrera</v>
      </c>
      <c r="I160" s="20" t="str">
        <f>'Universitaria de Entrenamiento'!G18</f>
        <v>Realizar y evidenciar los colectivos académicos</v>
      </c>
      <c r="J160" s="20" t="str">
        <f>'Universitaria de Entrenamiento'!H18</f>
        <v>Convocatoria al colectivo de académico</v>
      </c>
      <c r="K160" s="62">
        <f>'Universitaria de Entrenamiento'!I18</f>
        <v>0</v>
      </c>
      <c r="L160" s="20" t="str">
        <f>'Universitaria de Entrenamiento'!J18</f>
        <v>$ -</v>
      </c>
      <c r="M160" s="20">
        <f>'Universitaria de Entrenamiento'!K18</f>
        <v>0</v>
      </c>
      <c r="N160" s="20">
        <f>'Universitaria de Entrenamiento'!L18</f>
        <v>0</v>
      </c>
      <c r="O160" s="20" t="str">
        <f>'Universitaria de Entrenamiento'!M18</f>
        <v>NO SE APERTURÓ</v>
      </c>
      <c r="P160" s="20">
        <v>2025</v>
      </c>
    </row>
    <row r="161" spans="1:16" ht="14.25" customHeight="1">
      <c r="A161" s="20" t="s">
        <v>501</v>
      </c>
      <c r="B161" s="20" t="str">
        <f t="shared" si="14"/>
        <v>ESTRATEGIA 1</v>
      </c>
      <c r="C161" s="20" t="str">
        <f>$C$160</f>
        <v>OBJETIVO OPERATIVO 3</v>
      </c>
      <c r="D161" s="20" t="str">
        <f>'Universitaria de Entrenamiento'!B19</f>
        <v>FALSE</v>
      </c>
      <c r="E161" s="20" t="str">
        <f>'Universitaria de Entrenamiento'!C19</f>
        <v>Media</v>
      </c>
      <c r="F161" s="20" t="str">
        <f>'Universitaria de Entrenamiento'!D19</f>
        <v>2025-II(fin de ciclo)
2025-I(fin de ciclo)</v>
      </c>
      <c r="G161" s="20" t="str">
        <f>'Universitaria de Entrenamiento'!E19</f>
        <v>Revisión y actualización de los PEAS</v>
      </c>
      <c r="H161" s="20" t="str">
        <f>'Universitaria de Entrenamiento'!F19</f>
        <v>Director/a carrera
Docentes</v>
      </c>
      <c r="I161" s="20" t="str">
        <f>'Universitaria de Entrenamiento'!G19</f>
        <v>Revisar si la bibliografía de la carrera es la adecuada en colectivos según PEAS y Colectivos para el acervo bibliográfico</v>
      </c>
      <c r="J161" s="20" t="str">
        <f>'Universitaria de Entrenamiento'!H19</f>
        <v>Acervo bibliográfico de todas las asignaturas de la carrera, Informes de colectivos y PEAS revisados</v>
      </c>
      <c r="K161" s="62">
        <f>'Universitaria de Entrenamiento'!I19</f>
        <v>0</v>
      </c>
      <c r="L161" s="20" t="str">
        <f>'Universitaria de Entrenamiento'!J19</f>
        <v>$ -</v>
      </c>
      <c r="M161" s="20">
        <f>'Universitaria de Entrenamiento'!K19</f>
        <v>0</v>
      </c>
      <c r="N161" s="20">
        <f>'Universitaria de Entrenamiento'!L19</f>
        <v>0</v>
      </c>
      <c r="O161" s="20" t="str">
        <f>'Universitaria de Entrenamiento'!M19</f>
        <v>NO SE APERTURÓ</v>
      </c>
      <c r="P161" s="20">
        <v>2025</v>
      </c>
    </row>
    <row r="162" spans="1:16" ht="14.25" customHeight="1">
      <c r="A162" s="20" t="s">
        <v>501</v>
      </c>
      <c r="B162" s="20" t="str">
        <f t="shared" si="14"/>
        <v>ESTRATEGIA 1</v>
      </c>
      <c r="C162" s="20" t="str">
        <f>$C$160</f>
        <v>OBJETIVO OPERATIVO 3</v>
      </c>
      <c r="D162" s="20" t="str">
        <f>'Universitaria de Entrenamiento'!B20</f>
        <v>FALSE</v>
      </c>
      <c r="E162" s="20" t="str">
        <f>'Universitaria de Entrenamiento'!C20</f>
        <v>Media</v>
      </c>
      <c r="F162" s="20" t="str">
        <f>'Universitaria de Entrenamiento'!D20</f>
        <v>2025-II(fin de ciclo)
2025-I(fin de ciclo)</v>
      </c>
      <c r="G162" s="20" t="str">
        <f>'Universitaria de Entrenamiento'!E20</f>
        <v>Actas de reunión por colectivo académico</v>
      </c>
      <c r="H162" s="20" t="str">
        <f>'Universitaria de Entrenamiento'!F20</f>
        <v>Director/a carrera
Docentes</v>
      </c>
      <c r="I162" s="20" t="str">
        <f>'Universitaria de Entrenamiento'!G20</f>
        <v>Evidenciar el trabajo de colectivos</v>
      </c>
      <c r="J162" s="20" t="str">
        <f>'Universitaria de Entrenamiento'!H20</f>
        <v>Actas de colectivos</v>
      </c>
      <c r="K162" s="62">
        <f>'Universitaria de Entrenamiento'!I20</f>
        <v>0</v>
      </c>
      <c r="L162" s="20" t="str">
        <f>'Universitaria de Entrenamiento'!J20</f>
        <v>$ -</v>
      </c>
      <c r="M162" s="20">
        <f>'Universitaria de Entrenamiento'!K20</f>
        <v>0</v>
      </c>
      <c r="N162" s="20">
        <f>'Universitaria de Entrenamiento'!L20</f>
        <v>0</v>
      </c>
      <c r="O162" s="20" t="str">
        <f>'Universitaria de Entrenamiento'!M20</f>
        <v>NO SE APERTURÓ</v>
      </c>
      <c r="P162" s="20">
        <v>2025</v>
      </c>
    </row>
    <row r="163" spans="1:16" ht="14.25" customHeight="1">
      <c r="A163" s="20" t="s">
        <v>501</v>
      </c>
      <c r="B163" s="20" t="str">
        <f t="shared" si="14"/>
        <v>ESTRATEGIA 1</v>
      </c>
      <c r="C163" s="20" t="str">
        <f>'Universitaria de Entrenamiento'!E21</f>
        <v>OBJETIVO OPERATIVO 4</v>
      </c>
      <c r="D163" s="20" t="str">
        <f>'Universitaria de Entrenamiento'!B22</f>
        <v>FALSE</v>
      </c>
      <c r="E163" s="20" t="str">
        <f>'Universitaria de Entrenamiento'!C22</f>
        <v>Baja</v>
      </c>
      <c r="F163" s="20" t="str">
        <f>'Universitaria de Entrenamiento'!D22</f>
        <v>2025-I(inicio ciclo)
2025-II (inicio ciclo)</v>
      </c>
      <c r="G163" s="20" t="str">
        <f>'Universitaria de Entrenamiento'!E22</f>
        <v>Recopilar las fichas de afinidad de los docentes de acuerdo al nivel de estudio.</v>
      </c>
      <c r="H163" s="20" t="str">
        <f>'Universitaria de Entrenamiento'!F22</f>
        <v>Director/a carrera</v>
      </c>
      <c r="I163" s="20" t="str">
        <f>'Universitaria de Entrenamiento'!G22</f>
        <v>Mantener actualizadas las fichas de afinidad de los docentes de acuerdo a la pertinencia en la carrera</v>
      </c>
      <c r="J163" s="20" t="str">
        <f>'Universitaria de Entrenamiento'!H22</f>
        <v>Fichas de afinidad de los docentes.</v>
      </c>
      <c r="K163" s="62">
        <f>'Universitaria de Entrenamiento'!I22</f>
        <v>0</v>
      </c>
      <c r="L163" s="20" t="str">
        <f>'Universitaria de Entrenamiento'!J22</f>
        <v>$ -</v>
      </c>
      <c r="M163" s="20">
        <f>'Universitaria de Entrenamiento'!K22</f>
        <v>0</v>
      </c>
      <c r="N163" s="20">
        <f>'Universitaria de Entrenamiento'!L22</f>
        <v>0</v>
      </c>
      <c r="O163" s="20" t="str">
        <f>'Universitaria de Entrenamiento'!M22</f>
        <v>NO SE APERTURÓ</v>
      </c>
      <c r="P163" s="20">
        <v>2025</v>
      </c>
    </row>
    <row r="164" spans="1:16" ht="14.25" customHeight="1">
      <c r="A164" s="20" t="s">
        <v>501</v>
      </c>
      <c r="B164" s="20" t="str">
        <f t="shared" si="14"/>
        <v>ESTRATEGIA 1</v>
      </c>
      <c r="C164" s="20" t="str">
        <f>$C$163</f>
        <v>OBJETIVO OPERATIVO 4</v>
      </c>
      <c r="D164" s="20">
        <f>'Universitaria de Entrenamiento'!B23</f>
        <v>0</v>
      </c>
      <c r="E164" s="20" t="str">
        <f>'Universitaria de Entrenamiento'!C23</f>
        <v>Alta</v>
      </c>
      <c r="F164" s="20" t="str">
        <f>'Universitaria de Entrenamiento'!D23</f>
        <v>2025-I(inicio de ciclo)
2025-II(inicio de ciclo)</v>
      </c>
      <c r="G164" s="20" t="str">
        <f>'Universitaria de Entrenamiento'!E23</f>
        <v>Elaboración del distributivo docente de la carrera</v>
      </c>
      <c r="H164" s="20" t="str">
        <f>'Universitaria de Entrenamiento'!F23</f>
        <v>Director/a carrera</v>
      </c>
      <c r="I164" s="20" t="str">
        <f>'Universitaria de Entrenamiento'!G23</f>
        <v>Evidenciar la carga horaria y distributivos de los docentes</v>
      </c>
      <c r="J164" s="20" t="str">
        <f>'Universitaria de Entrenamiento'!H23</f>
        <v>Distributivo docente aprobado.</v>
      </c>
      <c r="K164" s="62">
        <f>'Universitaria de Entrenamiento'!I23</f>
        <v>0</v>
      </c>
      <c r="L164" s="20" t="str">
        <f>'Universitaria de Entrenamiento'!J23</f>
        <v>$ -</v>
      </c>
      <c r="M164" s="20">
        <f>'Universitaria de Entrenamiento'!K23</f>
        <v>0</v>
      </c>
      <c r="N164" s="20">
        <f>'Universitaria de Entrenamiento'!L23</f>
        <v>0</v>
      </c>
      <c r="O164" s="20" t="str">
        <f>'Universitaria de Entrenamiento'!M23</f>
        <v>NO SE APERTURÓ</v>
      </c>
      <c r="P164" s="20">
        <v>2025</v>
      </c>
    </row>
    <row r="165" spans="1:16" ht="14.25" customHeight="1">
      <c r="A165" s="20" t="s">
        <v>501</v>
      </c>
      <c r="B165" s="20" t="str">
        <f t="shared" si="14"/>
        <v>ESTRATEGIA 1</v>
      </c>
      <c r="C165" s="20" t="str">
        <f>$C$163</f>
        <v>OBJETIVO OPERATIVO 4</v>
      </c>
      <c r="D165" s="20" t="str">
        <f>'Universitaria de Entrenamiento'!B24</f>
        <v>FALSE</v>
      </c>
      <c r="E165" s="20" t="str">
        <f>'Universitaria de Entrenamiento'!C24</f>
        <v>Media</v>
      </c>
      <c r="F165" s="20" t="str">
        <f>'Universitaria de Entrenamiento'!D24</f>
        <v>2025-I(inicio de ciclo)
2025-II(inicio de ciclo)</v>
      </c>
      <c r="G165" s="20" t="str">
        <f>'Universitaria de Entrenamiento'!E24</f>
        <v>Designar responsables de la administración de la plataforma, tutorías , prácticas, vinculación , etc.</v>
      </c>
      <c r="H165" s="20" t="str">
        <f>'Universitaria de Entrenamiento'!F24</f>
        <v>Director/a carrera</v>
      </c>
      <c r="I165" s="20" t="str">
        <f>'Universitaria de Entrenamiento'!G24</f>
        <v>Realizar las designaciones y evidenciar los responsables y tutores de la carrera</v>
      </c>
      <c r="J165" s="20" t="str">
        <f>'Universitaria de Entrenamiento'!H24</f>
        <v>Oficios de designaciones de responsables.</v>
      </c>
      <c r="K165" s="62">
        <f>'Universitaria de Entrenamiento'!I24</f>
        <v>0</v>
      </c>
      <c r="L165" s="20" t="str">
        <f>'Universitaria de Entrenamiento'!J24</f>
        <v>$ -</v>
      </c>
      <c r="M165" s="20">
        <f>'Universitaria de Entrenamiento'!K24</f>
        <v>0</v>
      </c>
      <c r="N165" s="20">
        <f>'Universitaria de Entrenamiento'!L24</f>
        <v>0</v>
      </c>
      <c r="O165" s="20" t="str">
        <f>'Universitaria de Entrenamiento'!M24</f>
        <v>NO SE APERTURÓ</v>
      </c>
      <c r="P165" s="20">
        <v>2025</v>
      </c>
    </row>
    <row r="166" spans="1:16" ht="14.25" customHeight="1">
      <c r="A166" s="20" t="s">
        <v>501</v>
      </c>
      <c r="B166" s="20" t="str">
        <f>'Universitaria de Entrenamiento'!B25</f>
        <v>ESTRATEGIA 2</v>
      </c>
      <c r="C166" s="20" t="str">
        <f>'Universitaria de Entrenamiento'!E25</f>
        <v>OBJETIVO OPERATIVO 1</v>
      </c>
      <c r="D166" s="20" t="str">
        <f>'Universitaria de Entrenamiento'!B26</f>
        <v>FALSE</v>
      </c>
      <c r="E166" s="20" t="str">
        <f>'Universitaria de Entrenamiento'!C26</f>
        <v>Alta</v>
      </c>
      <c r="F166" s="20" t="str">
        <f>'Universitaria de Entrenamiento'!D26</f>
        <v>2025-I(Inicio de ciclo)
2025-II(Inicio de ciclo)</v>
      </c>
      <c r="G166" s="20" t="str">
        <f>'Universitaria de Entrenamiento'!E26</f>
        <v>Elaborar y presentar el calendario de actividades de la o las carreras, horarios de clases y laboratorios.</v>
      </c>
      <c r="H166" s="20" t="str">
        <f>'Universitaria de Entrenamiento'!F26</f>
        <v>Director/a carrera</v>
      </c>
      <c r="I166" s="20" t="str">
        <f>'Universitaria de Entrenamiento'!G26</f>
        <v>Realizar los documentos necesarios para el desarrollo de las actividades de cada periodo de la carrera</v>
      </c>
      <c r="J166" s="20" t="str">
        <f>'Universitaria de Entrenamiento'!H26</f>
        <v>Calendario y horarios aprobados</v>
      </c>
      <c r="K166" s="62">
        <f>'Universitaria de Entrenamiento'!I26</f>
        <v>0</v>
      </c>
      <c r="L166" s="20" t="str">
        <f>'Universitaria de Entrenamiento'!J26</f>
        <v>$ -</v>
      </c>
      <c r="M166" s="20">
        <f>'Universitaria de Entrenamiento'!K26</f>
        <v>0</v>
      </c>
      <c r="N166" s="20">
        <f>'Universitaria de Entrenamiento'!L26</f>
        <v>0</v>
      </c>
      <c r="O166" s="20" t="str">
        <f>'Universitaria de Entrenamiento'!M26</f>
        <v>NO SE APERTURÓ</v>
      </c>
      <c r="P166" s="20">
        <v>2025</v>
      </c>
    </row>
    <row r="167" spans="1:16" ht="14.25" customHeight="1">
      <c r="A167" s="20" t="s">
        <v>501</v>
      </c>
      <c r="B167" s="20" t="str">
        <f t="shared" ref="B167:B177" si="15">$B$166</f>
        <v>ESTRATEGIA 2</v>
      </c>
      <c r="C167" s="20" t="str">
        <f t="shared" ref="C167:C177" si="16">$C$166</f>
        <v>OBJETIVO OPERATIVO 1</v>
      </c>
      <c r="D167" s="20" t="str">
        <f>'Universitaria de Entrenamiento'!B27</f>
        <v>FALSE</v>
      </c>
      <c r="E167" s="20" t="str">
        <f>'Universitaria de Entrenamiento'!C27</f>
        <v>Media</v>
      </c>
      <c r="F167" s="20" t="str">
        <f>'Universitaria de Entrenamiento'!D27</f>
        <v>2025-I(Todo el ciclo)
2025-II(Todo de ciclo)</v>
      </c>
      <c r="G167" s="20" t="str">
        <f>'Universitaria de Entrenamiento'!E27</f>
        <v>Requerimiento y aprobación de Documentos académicos. (Sílabos, guías practicas e informes de avance de Silabo)</v>
      </c>
      <c r="H167" s="20" t="str">
        <f>'Universitaria de Entrenamiento'!F27</f>
        <v>Director/a carrera - gestor académico</v>
      </c>
      <c r="I167" s="20" t="str">
        <f>'Universitaria de Entrenamiento'!G27</f>
        <v>Solicitud de documentos académicos por materias</v>
      </c>
      <c r="J167" s="20" t="str">
        <f>'Universitaria de Entrenamiento'!H27</f>
        <v>Documentación aprobada.</v>
      </c>
      <c r="K167" s="62">
        <f>'Universitaria de Entrenamiento'!I27</f>
        <v>0</v>
      </c>
      <c r="L167" s="20" t="str">
        <f>'Universitaria de Entrenamiento'!J27</f>
        <v>$ -</v>
      </c>
      <c r="M167" s="20">
        <f>'Universitaria de Entrenamiento'!K27</f>
        <v>0</v>
      </c>
      <c r="N167" s="20">
        <f>'Universitaria de Entrenamiento'!L27</f>
        <v>0</v>
      </c>
      <c r="O167" s="20" t="str">
        <f>'Universitaria de Entrenamiento'!M27</f>
        <v>NO SE APERTURÓ</v>
      </c>
      <c r="P167" s="20">
        <v>2025</v>
      </c>
    </row>
    <row r="168" spans="1:16" ht="14.25" customHeight="1">
      <c r="A168" s="20" t="s">
        <v>501</v>
      </c>
      <c r="B168" s="20" t="str">
        <f t="shared" si="15"/>
        <v>ESTRATEGIA 2</v>
      </c>
      <c r="C168" s="20" t="str">
        <f t="shared" si="16"/>
        <v>OBJETIVO OPERATIVO 1</v>
      </c>
      <c r="D168" s="20" t="str">
        <f>'Universitaria de Entrenamiento'!B28</f>
        <v>FALSE</v>
      </c>
      <c r="E168" s="20" t="str">
        <f>'Universitaria de Entrenamiento'!C28</f>
        <v>Media</v>
      </c>
      <c r="F168" s="20" t="str">
        <f>'Universitaria de Entrenamiento'!D28</f>
        <v>2025-I(Todo el ciclo)
2025-II(Todo de ciclo)</v>
      </c>
      <c r="G168" s="20" t="str">
        <f>'Universitaria de Entrenamiento'!E28</f>
        <v>Seguimiento al cumplimiento de la documentación académica.</v>
      </c>
      <c r="H168" s="20" t="str">
        <f>'Universitaria de Entrenamiento'!F28</f>
        <v>Director/a carrera - gestor académico</v>
      </c>
      <c r="I168" s="20" t="str">
        <f>'Universitaria de Entrenamiento'!G28</f>
        <v>Revisión de documentos académicos por materias</v>
      </c>
      <c r="J168" s="20" t="str">
        <f>'Universitaria de Entrenamiento'!H28</f>
        <v>Informe de carrera sobre la documentación recibida.</v>
      </c>
      <c r="K168" s="62">
        <f>'Universitaria de Entrenamiento'!I28</f>
        <v>0</v>
      </c>
      <c r="L168" s="20" t="str">
        <f>'Universitaria de Entrenamiento'!J28</f>
        <v>$ -</v>
      </c>
      <c r="M168" s="20">
        <f>'Universitaria de Entrenamiento'!K28</f>
        <v>0</v>
      </c>
      <c r="N168" s="20">
        <f>'Universitaria de Entrenamiento'!L28</f>
        <v>0</v>
      </c>
      <c r="O168" s="20" t="str">
        <f>'Universitaria de Entrenamiento'!M28</f>
        <v>NO SE APERTURÓ</v>
      </c>
      <c r="P168" s="20">
        <v>2025</v>
      </c>
    </row>
    <row r="169" spans="1:16" ht="14.25" customHeight="1">
      <c r="A169" s="20" t="s">
        <v>501</v>
      </c>
      <c r="B169" s="20" t="str">
        <f t="shared" si="15"/>
        <v>ESTRATEGIA 2</v>
      </c>
      <c r="C169" s="20" t="str">
        <f t="shared" si="16"/>
        <v>OBJETIVO OPERATIVO 1</v>
      </c>
      <c r="D169" s="20" t="str">
        <f>'Universitaria de Entrenamiento'!B29</f>
        <v>FALSE</v>
      </c>
      <c r="E169" s="20" t="str">
        <f>'Universitaria de Entrenamiento'!C29</f>
        <v>Baja</v>
      </c>
      <c r="F169" s="20" t="str">
        <f>'Universitaria de Entrenamiento'!D29</f>
        <v>2025-I(Todo el ciclo)
2025-II(Todo de ciclo)</v>
      </c>
      <c r="G169" s="20" t="str">
        <f>'Universitaria de Entrenamiento'!E29</f>
        <v>Reuniones de carrera para socialización y toma de decisiones</v>
      </c>
      <c r="H169" s="20" t="str">
        <f>'Universitaria de Entrenamiento'!F29</f>
        <v>Director/a carrera - gestor académico</v>
      </c>
      <c r="I169" s="20" t="str">
        <f>'Universitaria de Entrenamiento'!G29</f>
        <v>Reuniones de carrera de acuerdo a requerimientos</v>
      </c>
      <c r="J169" s="20" t="str">
        <f>'Universitaria de Entrenamiento'!H29</f>
        <v>Convocatorias, actas e informes de reuniones de carrera.</v>
      </c>
      <c r="K169" s="62">
        <f>'Universitaria de Entrenamiento'!I29</f>
        <v>0</v>
      </c>
      <c r="L169" s="20" t="str">
        <f>'Universitaria de Entrenamiento'!J29</f>
        <v>$ -</v>
      </c>
      <c r="M169" s="20">
        <f>'Universitaria de Entrenamiento'!K29</f>
        <v>0</v>
      </c>
      <c r="N169" s="20">
        <f>'Universitaria de Entrenamiento'!L29</f>
        <v>0</v>
      </c>
      <c r="O169" s="20" t="str">
        <f>'Universitaria de Entrenamiento'!M29</f>
        <v>NO SE APERTURÓ</v>
      </c>
      <c r="P169" s="20">
        <v>2025</v>
      </c>
    </row>
    <row r="170" spans="1:16" ht="14.25" customHeight="1">
      <c r="A170" s="20" t="s">
        <v>501</v>
      </c>
      <c r="B170" s="20" t="str">
        <f t="shared" si="15"/>
        <v>ESTRATEGIA 2</v>
      </c>
      <c r="C170" s="20" t="str">
        <f t="shared" si="16"/>
        <v>OBJETIVO OPERATIVO 1</v>
      </c>
      <c r="D170" s="20" t="str">
        <f>'Universitaria de Entrenamiento'!B30</f>
        <v>FALSE</v>
      </c>
      <c r="E170" s="20" t="str">
        <f>'Universitaria de Entrenamiento'!C30</f>
        <v>Baja</v>
      </c>
      <c r="F170" s="21">
        <f>'Universitaria de Entrenamiento'!D30</f>
        <v>45838</v>
      </c>
      <c r="G170" s="20" t="str">
        <f>'Universitaria de Entrenamiento'!E30</f>
        <v>Informe semestral POA 2025</v>
      </c>
      <c r="H170" s="20" t="str">
        <f>'Universitaria de Entrenamiento'!F30</f>
        <v>Director/a carrera - gestor académico</v>
      </c>
      <c r="I170" s="20" t="str">
        <f>'Universitaria de Entrenamiento'!G30</f>
        <v>Informar sobre el avance del POA</v>
      </c>
      <c r="J170" s="20" t="str">
        <f>'Universitaria de Entrenamiento'!H30</f>
        <v>Informe semestral seguimiento POA 2025</v>
      </c>
      <c r="K170" s="62">
        <f>'Universitaria de Entrenamiento'!I30</f>
        <v>0</v>
      </c>
      <c r="L170" s="20" t="str">
        <f>'Universitaria de Entrenamiento'!J30</f>
        <v>$ -</v>
      </c>
      <c r="M170" s="20">
        <f>'Universitaria de Entrenamiento'!K30</f>
        <v>0</v>
      </c>
      <c r="N170" s="20">
        <f>'Universitaria de Entrenamiento'!L30</f>
        <v>0</v>
      </c>
      <c r="O170" s="20" t="str">
        <f>'Universitaria de Entrenamiento'!M30</f>
        <v>NO SE APERTURÓ</v>
      </c>
      <c r="P170" s="20">
        <v>2025</v>
      </c>
    </row>
    <row r="171" spans="1:16" ht="14.25" customHeight="1">
      <c r="A171" s="20" t="s">
        <v>501</v>
      </c>
      <c r="B171" s="20" t="str">
        <f t="shared" si="15"/>
        <v>ESTRATEGIA 2</v>
      </c>
      <c r="C171" s="20" t="str">
        <f t="shared" si="16"/>
        <v>OBJETIVO OPERATIVO 1</v>
      </c>
      <c r="D171" s="20" t="str">
        <f>'Universitaria de Entrenamiento'!B31</f>
        <v>FALSE</v>
      </c>
      <c r="E171" s="20" t="str">
        <f>'Universitaria de Entrenamiento'!C31</f>
        <v>Baja</v>
      </c>
      <c r="F171" s="21">
        <f>'Universitaria de Entrenamiento'!D31</f>
        <v>45991</v>
      </c>
      <c r="G171" s="20" t="str">
        <f>'Universitaria de Entrenamiento'!E31</f>
        <v>Informe final POA 2025</v>
      </c>
      <c r="H171" s="20" t="str">
        <f>'Universitaria de Entrenamiento'!F31</f>
        <v>Director/a carrera - gestor académico</v>
      </c>
      <c r="I171" s="20" t="str">
        <f>'Universitaria de Entrenamiento'!G31</f>
        <v>Informar sobre el alcance final del POA</v>
      </c>
      <c r="J171" s="20" t="str">
        <f>'Universitaria de Entrenamiento'!H31</f>
        <v>Informe final POA 2025</v>
      </c>
      <c r="K171" s="62">
        <f>'Universitaria de Entrenamiento'!I31</f>
        <v>0</v>
      </c>
      <c r="L171" s="20" t="str">
        <f>'Universitaria de Entrenamiento'!J31</f>
        <v>$ -</v>
      </c>
      <c r="M171" s="20">
        <f>'Universitaria de Entrenamiento'!K31</f>
        <v>0</v>
      </c>
      <c r="N171" s="20">
        <f>'Universitaria de Entrenamiento'!L31</f>
        <v>0</v>
      </c>
      <c r="O171" s="20" t="str">
        <f>'Universitaria de Entrenamiento'!M31</f>
        <v>NO SE APERTURÓ</v>
      </c>
      <c r="P171" s="20">
        <v>2025</v>
      </c>
    </row>
    <row r="172" spans="1:16" ht="14.25" customHeight="1">
      <c r="A172" s="20" t="s">
        <v>501</v>
      </c>
      <c r="B172" s="20" t="str">
        <f t="shared" si="15"/>
        <v>ESTRATEGIA 2</v>
      </c>
      <c r="C172" s="20" t="str">
        <f t="shared" si="16"/>
        <v>OBJETIVO OPERATIVO 1</v>
      </c>
      <c r="D172" s="20" t="str">
        <f>'Universitaria de Entrenamiento'!B32</f>
        <v>FALSE</v>
      </c>
      <c r="E172" s="20" t="str">
        <f>'Universitaria de Entrenamiento'!C32</f>
        <v>Baja</v>
      </c>
      <c r="F172" s="21">
        <f>'Universitaria de Entrenamiento'!D32</f>
        <v>46011</v>
      </c>
      <c r="G172" s="20" t="str">
        <f>'Universitaria de Entrenamiento'!E32</f>
        <v>Elaborar la Planificación Operativa Anual 2025</v>
      </c>
      <c r="H172" s="20" t="str">
        <f>'Universitaria de Entrenamiento'!F32</f>
        <v>Director/a carrera - gestor académico</v>
      </c>
      <c r="I172" s="20" t="str">
        <f>'Universitaria de Entrenamiento'!G32</f>
        <v>Realizar la planificación para el 2025</v>
      </c>
      <c r="J172" s="20" t="str">
        <f>'Universitaria de Entrenamiento'!H32</f>
        <v>POA 2025 entregado</v>
      </c>
      <c r="K172" s="62">
        <f>'Universitaria de Entrenamiento'!I32</f>
        <v>0</v>
      </c>
      <c r="L172" s="20" t="str">
        <f>'Universitaria de Entrenamiento'!J32</f>
        <v>$ -</v>
      </c>
      <c r="M172" s="20">
        <f>'Universitaria de Entrenamiento'!K32</f>
        <v>0</v>
      </c>
      <c r="N172" s="20">
        <f>'Universitaria de Entrenamiento'!L32</f>
        <v>0</v>
      </c>
      <c r="O172" s="20" t="str">
        <f>'Universitaria de Entrenamiento'!M32</f>
        <v>NO SE APERTURÓ</v>
      </c>
      <c r="P172" s="20">
        <v>2025</v>
      </c>
    </row>
    <row r="173" spans="1:16" ht="14.25" customHeight="1">
      <c r="A173" s="20" t="s">
        <v>501</v>
      </c>
      <c r="B173" s="20" t="str">
        <f t="shared" si="15"/>
        <v>ESTRATEGIA 2</v>
      </c>
      <c r="C173" s="20" t="str">
        <f t="shared" si="16"/>
        <v>OBJETIVO OPERATIVO 1</v>
      </c>
      <c r="D173" s="20" t="str">
        <f>'Universitaria de Entrenamiento'!B33</f>
        <v>FALSE</v>
      </c>
      <c r="E173" s="20" t="str">
        <f>'Universitaria de Entrenamiento'!C33</f>
        <v>Media</v>
      </c>
      <c r="F173" s="20" t="str">
        <f>'Universitaria de Entrenamiento'!D33</f>
        <v>2025-I (inicio de ciclo)
2025-II (inicio de ciclo)</v>
      </c>
      <c r="G173" s="20" t="str">
        <f>'Universitaria de Entrenamiento'!E33</f>
        <v>Designación de tutores de curso</v>
      </c>
      <c r="H173" s="20" t="str">
        <f>'Universitaria de Entrenamiento'!F33</f>
        <v>Director/a carrera</v>
      </c>
      <c r="I173" s="20" t="str">
        <f>'Universitaria de Entrenamiento'!G33</f>
        <v>Realizar las designaciones y evidenciar los responsables y tutores de la carrera</v>
      </c>
      <c r="J173" s="20" t="str">
        <f>'Universitaria de Entrenamiento'!H33</f>
        <v>Documento de designación de tutores por parte del director de carrera</v>
      </c>
      <c r="K173" s="62">
        <f>'Universitaria de Entrenamiento'!I33</f>
        <v>0</v>
      </c>
      <c r="L173" s="20" t="str">
        <f>'Universitaria de Entrenamiento'!J33</f>
        <v>$ -</v>
      </c>
      <c r="M173" s="20">
        <f>'Universitaria de Entrenamiento'!K33</f>
        <v>0</v>
      </c>
      <c r="N173" s="20">
        <f>'Universitaria de Entrenamiento'!L33</f>
        <v>0</v>
      </c>
      <c r="O173" s="20" t="str">
        <f>'Universitaria de Entrenamiento'!M33</f>
        <v>NO SE APERTURÓ</v>
      </c>
      <c r="P173" s="20">
        <v>2025</v>
      </c>
    </row>
    <row r="174" spans="1:16" ht="14.25" customHeight="1">
      <c r="A174" s="20" t="s">
        <v>501</v>
      </c>
      <c r="B174" s="20" t="str">
        <f t="shared" si="15"/>
        <v>ESTRATEGIA 2</v>
      </c>
      <c r="C174" s="20" t="str">
        <f t="shared" si="16"/>
        <v>OBJETIVO OPERATIVO 1</v>
      </c>
      <c r="D174" s="20" t="str">
        <f>'Universitaria de Entrenamiento'!B34</f>
        <v>FALSE</v>
      </c>
      <c r="E174" s="20" t="str">
        <f>'Universitaria de Entrenamiento'!C34</f>
        <v>Media</v>
      </c>
      <c r="F174" s="20" t="str">
        <f>'Universitaria de Entrenamiento'!D34</f>
        <v>2025-I(Todo el ciclo)
2025-II(Todo el ciclo)</v>
      </c>
      <c r="G174" s="20" t="str">
        <f>'Universitaria de Entrenamiento'!E34</f>
        <v>Ejecutar las actividades de la fase de SEGUIMIENTO del modelo metodológico del proceso de Seguimiento Curricular</v>
      </c>
      <c r="H174" s="20" t="str">
        <f>'Universitaria de Entrenamiento'!F34</f>
        <v>Director/a de carrera - Gestor/a académico
Tutores de curso</v>
      </c>
      <c r="I174" s="20" t="str">
        <f>'Universitaria de Entrenamiento'!G34</f>
        <v>Realizar el Seguimiento del modelo metodológico</v>
      </c>
      <c r="J174" s="20" t="str">
        <f>'Universitaria de Entrenamiento'!H34</f>
        <v>Fase SEGUIMIENTO:
INICIO: Socialización de Tutorías Académicas
DURANTE: Registro de Calificaciones del Primer Parcial
FINAL : Registro de Calificación Finales</v>
      </c>
      <c r="K174" s="62">
        <f>'Universitaria de Entrenamiento'!I34</f>
        <v>0</v>
      </c>
      <c r="L174" s="20" t="str">
        <f>'Universitaria de Entrenamiento'!J34</f>
        <v>$ -</v>
      </c>
      <c r="M174" s="20">
        <f>'Universitaria de Entrenamiento'!K34</f>
        <v>0</v>
      </c>
      <c r="N174" s="20">
        <f>'Universitaria de Entrenamiento'!L34</f>
        <v>0</v>
      </c>
      <c r="O174" s="20" t="str">
        <f>'Universitaria de Entrenamiento'!M34</f>
        <v>NO SE APERTURÓ</v>
      </c>
      <c r="P174" s="20">
        <v>2025</v>
      </c>
    </row>
    <row r="175" spans="1:16" ht="14.25" customHeight="1">
      <c r="A175" s="20" t="s">
        <v>501</v>
      </c>
      <c r="B175" s="20" t="str">
        <f t="shared" si="15"/>
        <v>ESTRATEGIA 2</v>
      </c>
      <c r="C175" s="20" t="str">
        <f t="shared" si="16"/>
        <v>OBJETIVO OPERATIVO 1</v>
      </c>
      <c r="D175" s="20" t="str">
        <f>'Universitaria de Entrenamiento'!B35</f>
        <v>FALSE</v>
      </c>
      <c r="E175" s="20" t="str">
        <f>'Universitaria de Entrenamiento'!C35</f>
        <v>Media</v>
      </c>
      <c r="F175" s="20" t="str">
        <f>'Universitaria de Entrenamiento'!D35</f>
        <v>2025-I(Todo el ciclo)
2025-II(Todo el ciclo)</v>
      </c>
      <c r="G175" s="20" t="str">
        <f>'Universitaria de Entrenamiento'!E35</f>
        <v>Ejecutar las actividades de la fase de CONTROL del modelo metodológico del proceso de Seguimiento Curricular</v>
      </c>
      <c r="H175" s="20" t="str">
        <f>'Universitaria de Entrenamiento'!F35</f>
        <v>Director/a de carrera - Gestor/a académico
Tutores de curso</v>
      </c>
      <c r="I175" s="20" t="str">
        <f>'Universitaria de Entrenamiento'!G35</f>
        <v>Realizar el Control del modelo metodológico</v>
      </c>
      <c r="J175" s="20" t="str">
        <f>'Universitaria de Entrenamiento'!H35</f>
        <v>Fase CONTROL:
INICIO: Matriz consolidada de resultados de Pruebas de Diagnostico
DURANTE: Matriz consolidada de resultados de Calificaciones del Primer Parcial
FINAL : Matriz consolidada de resultados de Calificaciones Finales</v>
      </c>
      <c r="K175" s="62">
        <f>'Universitaria de Entrenamiento'!I35</f>
        <v>0</v>
      </c>
      <c r="L175" s="20" t="str">
        <f>'Universitaria de Entrenamiento'!J35</f>
        <v>$ -</v>
      </c>
      <c r="M175" s="20">
        <f>'Universitaria de Entrenamiento'!K35</f>
        <v>0</v>
      </c>
      <c r="N175" s="20">
        <f>'Universitaria de Entrenamiento'!L35</f>
        <v>0</v>
      </c>
      <c r="O175" s="20" t="str">
        <f>'Universitaria de Entrenamiento'!M35</f>
        <v>NO SE APERTURÓ</v>
      </c>
      <c r="P175" s="20">
        <v>2025</v>
      </c>
    </row>
    <row r="176" spans="1:16" ht="14.25" customHeight="1">
      <c r="A176" s="20" t="s">
        <v>501</v>
      </c>
      <c r="B176" s="20" t="str">
        <f t="shared" si="15"/>
        <v>ESTRATEGIA 2</v>
      </c>
      <c r="C176" s="20" t="str">
        <f t="shared" si="16"/>
        <v>OBJETIVO OPERATIVO 1</v>
      </c>
      <c r="D176" s="20" t="str">
        <f>'Universitaria de Entrenamiento'!B36</f>
        <v>FALSE</v>
      </c>
      <c r="E176" s="20" t="str">
        <f>'Universitaria de Entrenamiento'!C36</f>
        <v>Media</v>
      </c>
      <c r="F176" s="20" t="str">
        <f>'Universitaria de Entrenamiento'!D36</f>
        <v>2025-I(Todo el ciclo)
2025-II(Todo el ciclo)</v>
      </c>
      <c r="G176" s="20" t="str">
        <f>'Universitaria de Entrenamiento'!E36</f>
        <v>Ejecutar las actividades de la fase de EVALUACIÓN del modelo metodológico del proceso de Seguimiento Curricular</v>
      </c>
      <c r="H176" s="20" t="str">
        <f>'Universitaria de Entrenamiento'!F36</f>
        <v>Director/a de carrera - Gestor/a académico
Tutores de curso</v>
      </c>
      <c r="I176" s="20" t="str">
        <f>'Universitaria de Entrenamiento'!G36</f>
        <v>Realizar la Evaluación del modelo metodológico</v>
      </c>
      <c r="J176" s="20" t="str">
        <f>'Universitaria de Entrenamiento'!H36</f>
        <v>Fase EVALAUCIÓN:
INICIO: Acta de reunión de inicio de ciclo estudiantes
DURANTE: Acta de reunión del Primer Parcial Docentes - Estudiantes
FINAL : Acta de reunión Final - Docentes - Estudiantes</v>
      </c>
      <c r="K176" s="62">
        <f>'Universitaria de Entrenamiento'!I36</f>
        <v>0</v>
      </c>
      <c r="L176" s="20" t="str">
        <f>'Universitaria de Entrenamiento'!J36</f>
        <v>$ -</v>
      </c>
      <c r="M176" s="20">
        <f>'Universitaria de Entrenamiento'!K36</f>
        <v>0</v>
      </c>
      <c r="N176" s="20">
        <f>'Universitaria de Entrenamiento'!L36</f>
        <v>0</v>
      </c>
      <c r="O176" s="20" t="str">
        <f>'Universitaria de Entrenamiento'!M36</f>
        <v>NO SE APERTURÓ</v>
      </c>
      <c r="P176" s="20">
        <v>2025</v>
      </c>
    </row>
    <row r="177" spans="1:16" ht="14.25" customHeight="1">
      <c r="A177" s="20" t="s">
        <v>501</v>
      </c>
      <c r="B177" s="20" t="str">
        <f t="shared" si="15"/>
        <v>ESTRATEGIA 2</v>
      </c>
      <c r="C177" s="20" t="str">
        <f t="shared" si="16"/>
        <v>OBJETIVO OPERATIVO 1</v>
      </c>
      <c r="D177" s="20" t="str">
        <f>'Universitaria de Entrenamiento'!B37</f>
        <v>FALSE</v>
      </c>
      <c r="E177" s="20" t="str">
        <f>'Universitaria de Entrenamiento'!C37</f>
        <v>Baja</v>
      </c>
      <c r="F177" s="20" t="str">
        <f>'Universitaria de Entrenamiento'!D37</f>
        <v>2025-II(Fin de ciclo)
2025-I(Fin de Ciclo)</v>
      </c>
      <c r="G177" s="20" t="str">
        <f>'Universitaria de Entrenamiento'!E37</f>
        <v>Elaboración del Plan de Mejoramiento del proceso enseñanza aprendizaje</v>
      </c>
      <c r="H177" s="20" t="str">
        <f>'Universitaria de Entrenamiento'!F37</f>
        <v>Director/a carrera
Responsable de Seguimiento a graduados de la carrera</v>
      </c>
      <c r="I177" s="20" t="str">
        <f>'Universitaria de Entrenamiento'!G37</f>
        <v>De acuerdo a los resultados generar el Plan de Mejoramiento enseñanza aprendizaje</v>
      </c>
      <c r="J177" s="20" t="str">
        <f>'Universitaria de Entrenamiento'!H37</f>
        <v>Informe de plan de mejoramiento curricular</v>
      </c>
      <c r="K177" s="62">
        <f>'Universitaria de Entrenamiento'!I37</f>
        <v>0</v>
      </c>
      <c r="L177" s="20" t="str">
        <f>'Universitaria de Entrenamiento'!J37</f>
        <v>$ -</v>
      </c>
      <c r="M177" s="20">
        <f>'Universitaria de Entrenamiento'!K37</f>
        <v>0</v>
      </c>
      <c r="N177" s="20">
        <f>'Universitaria de Entrenamiento'!L37</f>
        <v>0</v>
      </c>
      <c r="O177" s="20" t="str">
        <f>'Universitaria de Entrenamiento'!M37</f>
        <v>NO SE APERTURÓ</v>
      </c>
      <c r="P177" s="20">
        <v>2025</v>
      </c>
    </row>
    <row r="178" spans="1:16" ht="14.25" customHeight="1">
      <c r="A178" s="20" t="s">
        <v>501</v>
      </c>
      <c r="B178" s="20" t="str">
        <f t="shared" ref="B178:B183" si="17">$B$177</f>
        <v>ESTRATEGIA 2</v>
      </c>
      <c r="C178" s="20" t="str">
        <f>'Universitaria de Entrenamiento'!E38</f>
        <v>OBJETIVO OPERATIVO 2</v>
      </c>
      <c r="D178" s="20" t="str">
        <f>'Universitaria de Entrenamiento'!B39</f>
        <v>TRUE</v>
      </c>
      <c r="E178" s="20" t="str">
        <f>'Universitaria de Entrenamiento'!C39</f>
        <v>Media</v>
      </c>
      <c r="F178" s="20" t="str">
        <f>'Universitaria de Entrenamiento'!D39</f>
        <v>2025-II(Inicio de ciclo)</v>
      </c>
      <c r="G178" s="20" t="str">
        <f>'Universitaria de Entrenamiento'!E39</f>
        <v>Diseñar, gestionar e implementar cursos o programas de inducción y de actualización para docentes y estudiantes.</v>
      </c>
      <c r="H178" s="20" t="str">
        <f>'Universitaria de Entrenamiento'!F39</f>
        <v>Director/a carrera - gestor académico</v>
      </c>
      <c r="I178" s="20" t="str">
        <f>'Universitaria de Entrenamiento'!G39</f>
        <v>Generar la capacitación docente</v>
      </c>
      <c r="J178" s="20" t="str">
        <f>'Universitaria de Entrenamiento'!H39</f>
        <v>Informes de cursos y o programas.</v>
      </c>
      <c r="K178" s="62">
        <f>'Universitaria de Entrenamiento'!I39</f>
        <v>0</v>
      </c>
      <c r="L178" s="20" t="str">
        <f>'Universitaria de Entrenamiento'!J39</f>
        <v>$ -</v>
      </c>
      <c r="M178" s="20">
        <f>'Universitaria de Entrenamiento'!K39</f>
        <v>0</v>
      </c>
      <c r="N178" s="20">
        <f>'Universitaria de Entrenamiento'!L39</f>
        <v>0</v>
      </c>
      <c r="O178" s="20" t="str">
        <f>'Universitaria de Entrenamiento'!M39</f>
        <v>NO SE APERTURÓ</v>
      </c>
      <c r="P178" s="20">
        <v>2025</v>
      </c>
    </row>
    <row r="179" spans="1:16" ht="14.25" customHeight="1">
      <c r="A179" s="20" t="s">
        <v>501</v>
      </c>
      <c r="B179" s="20" t="str">
        <f t="shared" si="17"/>
        <v>ESTRATEGIA 2</v>
      </c>
      <c r="C179" s="20" t="str">
        <f>$C$178</f>
        <v>OBJETIVO OPERATIVO 2</v>
      </c>
      <c r="D179" s="20" t="str">
        <f>'Universitaria de Entrenamiento'!B40</f>
        <v>TRUE</v>
      </c>
      <c r="E179" s="20" t="str">
        <f>'Universitaria de Entrenamiento'!C40</f>
        <v>Media</v>
      </c>
      <c r="F179" s="20" t="str">
        <f>'Universitaria de Entrenamiento'!D40</f>
        <v>2025-II(Inicio de ciclo)</v>
      </c>
      <c r="G179" s="20" t="str">
        <f>'Universitaria de Entrenamiento'!E40</f>
        <v>Capacitar a los estudiantes sobre la utilización de la Plataforma Moodle.</v>
      </c>
      <c r="H179" s="20" t="str">
        <f>'Universitaria de Entrenamiento'!F40</f>
        <v>responsable plataforma Moodle de la carrera</v>
      </c>
      <c r="I179" s="20" t="str">
        <f>'Universitaria de Entrenamiento'!G40</f>
        <v>Generar la capacitación estudiantil sobre el Moodle</v>
      </c>
      <c r="J179" s="20" t="str">
        <f>'Universitaria de Entrenamiento'!H40</f>
        <v>Informe sobre la capacitación</v>
      </c>
      <c r="K179" s="62">
        <f>'Universitaria de Entrenamiento'!I40</f>
        <v>0</v>
      </c>
      <c r="L179" s="20" t="str">
        <f>'Universitaria de Entrenamiento'!J40</f>
        <v>$ -</v>
      </c>
      <c r="M179" s="20">
        <f>'Universitaria de Entrenamiento'!K40</f>
        <v>0</v>
      </c>
      <c r="N179" s="20">
        <f>'Universitaria de Entrenamiento'!L40</f>
        <v>0</v>
      </c>
      <c r="O179" s="20" t="str">
        <f>'Universitaria de Entrenamiento'!M40</f>
        <v>NO SE APERTURÓ</v>
      </c>
      <c r="P179" s="20">
        <v>2025</v>
      </c>
    </row>
    <row r="180" spans="1:16" ht="14.25" customHeight="1">
      <c r="A180" s="20" t="s">
        <v>501</v>
      </c>
      <c r="B180" s="20" t="str">
        <f t="shared" si="17"/>
        <v>ESTRATEGIA 2</v>
      </c>
      <c r="C180" s="20" t="str">
        <f>$C$178</f>
        <v>OBJETIVO OPERATIVO 2</v>
      </c>
      <c r="D180" s="20" t="str">
        <f>'Universitaria de Entrenamiento'!B41</f>
        <v>TRUE</v>
      </c>
      <c r="E180" s="20" t="str">
        <f>'Universitaria de Entrenamiento'!C41</f>
        <v>Baja</v>
      </c>
      <c r="F180" s="20" t="str">
        <f>'Universitaria de Entrenamiento'!D41</f>
        <v>2025-II(Fin de ciclo)</v>
      </c>
      <c r="G180" s="20" t="str">
        <f>'Universitaria de Entrenamiento'!E41</f>
        <v>Elaborar y ejecutar la planificación de oferta complementaria.</v>
      </c>
      <c r="H180" s="20" t="str">
        <f>'Universitaria de Entrenamiento'!F41</f>
        <v>Docentes de la carrera</v>
      </c>
      <c r="I180" s="20" t="str">
        <f>'Universitaria de Entrenamiento'!G41</f>
        <v>Analizar y realizar la oferta complementaria</v>
      </c>
      <c r="J180" s="20" t="str">
        <f>'Universitaria de Entrenamiento'!H41</f>
        <v>Informe de ejecución de la oferta complementaria.</v>
      </c>
      <c r="K180" s="62">
        <f>'Universitaria de Entrenamiento'!I41</f>
        <v>0</v>
      </c>
      <c r="L180" s="20" t="str">
        <f>'Universitaria de Entrenamiento'!J41</f>
        <v>$ -</v>
      </c>
      <c r="M180" s="20">
        <f>'Universitaria de Entrenamiento'!K41</f>
        <v>0</v>
      </c>
      <c r="N180" s="20">
        <f>'Universitaria de Entrenamiento'!L41</f>
        <v>0</v>
      </c>
      <c r="O180" s="20" t="str">
        <f>'Universitaria de Entrenamiento'!M41</f>
        <v>NO SE APERTURÓ</v>
      </c>
      <c r="P180" s="20">
        <v>2025</v>
      </c>
    </row>
    <row r="181" spans="1:16" ht="14.25" customHeight="1">
      <c r="A181" s="20" t="s">
        <v>501</v>
      </c>
      <c r="B181" s="20" t="str">
        <f t="shared" si="17"/>
        <v>ESTRATEGIA 2</v>
      </c>
      <c r="C181" s="20" t="str">
        <f>'Universitaria de Entrenamiento'!E42</f>
        <v>OBJETIVO OPERATIVO 3</v>
      </c>
      <c r="D181" s="20" t="str">
        <f>'Universitaria de Entrenamiento'!B43</f>
        <v>TRUE</v>
      </c>
      <c r="E181" s="20" t="str">
        <f>'Universitaria de Entrenamiento'!C43</f>
        <v>Alta</v>
      </c>
      <c r="F181" s="20" t="str">
        <f>'Universitaria de Entrenamiento'!D43</f>
        <v>2025-I(Inicio de ciclo)</v>
      </c>
      <c r="G181" s="20" t="str">
        <f>'Universitaria de Entrenamiento'!E43</f>
        <v>Revisión de requisitos de la opción de titulación de los estudiantes.</v>
      </c>
      <c r="H181" s="20" t="str">
        <f>'Universitaria de Entrenamiento'!F43</f>
        <v>Director de carrera / Coordinador de carreras</v>
      </c>
      <c r="I181" s="20" t="str">
        <f>'Universitaria de Entrenamiento'!G43</f>
        <v>Realizar el análisis de la opción de titulación para los estudiantes</v>
      </c>
      <c r="J181" s="20" t="str">
        <f>'Universitaria de Entrenamiento'!H43</f>
        <v>Recopilar los documentos de los estudiantes de titulación.</v>
      </c>
      <c r="K181" s="62">
        <f>'Universitaria de Entrenamiento'!I43</f>
        <v>0</v>
      </c>
      <c r="L181" s="20" t="str">
        <f>'Universitaria de Entrenamiento'!J43</f>
        <v>$ -</v>
      </c>
      <c r="M181" s="20">
        <f>'Universitaria de Entrenamiento'!K43</f>
        <v>0</v>
      </c>
      <c r="N181" s="20">
        <f>'Universitaria de Entrenamiento'!L43</f>
        <v>0</v>
      </c>
      <c r="O181" s="20" t="str">
        <f>'Universitaria de Entrenamiento'!M43</f>
        <v>NO SE APERTURÓ</v>
      </c>
      <c r="P181" s="20">
        <v>2025</v>
      </c>
    </row>
    <row r="182" spans="1:16" ht="14.25" customHeight="1">
      <c r="A182" s="20" t="s">
        <v>501</v>
      </c>
      <c r="B182" s="20" t="str">
        <f t="shared" si="17"/>
        <v>ESTRATEGIA 2</v>
      </c>
      <c r="C182" s="20" t="str">
        <f>$C$181</f>
        <v>OBJETIVO OPERATIVO 3</v>
      </c>
      <c r="D182" s="20" t="str">
        <f>'Universitaria de Entrenamiento'!B44</f>
        <v>TRUE</v>
      </c>
      <c r="E182" s="20" t="str">
        <f>'Universitaria de Entrenamiento'!C44</f>
        <v>Alta</v>
      </c>
      <c r="F182" s="20" t="str">
        <f>'Universitaria de Entrenamiento'!D44</f>
        <v>2025-I(Inicio de ciclo)</v>
      </c>
      <c r="G182" s="20" t="str">
        <f>'Universitaria de Entrenamiento'!E44</f>
        <v>Coordinación para aprobación de documentación de la integración curricular.</v>
      </c>
      <c r="H182" s="20" t="str">
        <f>'Universitaria de Entrenamiento'!F44</f>
        <v>Director de carrera / Coordinador de carreras</v>
      </c>
      <c r="I182" s="20" t="str">
        <f>'Universitaria de Entrenamiento'!G44</f>
        <v>Revisar y coordinar la aprobación de documentos para el ingreso a la unidad de integración curricular</v>
      </c>
      <c r="J182" s="20" t="str">
        <f>'Universitaria de Entrenamiento'!H44</f>
        <v>Aprobación de la documentación a titulación.</v>
      </c>
      <c r="K182" s="62">
        <f>'Universitaria de Entrenamiento'!I44</f>
        <v>0</v>
      </c>
      <c r="L182" s="20" t="str">
        <f>'Universitaria de Entrenamiento'!J44</f>
        <v>$ -</v>
      </c>
      <c r="M182" s="20">
        <f>'Universitaria de Entrenamiento'!K44</f>
        <v>0</v>
      </c>
      <c r="N182" s="20">
        <f>'Universitaria de Entrenamiento'!L44</f>
        <v>0</v>
      </c>
      <c r="O182" s="20" t="str">
        <f>'Universitaria de Entrenamiento'!M44</f>
        <v>NO SE APERTURÓ</v>
      </c>
      <c r="P182" s="20">
        <v>2025</v>
      </c>
    </row>
    <row r="183" spans="1:16" ht="14.25" customHeight="1">
      <c r="A183" s="20" t="s">
        <v>501</v>
      </c>
      <c r="B183" s="20" t="str">
        <f t="shared" si="17"/>
        <v>ESTRATEGIA 2</v>
      </c>
      <c r="C183" s="20" t="str">
        <f>$C$181</f>
        <v>OBJETIVO OPERATIVO 3</v>
      </c>
      <c r="D183" s="20" t="str">
        <f>'Universitaria de Entrenamiento'!B45</f>
        <v>TRUE</v>
      </c>
      <c r="E183" s="20" t="str">
        <f>'Universitaria de Entrenamiento'!C45</f>
        <v>Alta</v>
      </c>
      <c r="F183" s="20" t="str">
        <f>'Universitaria de Entrenamiento'!D45</f>
        <v>2025-I(Fin de ciclo)</v>
      </c>
      <c r="G183" s="20" t="str">
        <f>'Universitaria de Entrenamiento'!E45</f>
        <v>Coordinación del evento de incorporación.</v>
      </c>
      <c r="H183" s="20" t="str">
        <f>'Universitaria de Entrenamiento'!F45</f>
        <v>Director de carrera / Coordinador de carreras</v>
      </c>
      <c r="I183" s="20" t="str">
        <f>'Universitaria de Entrenamiento'!G45</f>
        <v>Realizar la lista de estudiantes a titularse</v>
      </c>
      <c r="J183" s="20" t="str">
        <f>'Universitaria de Entrenamiento'!H45</f>
        <v>Matriz de datos de estudiantes a titularse</v>
      </c>
      <c r="K183" s="62">
        <f>'Universitaria de Entrenamiento'!I45</f>
        <v>0</v>
      </c>
      <c r="L183" s="20" t="str">
        <f>'Universitaria de Entrenamiento'!J45</f>
        <v>$ -</v>
      </c>
      <c r="M183" s="20">
        <f>'Universitaria de Entrenamiento'!K45</f>
        <v>0</v>
      </c>
      <c r="N183" s="20">
        <f>'Universitaria de Entrenamiento'!L45</f>
        <v>0</v>
      </c>
      <c r="O183" s="20" t="str">
        <f>'Universitaria de Entrenamiento'!M45</f>
        <v>NO SE APERTURÓ</v>
      </c>
      <c r="P183" s="20">
        <v>2025</v>
      </c>
    </row>
    <row r="184" spans="1:16" ht="14.25" customHeight="1">
      <c r="A184" s="20" t="s">
        <v>501</v>
      </c>
      <c r="B184" s="20" t="str">
        <f>'Universitaria de Entrenamiento'!B46</f>
        <v>ESTRATEGIA 3</v>
      </c>
      <c r="C184" s="20" t="str">
        <f>'Universitaria de Entrenamiento'!E46</f>
        <v>OBJETIVO OPERATIVO 1</v>
      </c>
      <c r="D184" s="20" t="str">
        <f>'Universitaria de Entrenamiento'!B47</f>
        <v>FALSE</v>
      </c>
      <c r="E184" s="20" t="str">
        <f>'Universitaria de Entrenamiento'!C47</f>
        <v>Media</v>
      </c>
      <c r="F184" s="20" t="str">
        <f>'Universitaria de Entrenamiento'!D47</f>
        <v>2025-I(Todo el ciclo)
2025-II(Todo de ciclo)</v>
      </c>
      <c r="G184" s="20" t="str">
        <f>'Universitaria de Entrenamiento'!E47</f>
        <v>Colaborar con la comisión de Vinculación en la construcción de los documentos necesarios para la firma de convenios.</v>
      </c>
      <c r="H184" s="20" t="str">
        <f>'Universitaria de Entrenamiento'!F47</f>
        <v>Director/a carrera -responsable de practicas y vinculación</v>
      </c>
      <c r="I184" s="20" t="str">
        <f>'Universitaria de Entrenamiento'!G47</f>
        <v>Brindar apoyo y realizar ITV de vinculación de la carrera</v>
      </c>
      <c r="J184" s="20" t="str">
        <f>'Universitaria de Entrenamiento'!H47</f>
        <v>ITV y los convenios.</v>
      </c>
      <c r="K184" s="62">
        <f>'Universitaria de Entrenamiento'!I47</f>
        <v>0</v>
      </c>
      <c r="L184" s="20" t="str">
        <f>'Universitaria de Entrenamiento'!J47</f>
        <v>$ -</v>
      </c>
      <c r="M184" s="20">
        <f>'Universitaria de Entrenamiento'!K47</f>
        <v>0</v>
      </c>
      <c r="N184" s="20">
        <f>'Universitaria de Entrenamiento'!L47</f>
        <v>0</v>
      </c>
      <c r="O184" s="20" t="str">
        <f>'Universitaria de Entrenamiento'!M47</f>
        <v>NO SE APERTURÓ</v>
      </c>
      <c r="P184" s="20">
        <v>2025</v>
      </c>
    </row>
    <row r="185" spans="1:16" ht="14.25" customHeight="1">
      <c r="A185" s="20" t="s">
        <v>501</v>
      </c>
      <c r="B185" s="20" t="str">
        <f>$B$184</f>
        <v>ESTRATEGIA 3</v>
      </c>
      <c r="C185" s="20" t="str">
        <f>$C$184</f>
        <v>OBJETIVO OPERATIVO 1</v>
      </c>
      <c r="D185" s="20" t="str">
        <f>'Universitaria de Entrenamiento'!B48</f>
        <v>FALSE</v>
      </c>
      <c r="E185" s="20" t="str">
        <f>'Universitaria de Entrenamiento'!C48</f>
        <v>Baja</v>
      </c>
      <c r="F185" s="20" t="str">
        <f>'Universitaria de Entrenamiento'!D48</f>
        <v>2025-II( fin ciclo)
2025-I( fin ciclo)</v>
      </c>
      <c r="G185" s="20" t="str">
        <f>'Universitaria de Entrenamiento'!E48</f>
        <v>Divulgación de los resultados de los proyectos de vinculación, asistiendo a las ferias convocados por diferentes organizaciones.</v>
      </c>
      <c r="H185" s="20" t="str">
        <f>'Universitaria de Entrenamiento'!F48</f>
        <v>Director/a carrera -responsable de practicas y vinculación</v>
      </c>
      <c r="I185" s="20" t="str">
        <f>'Universitaria de Entrenamiento'!G48</f>
        <v>Realizar la divulgación de los resultados de los proyectos de vinculación</v>
      </c>
      <c r="J185" s="20" t="str">
        <f>'Universitaria de Entrenamiento'!H48</f>
        <v>Informe de la divulgación.</v>
      </c>
      <c r="K185" s="62">
        <f>'Universitaria de Entrenamiento'!I48</f>
        <v>0</v>
      </c>
      <c r="L185" s="20" t="str">
        <f>'Universitaria de Entrenamiento'!J48</f>
        <v>$ -</v>
      </c>
      <c r="M185" s="20">
        <f>'Universitaria de Entrenamiento'!K48</f>
        <v>0</v>
      </c>
      <c r="N185" s="20">
        <f>'Universitaria de Entrenamiento'!L48</f>
        <v>0</v>
      </c>
      <c r="O185" s="20" t="str">
        <f>'Universitaria de Entrenamiento'!M48</f>
        <v>NO SE APERTURÓ</v>
      </c>
      <c r="P185" s="20">
        <v>2025</v>
      </c>
    </row>
    <row r="186" spans="1:16" ht="14.25" customHeight="1">
      <c r="A186" s="20" t="s">
        <v>501</v>
      </c>
      <c r="B186" s="20" t="str">
        <f>$B$184</f>
        <v>ESTRATEGIA 3</v>
      </c>
      <c r="C186" s="20" t="str">
        <f>$C$184</f>
        <v>OBJETIVO OPERATIVO 1</v>
      </c>
      <c r="D186" s="20" t="str">
        <f>'Universitaria de Entrenamiento'!B49</f>
        <v>FALSE</v>
      </c>
      <c r="E186" s="20" t="str">
        <f>'Universitaria de Entrenamiento'!C49</f>
        <v>Baja</v>
      </c>
      <c r="F186" s="20" t="str">
        <f>'Universitaria de Entrenamiento'!D49</f>
        <v>2025-I (inicio ciclo)
2025-II(inicio ciclo)</v>
      </c>
      <c r="G186" s="20" t="str">
        <f>'Universitaria de Entrenamiento'!E49</f>
        <v>Socializar con los estudiantes el reglamento de vinculación</v>
      </c>
      <c r="H186" s="20" t="str">
        <f>'Universitaria de Entrenamiento'!F49</f>
        <v>Director/a carrera -responsable de practicas y vinculación</v>
      </c>
      <c r="I186" s="20" t="str">
        <f>'Universitaria de Entrenamiento'!G49</f>
        <v>Realizar la socialización del reglamento de vinculación con los estudiantes</v>
      </c>
      <c r="J186" s="20" t="str">
        <f>'Universitaria de Entrenamiento'!H49</f>
        <v>Informe de socialización del reglamento.</v>
      </c>
      <c r="K186" s="62">
        <f>'Universitaria de Entrenamiento'!I49</f>
        <v>0</v>
      </c>
      <c r="L186" s="20" t="str">
        <f>'Universitaria de Entrenamiento'!J49</f>
        <v>$ -</v>
      </c>
      <c r="M186" s="20">
        <f>'Universitaria de Entrenamiento'!K49</f>
        <v>0</v>
      </c>
      <c r="N186" s="20">
        <f>'Universitaria de Entrenamiento'!L49</f>
        <v>0</v>
      </c>
      <c r="O186" s="20" t="str">
        <f>'Universitaria de Entrenamiento'!M49</f>
        <v>NO SE APERTURÓ</v>
      </c>
      <c r="P186" s="20">
        <v>2025</v>
      </c>
    </row>
    <row r="187" spans="1:16" ht="14.25" customHeight="1">
      <c r="A187" s="20" t="s">
        <v>501</v>
      </c>
      <c r="B187" s="20" t="str">
        <f>$B$184</f>
        <v>ESTRATEGIA 3</v>
      </c>
      <c r="C187" s="20" t="str">
        <f>'Universitaria de Entrenamiento'!E50</f>
        <v>OBJETIVO OPERATIVO 2</v>
      </c>
      <c r="D187" s="20" t="str">
        <f>'Universitaria de Entrenamiento'!B51</f>
        <v>TRUE</v>
      </c>
      <c r="E187" s="20" t="str">
        <f>'Universitaria de Entrenamiento'!C51</f>
        <v>Alta</v>
      </c>
      <c r="F187" s="20" t="str">
        <f>'Universitaria de Entrenamiento'!D51</f>
        <v>2025-I (inicio ciclo)
2025-II(inicio ciclo)</v>
      </c>
      <c r="G187" s="20" t="str">
        <f>'Universitaria de Entrenamiento'!E51</f>
        <v>Conocer las líneas de investigación de la carrera</v>
      </c>
      <c r="H187" s="20" t="str">
        <f>'Universitaria de Entrenamiento'!F51</f>
        <v>Director de carrera</v>
      </c>
      <c r="I187" s="20" t="str">
        <f>'Universitaria de Entrenamiento'!G51</f>
        <v>Analizar y realizar las líneas de investigación de la carrera</v>
      </c>
      <c r="J187" s="20" t="str">
        <f>'Universitaria de Entrenamiento'!H51</f>
        <v>Informe de socialización de las líneas de investigación de la carrera</v>
      </c>
      <c r="K187" s="62">
        <f>'Universitaria de Entrenamiento'!I51</f>
        <v>0</v>
      </c>
      <c r="L187" s="20" t="str">
        <f>'Universitaria de Entrenamiento'!J51</f>
        <v>$ -</v>
      </c>
      <c r="M187" s="20">
        <f>'Universitaria de Entrenamiento'!K51</f>
        <v>0</v>
      </c>
      <c r="N187" s="20">
        <f>'Universitaria de Entrenamiento'!L51</f>
        <v>0</v>
      </c>
      <c r="O187" s="20" t="str">
        <f>'Universitaria de Entrenamiento'!M51</f>
        <v>NO SE APERTURÓ</v>
      </c>
      <c r="P187" s="20">
        <v>2025</v>
      </c>
    </row>
    <row r="188" spans="1:16" ht="14.25" customHeight="1">
      <c r="A188" s="20" t="s">
        <v>501</v>
      </c>
      <c r="B188" s="20" t="str">
        <f>$B$184</f>
        <v>ESTRATEGIA 3</v>
      </c>
      <c r="C188" s="20" t="str">
        <f>$C$187</f>
        <v>OBJETIVO OPERATIVO 2</v>
      </c>
      <c r="D188" s="20" t="str">
        <f>'Universitaria de Entrenamiento'!B52</f>
        <v>TRUE</v>
      </c>
      <c r="E188" s="20" t="str">
        <f>'Universitaria de Entrenamiento'!C52</f>
        <v>Alta</v>
      </c>
      <c r="F188" s="20" t="str">
        <f>'Universitaria de Entrenamiento'!D52</f>
        <v>2025-I(Todo el ciclo)
2025-II(Todo de ciclo)</v>
      </c>
      <c r="G188" s="20" t="str">
        <f>'Universitaria de Entrenamiento'!E52</f>
        <v>Desarrollar investigación científica y tecnológica que contribuya con la construcción de soluciones para los problemas del país, en relación con los objetivos del régimen de desarrollo.</v>
      </c>
      <c r="H188" s="20" t="str">
        <f>'Universitaria de Entrenamiento'!F52</f>
        <v>Director de Carrera
Docentes de la carrera
Comisión de Investigación</v>
      </c>
      <c r="I188" s="20" t="str">
        <f>'Universitaria de Entrenamiento'!G52</f>
        <v>Incentivar y desarrollar la investigación de los docentes de la carrera en base a las líneas de la carrera</v>
      </c>
      <c r="J188" s="20" t="str">
        <f>'Universitaria de Entrenamiento'!H52</f>
        <v>Artículos publicados por los docentes de la carrera</v>
      </c>
      <c r="K188" s="62">
        <f>'Universitaria de Entrenamiento'!I52</f>
        <v>0</v>
      </c>
      <c r="L188" s="20" t="str">
        <f>'Universitaria de Entrenamiento'!J52</f>
        <v>$ -</v>
      </c>
      <c r="M188" s="20">
        <f>'Universitaria de Entrenamiento'!K52</f>
        <v>0</v>
      </c>
      <c r="N188" s="20">
        <f>'Universitaria de Entrenamiento'!L52</f>
        <v>0</v>
      </c>
      <c r="O188" s="20" t="str">
        <f>'Universitaria de Entrenamiento'!M52</f>
        <v>NO SE APERTURÓ</v>
      </c>
      <c r="P188" s="20">
        <v>2025</v>
      </c>
    </row>
    <row r="189" spans="1:16" ht="14.25" customHeight="1">
      <c r="A189" s="20" t="s">
        <v>501</v>
      </c>
      <c r="B189" s="20" t="str">
        <f>$B$184</f>
        <v>ESTRATEGIA 3</v>
      </c>
      <c r="C189" s="20" t="str">
        <f>'Universitaria de Entrenamiento'!E53</f>
        <v>OBJETIVO OPERATIVO 3</v>
      </c>
      <c r="D189" s="20" t="str">
        <f>'Universitaria de Entrenamiento'!B54</f>
        <v>TRUE</v>
      </c>
      <c r="E189" s="20" t="str">
        <f>'Universitaria de Entrenamiento'!C54</f>
        <v>Baja</v>
      </c>
      <c r="F189" s="20" t="str">
        <f>'Universitaria de Entrenamiento'!D54</f>
        <v>2025-I(Todo el ciclo)
2025-II(Todo de ciclo)</v>
      </c>
      <c r="G189" s="20" t="str">
        <f>'Universitaria de Entrenamiento'!E54</f>
        <v>Ejecutar la formación en valores y desarrollo de habilidades blandas.</v>
      </c>
      <c r="H189" s="20" t="str">
        <f>'Universitaria de Entrenamiento'!F54</f>
        <v>Director de carrera
Gestor académico
Bienestar institucional</v>
      </c>
      <c r="I189" s="20" t="str">
        <f>'Universitaria de Entrenamiento'!G54</f>
        <v>Realizar un curso de habilidades blandas que se desarrollara para todo el instituto</v>
      </c>
      <c r="J189" s="20" t="str">
        <f>'Universitaria de Entrenamiento'!H54</f>
        <v>Informe de formación en valores y desarrollo de habilidades blandas</v>
      </c>
      <c r="K189" s="62">
        <f>'Universitaria de Entrenamiento'!I54</f>
        <v>0</v>
      </c>
      <c r="L189" s="20" t="str">
        <f>'Universitaria de Entrenamiento'!J54</f>
        <v>$ -</v>
      </c>
      <c r="M189" s="20">
        <f>'Universitaria de Entrenamiento'!K54</f>
        <v>0</v>
      </c>
      <c r="N189" s="20">
        <f>'Universitaria de Entrenamiento'!L54</f>
        <v>0</v>
      </c>
      <c r="O189" s="20" t="str">
        <f>'Universitaria de Entrenamiento'!M54</f>
        <v>NO SE APERTURÓ</v>
      </c>
      <c r="P189" s="20">
        <v>2025</v>
      </c>
    </row>
    <row r="190" spans="1:16" ht="14.25" customHeight="1">
      <c r="A190" s="20" t="s">
        <v>501</v>
      </c>
      <c r="B190" s="20" t="str">
        <f>'Universitaria de Entrenamiento'!B55</f>
        <v>ESTRATEGIA 4</v>
      </c>
      <c r="C190" s="20" t="str">
        <f>'Universitaria de Entrenamiento'!E55</f>
        <v>OBJETIVO OPERATIVO 1</v>
      </c>
      <c r="D190" s="20" t="str">
        <f>'Universitaria de Entrenamiento'!B56</f>
        <v>FALSE</v>
      </c>
      <c r="E190" s="20" t="str">
        <f>'Universitaria de Entrenamiento'!C56</f>
        <v>Baja</v>
      </c>
      <c r="F190" s="20" t="str">
        <f>'Universitaria de Entrenamiento'!D56</f>
        <v>2025-I (fin ciclo)
2025-II(fin ciclo)</v>
      </c>
      <c r="G190" s="20" t="str">
        <f>'Universitaria de Entrenamiento'!E56</f>
        <v>Elaboración de matrices de la oferta académica institucional.</v>
      </c>
      <c r="H190" s="20" t="str">
        <f>'Universitaria de Entrenamiento'!F56</f>
        <v>Director de Carrera
Gestor Académico</v>
      </c>
      <c r="I190" s="20" t="str">
        <f>'Universitaria de Entrenamiento'!G56</f>
        <v>Generación de matrices de oferta académica para la captación de más estudiantes</v>
      </c>
      <c r="J190" s="20" t="str">
        <f>'Universitaria de Entrenamiento'!H56</f>
        <v>Matrices de la oferta académica.</v>
      </c>
      <c r="K190" s="62">
        <f>'Universitaria de Entrenamiento'!I56</f>
        <v>0</v>
      </c>
      <c r="L190" s="20" t="str">
        <f>'Universitaria de Entrenamiento'!J56</f>
        <v>$ -</v>
      </c>
      <c r="M190" s="20">
        <f>'Universitaria de Entrenamiento'!K56</f>
        <v>0</v>
      </c>
      <c r="N190" s="20">
        <f>'Universitaria de Entrenamiento'!L56</f>
        <v>0</v>
      </c>
      <c r="O190" s="20" t="str">
        <f>'Universitaria de Entrenamiento'!M56</f>
        <v>NO SE APERTURÓ</v>
      </c>
      <c r="P190" s="20">
        <v>2025</v>
      </c>
    </row>
    <row r="191" spans="1:16" ht="14.25" customHeight="1">
      <c r="A191" s="20" t="s">
        <v>501</v>
      </c>
      <c r="B191" s="20" t="str">
        <f>$B$190</f>
        <v>ESTRATEGIA 4</v>
      </c>
      <c r="C191" s="20" t="str">
        <f>$C$190</f>
        <v>OBJETIVO OPERATIVO 1</v>
      </c>
      <c r="D191" s="20" t="str">
        <f>'Universitaria de Entrenamiento'!B57</f>
        <v>FALSE</v>
      </c>
      <c r="E191" s="20" t="str">
        <f>'Universitaria de Entrenamiento'!C57</f>
        <v>Baja</v>
      </c>
      <c r="F191" s="20" t="str">
        <f>'Universitaria de Entrenamiento'!D57</f>
        <v xml:space="preserve">
2025-II(fin ciclo)</v>
      </c>
      <c r="G191" s="20" t="str">
        <f>'Universitaria de Entrenamiento'!E57</f>
        <v>Planificación de demanda estudiantil.</v>
      </c>
      <c r="H191" s="20" t="str">
        <f>'Universitaria de Entrenamiento'!F57</f>
        <v>Director de Carrera
Gestor Académico</v>
      </c>
      <c r="I191" s="20" t="str">
        <f>'Universitaria de Entrenamiento'!G57</f>
        <v>Planificar la demanda institucional en base a históricos de periodos anteriores</v>
      </c>
      <c r="J191" s="20" t="str">
        <f>'Universitaria de Entrenamiento'!H57</f>
        <v>Listado certificado de matriculados de la carrera</v>
      </c>
      <c r="K191" s="62">
        <f>'Universitaria de Entrenamiento'!I57</f>
        <v>0</v>
      </c>
      <c r="L191" s="20" t="str">
        <f>'Universitaria de Entrenamiento'!J57</f>
        <v>$ -</v>
      </c>
      <c r="M191" s="20">
        <f>'Universitaria de Entrenamiento'!K57</f>
        <v>0</v>
      </c>
      <c r="N191" s="20">
        <f>'Universitaria de Entrenamiento'!L57</f>
        <v>0</v>
      </c>
      <c r="O191" s="20" t="str">
        <f>'Universitaria de Entrenamiento'!M57</f>
        <v>NO SE APERTURÓ</v>
      </c>
      <c r="P191" s="20">
        <v>2025</v>
      </c>
    </row>
    <row r="192" spans="1:16" ht="14.25" customHeight="1">
      <c r="A192" s="20" t="s">
        <v>501</v>
      </c>
      <c r="B192" s="20" t="str">
        <f>$B$190</f>
        <v>ESTRATEGIA 4</v>
      </c>
      <c r="C192" s="20" t="str">
        <f>$C$190</f>
        <v>OBJETIVO OPERATIVO 1</v>
      </c>
      <c r="D192" s="20" t="str">
        <f>'Universitaria de Entrenamiento'!B58</f>
        <v>FALSE</v>
      </c>
      <c r="E192" s="20" t="str">
        <f>'Universitaria de Entrenamiento'!C58</f>
        <v>Media</v>
      </c>
      <c r="F192" s="20" t="str">
        <f>'Universitaria de Entrenamiento'!D58</f>
        <v>2025-II(fin ciclo)</v>
      </c>
      <c r="G192" s="20" t="str">
        <f>'Universitaria de Entrenamiento'!E58</f>
        <v>Análisis de capacidad operativa de la institución.</v>
      </c>
      <c r="H192" s="20" t="str">
        <f>'Universitaria de Entrenamiento'!F58</f>
        <v>Director de Carrera
Gestor Académico</v>
      </c>
      <c r="I192" s="20" t="str">
        <f>'Universitaria de Entrenamiento'!G58</f>
        <v>Análisis de requerimientos sustantivo y no sustantivo de la carrera</v>
      </c>
      <c r="J192" s="20" t="str">
        <f>'Universitaria de Entrenamiento'!H58</f>
        <v>Resolución de aprobación por OCS de Estandarización de Carrera</v>
      </c>
      <c r="K192" s="62">
        <f>'Universitaria de Entrenamiento'!I58</f>
        <v>0</v>
      </c>
      <c r="L192" s="20" t="str">
        <f>'Universitaria de Entrenamiento'!J58</f>
        <v>$ -</v>
      </c>
      <c r="M192" s="20">
        <f>'Universitaria de Entrenamiento'!K58</f>
        <v>0</v>
      </c>
      <c r="N192" s="20">
        <f>'Universitaria de Entrenamiento'!L58</f>
        <v>0</v>
      </c>
      <c r="O192" s="20" t="str">
        <f>'Universitaria de Entrenamiento'!M58</f>
        <v>NO SE APERTURÓ</v>
      </c>
      <c r="P192" s="20">
        <v>2025</v>
      </c>
    </row>
    <row r="193" spans="1:16" ht="14.25" customHeight="1">
      <c r="A193" s="20" t="s">
        <v>483</v>
      </c>
      <c r="B193" s="20" t="str">
        <f>'Universitaria Software'!B10</f>
        <v>ESTRATEGIA 1</v>
      </c>
      <c r="C193" s="20" t="str">
        <f>'Universitaria Software'!E10</f>
        <v>OBJETIVO OPERATIVO 1</v>
      </c>
      <c r="D193" s="20" t="b">
        <f>'Universitaria Software'!B11</f>
        <v>0</v>
      </c>
      <c r="E193" s="20" t="str">
        <f>'Universitaria Software'!C11</f>
        <v>Media</v>
      </c>
      <c r="F193" s="21" t="str">
        <f>'Universitaria Software'!D11</f>
        <v>2025-I ( Inicio ciclo)</v>
      </c>
      <c r="G193" s="20" t="str">
        <f>'Universitaria Software'!E11</f>
        <v>Planificar y estructurar las capacitaciones en el área técnica y didáctica.</v>
      </c>
      <c r="H193" s="20" t="str">
        <f>'Universitaria Software'!F11</f>
        <v>Director/a carrera
Docentes</v>
      </c>
      <c r="I193" s="20" t="str">
        <f>'Universitaria Software'!G11</f>
        <v>Desarrollo del plan de capacitación docente</v>
      </c>
      <c r="J193" s="20" t="str">
        <f>'Universitaria Software'!H11</f>
        <v>Plan de capacitación docente.</v>
      </c>
      <c r="K193" s="62">
        <f>'Universitaria Software'!I11</f>
        <v>1</v>
      </c>
      <c r="L193" s="20">
        <f>'Universitaria Software'!J11</f>
        <v>0</v>
      </c>
      <c r="M193" s="20">
        <f>'Universitaria Software'!K11</f>
        <v>0</v>
      </c>
      <c r="N193" s="20">
        <f>'Universitaria Software'!L11</f>
        <v>0</v>
      </c>
      <c r="O193" s="20">
        <f>'Universitaria Software'!M11</f>
        <v>0</v>
      </c>
      <c r="P193" s="20">
        <v>2025</v>
      </c>
    </row>
    <row r="194" spans="1:16" ht="14.25" customHeight="1">
      <c r="A194" s="20" t="s">
        <v>483</v>
      </c>
      <c r="B194" s="20" t="str">
        <f>$B$193</f>
        <v>ESTRATEGIA 1</v>
      </c>
      <c r="C194" s="20" t="str">
        <f>$C$193</f>
        <v>OBJETIVO OPERATIVO 1</v>
      </c>
      <c r="D194" s="20" t="b">
        <f>'Universitaria Software'!B12</f>
        <v>0</v>
      </c>
      <c r="E194" s="20" t="str">
        <f>'Universitaria Software'!C12</f>
        <v>Baja</v>
      </c>
      <c r="F194" s="21" t="str">
        <f>'Universitaria Software'!D12</f>
        <v>2025-II ( fin ciclo)</v>
      </c>
      <c r="G194" s="20" t="str">
        <f>'Universitaria Software'!E12</f>
        <v>Ejecutar las capacitaciones planificadas.</v>
      </c>
      <c r="H194" s="20" t="str">
        <f>'Universitaria Software'!F12</f>
        <v>Director/a carrera
Docentes</v>
      </c>
      <c r="I194" s="20" t="str">
        <f>'Universitaria Software'!G12</f>
        <v>informar sobre el plan de capacitación docente</v>
      </c>
      <c r="J194" s="20" t="str">
        <f>'Universitaria Software'!H12</f>
        <v>Informe de ejecución del plan de capacitación docente.</v>
      </c>
      <c r="K194" s="62">
        <f>'Universitaria Software'!I12</f>
        <v>1</v>
      </c>
      <c r="L194" s="20">
        <f>'Universitaria Software'!J12</f>
        <v>0</v>
      </c>
      <c r="M194" s="20">
        <f>'Universitaria Software'!K12</f>
        <v>0</v>
      </c>
      <c r="N194" s="20">
        <f>'Universitaria Software'!L12</f>
        <v>0</v>
      </c>
      <c r="O194" s="20">
        <f>'Universitaria Software'!M12</f>
        <v>0</v>
      </c>
      <c r="P194" s="20">
        <v>2025</v>
      </c>
    </row>
    <row r="195" spans="1:16" ht="14.25" customHeight="1">
      <c r="A195" s="20" t="s">
        <v>483</v>
      </c>
      <c r="B195" s="20" t="str">
        <f>$B$193</f>
        <v>ESTRATEGIA 1</v>
      </c>
      <c r="C195" s="20" t="str">
        <f>$C$193</f>
        <v>OBJETIVO OPERATIVO 1</v>
      </c>
      <c r="D195" s="20" t="b">
        <f>'Universitaria Software'!B13</f>
        <v>0</v>
      </c>
      <c r="E195" s="20" t="str">
        <f>'Universitaria Software'!C13</f>
        <v>Media</v>
      </c>
      <c r="F195" s="21" t="str">
        <f>'Universitaria Software'!D13</f>
        <v>2024-II( fin ciclo)
2025-I( fin ciclo)</v>
      </c>
      <c r="G195" s="20" t="str">
        <f>'Universitaria Software'!E13</f>
        <v>Entregar los resultados de los procesos de Evaluación al desempeño Docente y acciones realizadas.</v>
      </c>
      <c r="H195" s="20" t="str">
        <f>'Universitaria Software'!F13</f>
        <v>Director/a carrera
Docentes</v>
      </c>
      <c r="I195" s="20" t="str">
        <f>'Universitaria Software'!G13</f>
        <v>Generar una matriz para el registro de entrega de evaluaciones docentes</v>
      </c>
      <c r="J195" s="20" t="str">
        <f>'Universitaria Software'!H13</f>
        <v>Registro de entrega de evaluaciones a los docentes</v>
      </c>
      <c r="K195" s="62">
        <f>'Universitaria Software'!I13</f>
        <v>1</v>
      </c>
      <c r="L195" s="20">
        <f>'Universitaria Software'!J13</f>
        <v>0</v>
      </c>
      <c r="M195" s="20">
        <f>'Universitaria Software'!K13</f>
        <v>0</v>
      </c>
      <c r="N195" s="20">
        <f>'Universitaria Software'!L13</f>
        <v>0</v>
      </c>
      <c r="O195" s="20">
        <f>'Universitaria Software'!M13</f>
        <v>0</v>
      </c>
      <c r="P195" s="20">
        <v>2025</v>
      </c>
    </row>
    <row r="196" spans="1:16" ht="14.25" customHeight="1">
      <c r="A196" s="20" t="s">
        <v>483</v>
      </c>
      <c r="B196" s="20" t="str">
        <f>$B$193</f>
        <v>ESTRATEGIA 1</v>
      </c>
      <c r="C196" s="20" t="str">
        <f>'Universitaria Software'!E14</f>
        <v>OBJETIVO OPERATIVO 2</v>
      </c>
      <c r="D196" s="20" t="b">
        <f>'Universitaria Software'!B15</f>
        <v>0</v>
      </c>
      <c r="E196" s="20" t="str">
        <f>'Universitaria Software'!C15</f>
        <v>Baja</v>
      </c>
      <c r="F196" s="21" t="str">
        <f>'Universitaria Software'!D15</f>
        <v>2025-I (inicio ciclo)
2025-II(inicio ciclo)</v>
      </c>
      <c r="G196" s="20" t="str">
        <f>'Universitaria Software'!E15</f>
        <v>Socializar con los docentes el uso adecuado de la plataforma Moodle.</v>
      </c>
      <c r="H196" s="20" t="str">
        <f>'Universitaria Software'!F15</f>
        <v>Responsable de Moodle de la carrera</v>
      </c>
      <c r="I196" s="20" t="str">
        <f>'Universitaria Software'!G15</f>
        <v>Realizar la socialización y generar un informe sobre el uso del Moodle</v>
      </c>
      <c r="J196" s="20" t="str">
        <f>'Universitaria Software'!H15</f>
        <v>Informe de socialización / inducción a los docentes</v>
      </c>
      <c r="K196" s="62">
        <f>'Universitaria Software'!I15</f>
        <v>1</v>
      </c>
      <c r="L196" s="160">
        <f>'Universitaria Software'!J15</f>
        <v>0</v>
      </c>
      <c r="M196" s="20">
        <f>'Universitaria Software'!K15</f>
        <v>0</v>
      </c>
      <c r="N196" s="20">
        <f>'Universitaria Software'!L15</f>
        <v>0</v>
      </c>
      <c r="O196" s="20">
        <f>'Universitaria Software'!M15</f>
        <v>0</v>
      </c>
      <c r="P196" s="20">
        <v>2025</v>
      </c>
    </row>
    <row r="197" spans="1:16" ht="14.25" customHeight="1">
      <c r="A197" s="20" t="s">
        <v>483</v>
      </c>
      <c r="B197" s="20" t="str">
        <f>$B$196</f>
        <v>ESTRATEGIA 1</v>
      </c>
      <c r="C197" s="20" t="str">
        <f>$C$196</f>
        <v>OBJETIVO OPERATIVO 2</v>
      </c>
      <c r="D197" s="20" t="b">
        <f>'Universitaria Software'!B16</f>
        <v>0</v>
      </c>
      <c r="E197" s="20" t="str">
        <f>'Universitaria Software'!C16</f>
        <v>Media</v>
      </c>
      <c r="F197" s="21" t="str">
        <f>'Universitaria Software'!D16</f>
        <v>2024-II( fin ciclo)
2025-I( fin ciclo)</v>
      </c>
      <c r="G197" s="20" t="str">
        <f>'Universitaria Software'!E16</f>
        <v>Revisar el aporte de cada docente en la plataforma Moodle</v>
      </c>
      <c r="H197" s="20" t="str">
        <f>'Universitaria Software'!F16</f>
        <v>Responsable de Moodle de la carrera</v>
      </c>
      <c r="I197" s="20" t="str">
        <f>'Universitaria Software'!G16</f>
        <v>Controlar el uso adecuado de la plataforma y generar un informe.</v>
      </c>
      <c r="J197" s="20" t="str">
        <f>'Universitaria Software'!H16</f>
        <v>Informe de actividades en la plataforma Moodle.</v>
      </c>
      <c r="K197" s="62">
        <f>'Universitaria Software'!I16</f>
        <v>1</v>
      </c>
      <c r="L197" s="160">
        <f>'Universitaria Software'!J16</f>
        <v>0</v>
      </c>
      <c r="M197" s="20">
        <f>'Universitaria Software'!K16</f>
        <v>0</v>
      </c>
      <c r="N197" s="20">
        <f>'Universitaria Software'!L16</f>
        <v>0</v>
      </c>
      <c r="O197" s="20">
        <f>'Universitaria Software'!M16</f>
        <v>0</v>
      </c>
      <c r="P197" s="20">
        <v>2025</v>
      </c>
    </row>
    <row r="198" spans="1:16" ht="14.25" customHeight="1">
      <c r="A198" s="20" t="s">
        <v>483</v>
      </c>
      <c r="B198" s="20" t="str">
        <f>$B$196</f>
        <v>ESTRATEGIA 1</v>
      </c>
      <c r="C198" s="20" t="str">
        <f>'Universitaria Software'!E17</f>
        <v>OBJETIVO OPERATIVO 3</v>
      </c>
      <c r="D198" s="20" t="b">
        <f>'Universitaria Software'!B18</f>
        <v>0</v>
      </c>
      <c r="E198" s="20" t="str">
        <f>'Universitaria Software'!C18</f>
        <v>Alta</v>
      </c>
      <c r="F198" s="21" t="str">
        <f>'Universitaria Software'!D18</f>
        <v>2025-I(inicio ciclo)
2025-II (inicio ciclo)</v>
      </c>
      <c r="G198" s="20" t="str">
        <f>'Universitaria Software'!E18</f>
        <v>Planificar y desarrollar una reunión del colectivo académico</v>
      </c>
      <c r="H198" s="20" t="str">
        <f>'Universitaria Software'!F18</f>
        <v>Director/a carrera</v>
      </c>
      <c r="I198" s="20" t="str">
        <f>'Universitaria Software'!G18</f>
        <v>Realizar y evidenciar los colectivos académicos</v>
      </c>
      <c r="J198" s="20" t="str">
        <f>'Universitaria Software'!H18</f>
        <v>Convocatoria al colectivo de académico</v>
      </c>
      <c r="K198" s="62">
        <f>'Universitaria Software'!I18</f>
        <v>1</v>
      </c>
      <c r="L198" s="160">
        <f>'Universitaria Software'!J18</f>
        <v>0</v>
      </c>
      <c r="M198" s="20">
        <f>'Universitaria Software'!K18</f>
        <v>0</v>
      </c>
      <c r="N198" s="20">
        <f>'Universitaria Software'!L18</f>
        <v>0</v>
      </c>
      <c r="O198" s="20">
        <f>'Universitaria Software'!M18</f>
        <v>0</v>
      </c>
      <c r="P198" s="20">
        <v>2025</v>
      </c>
    </row>
    <row r="199" spans="1:16" ht="14.25" customHeight="1">
      <c r="A199" s="20" t="s">
        <v>483</v>
      </c>
      <c r="B199" s="20" t="str">
        <f>$B$196</f>
        <v>ESTRATEGIA 1</v>
      </c>
      <c r="C199" s="20" t="str">
        <f>$C$198</f>
        <v>OBJETIVO OPERATIVO 3</v>
      </c>
      <c r="D199" s="20" t="b">
        <f>'Universitaria Software'!B19</f>
        <v>0</v>
      </c>
      <c r="E199" s="20" t="str">
        <f>'Universitaria Software'!C19</f>
        <v>Media</v>
      </c>
      <c r="F199" s="21" t="str">
        <f>'Universitaria Software'!D19</f>
        <v>2024-II(fin de ciclo)
2025-I(fin de ciclo)</v>
      </c>
      <c r="G199" s="20" t="str">
        <f>'Universitaria Software'!E19</f>
        <v>Revisión y actualización de los PEAS</v>
      </c>
      <c r="H199" s="20" t="str">
        <f>'Universitaria Software'!F19</f>
        <v>Director/a carrera
Docentes</v>
      </c>
      <c r="I199" s="20" t="str">
        <f>'Universitaria Software'!G19</f>
        <v>Revisar si la bibliografía de la carrera es la adecuada en colectivos  según PEAS y Colectivos para el acervo bibliográfico</v>
      </c>
      <c r="J199" s="20" t="str">
        <f>'Universitaria Software'!H19</f>
        <v>Acervo bibliográfico de todas las asignaturas de la carrera, Informes de colectivos y PEAS revisados</v>
      </c>
      <c r="K199" s="62">
        <f>'Universitaria Software'!I19</f>
        <v>1</v>
      </c>
      <c r="L199" s="160">
        <f>'Universitaria Software'!J19</f>
        <v>0</v>
      </c>
      <c r="M199" s="20">
        <f>'Universitaria Software'!K19</f>
        <v>0</v>
      </c>
      <c r="N199" s="20">
        <f>'Universitaria Software'!L19</f>
        <v>0</v>
      </c>
      <c r="O199" s="20">
        <f>'Universitaria Software'!M19</f>
        <v>0</v>
      </c>
      <c r="P199" s="20">
        <v>2025</v>
      </c>
    </row>
    <row r="200" spans="1:16" ht="14.25" customHeight="1">
      <c r="A200" s="20" t="s">
        <v>483</v>
      </c>
      <c r="B200" s="20" t="str">
        <f>$B$196</f>
        <v>ESTRATEGIA 1</v>
      </c>
      <c r="C200" s="20" t="str">
        <f>$C$198</f>
        <v>OBJETIVO OPERATIVO 3</v>
      </c>
      <c r="D200" s="20" t="b">
        <f>'Universitaria Software'!B20</f>
        <v>0</v>
      </c>
      <c r="E200" s="20" t="str">
        <f>'Universitaria Software'!C20</f>
        <v>Media</v>
      </c>
      <c r="F200" s="21" t="str">
        <f>'Universitaria Software'!D20</f>
        <v>2024-II(fin de ciclo)
2025-I(fin de ciclo)</v>
      </c>
      <c r="G200" s="20" t="str">
        <f>'Universitaria Software'!E20</f>
        <v>Actas de reunión por colectivo académico</v>
      </c>
      <c r="H200" s="20" t="str">
        <f>'Universitaria Software'!F20</f>
        <v>Director/a carrera
Docentes</v>
      </c>
      <c r="I200" s="20" t="str">
        <f>'Universitaria Software'!G20</f>
        <v>Evidenciar el trabajo de colectivos</v>
      </c>
      <c r="J200" s="20" t="str">
        <f>'Universitaria Software'!H20</f>
        <v>Actas de colectivos</v>
      </c>
      <c r="K200" s="62">
        <f>'Universitaria Software'!I20</f>
        <v>1</v>
      </c>
      <c r="L200" s="160">
        <f>'Universitaria Software'!J20</f>
        <v>0</v>
      </c>
      <c r="M200" s="20">
        <f>'Universitaria Software'!K20</f>
        <v>0</v>
      </c>
      <c r="N200" s="20">
        <f>'Universitaria Software'!L20</f>
        <v>0</v>
      </c>
      <c r="O200" s="20">
        <f>'Universitaria Software'!M20</f>
        <v>0</v>
      </c>
      <c r="P200" s="20">
        <v>2025</v>
      </c>
    </row>
    <row r="201" spans="1:16" ht="14.25" customHeight="1">
      <c r="A201" s="20" t="s">
        <v>483</v>
      </c>
      <c r="B201" s="20" t="str">
        <f>$B$196</f>
        <v>ESTRATEGIA 1</v>
      </c>
      <c r="C201" s="20" t="str">
        <f>'Universitaria Software'!E21</f>
        <v>OBJETIVO OPERATIVO 4</v>
      </c>
      <c r="D201" s="20" t="b">
        <f>'Universitaria Software'!B22</f>
        <v>0</v>
      </c>
      <c r="E201" s="20" t="str">
        <f>'Universitaria Software'!C22</f>
        <v>Baja</v>
      </c>
      <c r="F201" s="21" t="str">
        <f>'Universitaria Software'!D22</f>
        <v>2025-I(inicio ciclo)
2025-II (inicio ciclo)</v>
      </c>
      <c r="G201" s="20" t="str">
        <f>'Universitaria Software'!E22</f>
        <v>Recopilar las fichas de afinidad de los docentes de acuerdo al nivel de estudio.</v>
      </c>
      <c r="H201" s="20" t="str">
        <f>'Universitaria Software'!F22</f>
        <v>Director/a carrera</v>
      </c>
      <c r="I201" s="20" t="str">
        <f>'Universitaria Software'!G22</f>
        <v>Mantener actualizadas las fichas de afinidad de los docentes de acuerdo a la pertinencia en la carrera</v>
      </c>
      <c r="J201" s="20" t="str">
        <f>'Universitaria Software'!H22</f>
        <v>Fichas de afinidad de los docentes.</v>
      </c>
      <c r="K201" s="62">
        <f>'Universitaria Software'!I22</f>
        <v>1</v>
      </c>
      <c r="L201" s="160">
        <f>'Universitaria Software'!J22</f>
        <v>0</v>
      </c>
      <c r="M201" s="20">
        <f>'Universitaria Software'!K22</f>
        <v>0</v>
      </c>
      <c r="N201" s="20">
        <f>'Universitaria Software'!L22</f>
        <v>0</v>
      </c>
      <c r="O201" s="20">
        <f>'Universitaria Software'!M22</f>
        <v>0</v>
      </c>
      <c r="P201" s="20">
        <v>2025</v>
      </c>
    </row>
    <row r="202" spans="1:16" ht="14.25" customHeight="1">
      <c r="A202" s="20" t="s">
        <v>483</v>
      </c>
      <c r="B202" s="20" t="str">
        <f>$B$201</f>
        <v>ESTRATEGIA 1</v>
      </c>
      <c r="C202" s="20" t="str">
        <f>$C$201</f>
        <v>OBJETIVO OPERATIVO 4</v>
      </c>
      <c r="D202" s="20">
        <f>'Universitaria Software'!B23</f>
        <v>0</v>
      </c>
      <c r="E202" s="20" t="str">
        <f>'Universitaria Software'!C23</f>
        <v>Alta</v>
      </c>
      <c r="F202" s="21" t="str">
        <f>'Universitaria Software'!D23</f>
        <v>2025-I(inicio de ciclo)
2025-II(inicio de ciclo)</v>
      </c>
      <c r="G202" s="20" t="str">
        <f>'Universitaria Software'!E23</f>
        <v>Elaboración del distributivo docente de la carrera</v>
      </c>
      <c r="H202" s="20" t="str">
        <f>'Universitaria Software'!F23</f>
        <v>Director/a carrera</v>
      </c>
      <c r="I202" s="20" t="str">
        <f>'Universitaria Software'!G23</f>
        <v>Evidenciar la carga horaria y distributivos de los docentes</v>
      </c>
      <c r="J202" s="20" t="str">
        <f>'Universitaria Software'!H23</f>
        <v>Distributivo docente aprobado.</v>
      </c>
      <c r="K202" s="62">
        <f>'Universitaria Software'!I23</f>
        <v>1</v>
      </c>
      <c r="L202" s="160">
        <f>'Universitaria Software'!J23</f>
        <v>0</v>
      </c>
      <c r="M202" s="20">
        <f>'Universitaria Software'!K23</f>
        <v>0</v>
      </c>
      <c r="N202" s="20">
        <f>'Universitaria Software'!L23</f>
        <v>0</v>
      </c>
      <c r="O202" s="20">
        <f>'Universitaria Software'!M23</f>
        <v>0</v>
      </c>
      <c r="P202" s="20">
        <v>2025</v>
      </c>
    </row>
    <row r="203" spans="1:16" ht="14.25" customHeight="1">
      <c r="A203" s="20" t="s">
        <v>483</v>
      </c>
      <c r="B203" s="20" t="str">
        <f>$B$201</f>
        <v>ESTRATEGIA 1</v>
      </c>
      <c r="C203" s="20" t="str">
        <f>$C$201</f>
        <v>OBJETIVO OPERATIVO 4</v>
      </c>
      <c r="D203" s="20" t="b">
        <f>'Universitaria Software'!B24</f>
        <v>0</v>
      </c>
      <c r="E203" s="20" t="str">
        <f>'Universitaria Software'!C24</f>
        <v>Media</v>
      </c>
      <c r="F203" s="21" t="str">
        <f>'Universitaria Software'!D24</f>
        <v>2025-I(inicio de ciclo)
2025-II(inicio de ciclo)</v>
      </c>
      <c r="G203" s="20" t="str">
        <f>'Universitaria Software'!E24</f>
        <v>Designar responsables de la administración de la plataforma, tutorías , prácticas, vinculación , etc.</v>
      </c>
      <c r="H203" s="20" t="str">
        <f>'Universitaria Software'!F24</f>
        <v>Director/a carrera</v>
      </c>
      <c r="I203" s="20" t="str">
        <f>'Universitaria Software'!G24</f>
        <v>Realizar las designaciones y evidenciar los responsables y tutores de la carrera</v>
      </c>
      <c r="J203" s="20" t="str">
        <f>'Universitaria Software'!H24</f>
        <v>Oficios de designaciones de responsables.</v>
      </c>
      <c r="K203" s="62">
        <f>'Universitaria Software'!I24</f>
        <v>1</v>
      </c>
      <c r="L203" s="160">
        <f>'Universitaria Software'!J24</f>
        <v>0</v>
      </c>
      <c r="M203" s="20">
        <f>'Universitaria Software'!K24</f>
        <v>0</v>
      </c>
      <c r="N203" s="20">
        <f>'Universitaria Software'!L24</f>
        <v>0</v>
      </c>
      <c r="O203" s="20">
        <f>'Universitaria Software'!M24</f>
        <v>0</v>
      </c>
      <c r="P203" s="20">
        <v>2025</v>
      </c>
    </row>
    <row r="204" spans="1:16" ht="14.25" customHeight="1">
      <c r="A204" s="20" t="s">
        <v>483</v>
      </c>
      <c r="B204" s="20" t="str">
        <f>'Universitaria Software'!B25</f>
        <v>ESTRATEGIA 2</v>
      </c>
      <c r="C204" s="20" t="str">
        <f>'Universitaria Software'!E25</f>
        <v>OBJETIVO OPERATIVO 1</v>
      </c>
      <c r="D204" s="20" t="b">
        <f>'Universitaria Software'!B26</f>
        <v>0</v>
      </c>
      <c r="E204" s="20" t="str">
        <f>'Universitaria Software'!C26</f>
        <v>Alta</v>
      </c>
      <c r="F204" s="21" t="str">
        <f>'Universitaria Software'!D26</f>
        <v>2025-I(Inicio de ciclo)
2025-II(Inicio de ciclo)</v>
      </c>
      <c r="G204" s="20" t="str">
        <f>'Universitaria Software'!E26</f>
        <v>Elaborar y presentar el calendario de actividades de la o las carreras, horarios de clases y laboratorios.</v>
      </c>
      <c r="H204" s="20" t="str">
        <f>'Universitaria Software'!F26</f>
        <v>Director/a carrera</v>
      </c>
      <c r="I204" s="20" t="str">
        <f>'Universitaria Software'!G26</f>
        <v>Realizar los documentos necesarios para el desarrollo de las actividades de cada periodo de la carrera</v>
      </c>
      <c r="J204" s="20" t="str">
        <f>'Universitaria Software'!H26</f>
        <v>Calendario y horarios aprobados</v>
      </c>
      <c r="K204" s="62">
        <f>'Universitaria Software'!I26</f>
        <v>1</v>
      </c>
      <c r="L204" s="160">
        <f>'Universitaria Software'!J26</f>
        <v>0</v>
      </c>
      <c r="M204" s="20">
        <f>'Universitaria Software'!K26</f>
        <v>0</v>
      </c>
      <c r="N204" s="20">
        <f>'Universitaria Software'!L26</f>
        <v>0</v>
      </c>
      <c r="O204" s="20">
        <f>'Universitaria Software'!M26</f>
        <v>0</v>
      </c>
      <c r="P204" s="20">
        <v>2025</v>
      </c>
    </row>
    <row r="205" spans="1:16" ht="14.25" customHeight="1">
      <c r="A205" s="20" t="s">
        <v>483</v>
      </c>
      <c r="B205" s="20" t="str">
        <f t="shared" ref="B205:B221" si="18">$B$204</f>
        <v>ESTRATEGIA 2</v>
      </c>
      <c r="C205" s="20" t="str">
        <f t="shared" ref="C205:C215" si="19">$C$204</f>
        <v>OBJETIVO OPERATIVO 1</v>
      </c>
      <c r="D205" s="20" t="b">
        <f>'Universitaria Software'!B27</f>
        <v>0</v>
      </c>
      <c r="E205" s="20" t="str">
        <f>'Universitaria Software'!C27</f>
        <v>Media</v>
      </c>
      <c r="F205" s="21" t="str">
        <f>'Universitaria Software'!D27</f>
        <v>2025-I(Todo el ciclo)
2025-II(Todo de ciclo)</v>
      </c>
      <c r="G205" s="20" t="str">
        <f>'Universitaria Software'!E27</f>
        <v>Requerimiento y aprobación de Documentos académicos. (Sílabos, guías practicas e informes de avance de Silabo)</v>
      </c>
      <c r="H205" s="20" t="str">
        <f>'Universitaria Software'!F27</f>
        <v>Director/a carrera - gestor académico</v>
      </c>
      <c r="I205" s="20" t="str">
        <f>'Universitaria Software'!G27</f>
        <v>Solicitud de documentos académicos por materias</v>
      </c>
      <c r="J205" s="20" t="str">
        <f>'Universitaria Software'!H27</f>
        <v>Documentación aprobada.</v>
      </c>
      <c r="K205" s="62">
        <f>'Universitaria Software'!I27</f>
        <v>1</v>
      </c>
      <c r="L205" s="160">
        <f>'Universitaria Software'!J27</f>
        <v>0</v>
      </c>
      <c r="M205" s="20">
        <f>'Universitaria Software'!K27</f>
        <v>0</v>
      </c>
      <c r="N205" s="20">
        <f>'Universitaria Software'!L27</f>
        <v>0</v>
      </c>
      <c r="O205" s="20">
        <f>'Universitaria Software'!M27</f>
        <v>0</v>
      </c>
      <c r="P205" s="20">
        <v>2025</v>
      </c>
    </row>
    <row r="206" spans="1:16" ht="14.25" customHeight="1">
      <c r="A206" s="20" t="s">
        <v>483</v>
      </c>
      <c r="B206" s="20" t="str">
        <f t="shared" si="18"/>
        <v>ESTRATEGIA 2</v>
      </c>
      <c r="C206" s="20" t="str">
        <f t="shared" si="19"/>
        <v>OBJETIVO OPERATIVO 1</v>
      </c>
      <c r="D206" s="20" t="b">
        <f>'Universitaria Software'!B28</f>
        <v>0</v>
      </c>
      <c r="E206" s="20" t="str">
        <f>'Universitaria Software'!C28</f>
        <v>Media</v>
      </c>
      <c r="F206" s="21" t="str">
        <f>'Universitaria Software'!D28</f>
        <v>2025-I(Todo el ciclo)
2025-II(Todo de ciclo)</v>
      </c>
      <c r="G206" s="20" t="str">
        <f>'Universitaria Software'!E28</f>
        <v>Seguimiento al cumplimiento de la documentación académica.</v>
      </c>
      <c r="H206" s="20" t="str">
        <f>'Universitaria Software'!F28</f>
        <v>Director/a carrera - gestor académico</v>
      </c>
      <c r="I206" s="20" t="str">
        <f>'Universitaria Software'!G28</f>
        <v>Revisión de documentos académicos por materias</v>
      </c>
      <c r="J206" s="20" t="str">
        <f>'Universitaria Software'!H28</f>
        <v>Informe de carrera sobre la documentación recibida.</v>
      </c>
      <c r="K206" s="62">
        <f>'Universitaria Software'!I28</f>
        <v>1</v>
      </c>
      <c r="L206" s="160">
        <f>'Universitaria Software'!J28</f>
        <v>0</v>
      </c>
      <c r="M206" s="20">
        <f>'Universitaria Software'!K28</f>
        <v>0</v>
      </c>
      <c r="N206" s="20">
        <f>'Universitaria Software'!L28</f>
        <v>0</v>
      </c>
      <c r="O206" s="20">
        <f>'Universitaria Software'!M28</f>
        <v>0</v>
      </c>
      <c r="P206" s="20">
        <v>2025</v>
      </c>
    </row>
    <row r="207" spans="1:16" ht="14.25" customHeight="1">
      <c r="A207" s="20" t="s">
        <v>483</v>
      </c>
      <c r="B207" s="20" t="str">
        <f t="shared" si="18"/>
        <v>ESTRATEGIA 2</v>
      </c>
      <c r="C207" s="20" t="str">
        <f t="shared" si="19"/>
        <v>OBJETIVO OPERATIVO 1</v>
      </c>
      <c r="D207" s="20" t="b">
        <f>'Universitaria Software'!B29</f>
        <v>0</v>
      </c>
      <c r="E207" s="20" t="str">
        <f>'Universitaria Software'!C29</f>
        <v>Baja</v>
      </c>
      <c r="F207" s="21" t="str">
        <f>'Universitaria Software'!D29</f>
        <v>2025-I(Todo el ciclo)
2025-II(Todo de ciclo)</v>
      </c>
      <c r="G207" s="20" t="str">
        <f>'Universitaria Software'!E29</f>
        <v>Reuniones de carrera  para socialización y toma de decisiones</v>
      </c>
      <c r="H207" s="20" t="str">
        <f>'Universitaria Software'!F29</f>
        <v>Director/a carrera - gestor académico</v>
      </c>
      <c r="I207" s="20" t="str">
        <f>'Universitaria Software'!G29</f>
        <v>Reuniones de carrera de acuerdo a requerimientos</v>
      </c>
      <c r="J207" s="20" t="str">
        <f>'Universitaria Software'!H29</f>
        <v>Convocatorias, actas e informes de reuniones de carrera.</v>
      </c>
      <c r="K207" s="62">
        <f>'Universitaria Software'!I29</f>
        <v>1</v>
      </c>
      <c r="L207" s="160">
        <f>'Universitaria Software'!J29</f>
        <v>0</v>
      </c>
      <c r="M207" s="20">
        <f>'Universitaria Software'!K29</f>
        <v>0</v>
      </c>
      <c r="N207" s="20">
        <f>'Universitaria Software'!L29</f>
        <v>0</v>
      </c>
      <c r="O207" s="20">
        <f>'Universitaria Software'!M29</f>
        <v>0</v>
      </c>
      <c r="P207" s="20">
        <v>2025</v>
      </c>
    </row>
    <row r="208" spans="1:16" ht="14.25" customHeight="1">
      <c r="A208" s="20" t="s">
        <v>483</v>
      </c>
      <c r="B208" s="20" t="str">
        <f t="shared" si="18"/>
        <v>ESTRATEGIA 2</v>
      </c>
      <c r="C208" s="20" t="str">
        <f t="shared" si="19"/>
        <v>OBJETIVO OPERATIVO 1</v>
      </c>
      <c r="D208" s="20" t="b">
        <f>'Universitaria Software'!B30</f>
        <v>0</v>
      </c>
      <c r="E208" s="20" t="str">
        <f>'Universitaria Software'!C30</f>
        <v>Baja</v>
      </c>
      <c r="F208" s="21">
        <f>'Universitaria Software'!D30</f>
        <v>45838</v>
      </c>
      <c r="G208" s="20" t="str">
        <f>'Universitaria Software'!E30</f>
        <v>Informe semestral POA 2025</v>
      </c>
      <c r="H208" s="20" t="str">
        <f>'Universitaria Software'!F30</f>
        <v>Director/a carrera - gestor académico</v>
      </c>
      <c r="I208" s="20" t="str">
        <f>'Universitaria Software'!G30</f>
        <v>Informar sobre el avance del  POA</v>
      </c>
      <c r="J208" s="20" t="str">
        <f>'Universitaria Software'!H30</f>
        <v>Informe semestral seguimiento POA 2025</v>
      </c>
      <c r="K208" s="62">
        <f>'Universitaria Software'!I30</f>
        <v>1</v>
      </c>
      <c r="L208" s="160">
        <f>'Universitaria Software'!J30</f>
        <v>0</v>
      </c>
      <c r="M208" s="20">
        <f>'Universitaria Software'!K30</f>
        <v>0</v>
      </c>
      <c r="N208" s="20">
        <f>'Universitaria Software'!L30</f>
        <v>0</v>
      </c>
      <c r="O208" s="20">
        <f>'Universitaria Software'!M30</f>
        <v>0</v>
      </c>
      <c r="P208" s="20">
        <v>2025</v>
      </c>
    </row>
    <row r="209" spans="1:16" ht="14.25" customHeight="1">
      <c r="A209" s="20" t="s">
        <v>483</v>
      </c>
      <c r="B209" s="20" t="str">
        <f t="shared" si="18"/>
        <v>ESTRATEGIA 2</v>
      </c>
      <c r="C209" s="20" t="str">
        <f t="shared" si="19"/>
        <v>OBJETIVO OPERATIVO 1</v>
      </c>
      <c r="D209" s="20" t="b">
        <f>'Universitaria Software'!B31</f>
        <v>0</v>
      </c>
      <c r="E209" s="20" t="str">
        <f>'Universitaria Software'!C31</f>
        <v>Baja</v>
      </c>
      <c r="F209" s="21">
        <f>'Universitaria Software'!D31</f>
        <v>45991</v>
      </c>
      <c r="G209" s="20" t="str">
        <f>'Universitaria Software'!E31</f>
        <v>Informe final POA 2025</v>
      </c>
      <c r="H209" s="20" t="str">
        <f>'Universitaria Software'!F31</f>
        <v>Director/a carrera - gestor académico</v>
      </c>
      <c r="I209" s="20" t="str">
        <f>'Universitaria Software'!G31</f>
        <v>Informar sobre el alcance final del  POA</v>
      </c>
      <c r="J209" s="20" t="str">
        <f>'Universitaria Software'!H31</f>
        <v>Informe final POA 2025</v>
      </c>
      <c r="K209" s="62">
        <f>'Universitaria Software'!I31</f>
        <v>1</v>
      </c>
      <c r="L209" s="160">
        <f>'Universitaria Software'!J31</f>
        <v>0</v>
      </c>
      <c r="M209" s="20">
        <f>'Universitaria Software'!K31</f>
        <v>0</v>
      </c>
      <c r="N209" s="20">
        <f>'Universitaria Software'!L31</f>
        <v>0</v>
      </c>
      <c r="O209" s="20" t="str">
        <f>'Universitaria Software'!M31</f>
        <v>FALTA DOCUMENTOS</v>
      </c>
      <c r="P209" s="20">
        <v>2025</v>
      </c>
    </row>
    <row r="210" spans="1:16" ht="14.25" customHeight="1">
      <c r="A210" s="20" t="s">
        <v>483</v>
      </c>
      <c r="B210" s="20" t="str">
        <f t="shared" si="18"/>
        <v>ESTRATEGIA 2</v>
      </c>
      <c r="C210" s="20" t="str">
        <f t="shared" si="19"/>
        <v>OBJETIVO OPERATIVO 1</v>
      </c>
      <c r="D210" s="20" t="b">
        <f>'Universitaria Software'!B32</f>
        <v>0</v>
      </c>
      <c r="E210" s="20" t="str">
        <f>'Universitaria Software'!C32</f>
        <v>Baja</v>
      </c>
      <c r="F210" s="21">
        <f>'Universitaria Software'!D32</f>
        <v>46011</v>
      </c>
      <c r="G210" s="20" t="str">
        <f>'Universitaria Software'!E32</f>
        <v>Elaborar la Planificación Operativa Anual 2025</v>
      </c>
      <c r="H210" s="20" t="str">
        <f>'Universitaria Software'!F32</f>
        <v>Director/a carrera - gestor académico</v>
      </c>
      <c r="I210" s="20" t="str">
        <f>'Universitaria Software'!G32</f>
        <v>Realizar la planificación para el 2026</v>
      </c>
      <c r="J210" s="20" t="str">
        <f>'Universitaria Software'!H32</f>
        <v>POA 2026</v>
      </c>
      <c r="K210" s="62">
        <f>'Universitaria Software'!I32</f>
        <v>1</v>
      </c>
      <c r="L210" s="160">
        <f>'Universitaria Software'!J32</f>
        <v>0</v>
      </c>
      <c r="M210" s="20">
        <f>'Universitaria Software'!K32</f>
        <v>0</v>
      </c>
      <c r="N210" s="20">
        <f>'Universitaria Software'!L32</f>
        <v>0</v>
      </c>
      <c r="O210" s="20" t="str">
        <f>'Universitaria Software'!M32</f>
        <v>FALTA DOCUMENTOS</v>
      </c>
      <c r="P210" s="20">
        <v>2025</v>
      </c>
    </row>
    <row r="211" spans="1:16" ht="14.25" customHeight="1">
      <c r="A211" s="20" t="s">
        <v>483</v>
      </c>
      <c r="B211" s="20" t="str">
        <f t="shared" si="18"/>
        <v>ESTRATEGIA 2</v>
      </c>
      <c r="C211" s="20" t="str">
        <f t="shared" si="19"/>
        <v>OBJETIVO OPERATIVO 1</v>
      </c>
      <c r="D211" s="20" t="b">
        <f>'Universitaria Software'!B33</f>
        <v>0</v>
      </c>
      <c r="E211" s="20" t="str">
        <f>'Universitaria Software'!C33</f>
        <v>Media</v>
      </c>
      <c r="F211" s="21" t="str">
        <f>'Universitaria Software'!D33</f>
        <v>2025-I (inicio de ciclo)
2025-II (inicio de ciclo)</v>
      </c>
      <c r="G211" s="20" t="str">
        <f>'Universitaria Software'!E33</f>
        <v>Designación de tutores de curso</v>
      </c>
      <c r="H211" s="20" t="str">
        <f>'Universitaria Software'!F33</f>
        <v>Director/a carrera</v>
      </c>
      <c r="I211" s="20" t="str">
        <f>'Universitaria Software'!G33</f>
        <v>Realizar las designaciones y evidenciar los responsables y tutores de la carrera</v>
      </c>
      <c r="J211" s="20" t="str">
        <f>'Universitaria Software'!H33</f>
        <v>Documento de designación de tutores por parte del director de carrera</v>
      </c>
      <c r="K211" s="62">
        <f>'Universitaria Software'!I33</f>
        <v>1</v>
      </c>
      <c r="L211" s="160">
        <f>'Universitaria Software'!J33</f>
        <v>0</v>
      </c>
      <c r="M211" s="20">
        <f>'Universitaria Software'!K33</f>
        <v>0</v>
      </c>
      <c r="N211" s="20">
        <f>'Universitaria Software'!L33</f>
        <v>0</v>
      </c>
      <c r="O211" s="20">
        <f>'Universitaria Software'!M33</f>
        <v>0</v>
      </c>
      <c r="P211" s="20">
        <v>2025</v>
      </c>
    </row>
    <row r="212" spans="1:16" ht="14.25" customHeight="1">
      <c r="A212" s="20" t="s">
        <v>483</v>
      </c>
      <c r="B212" s="20" t="str">
        <f t="shared" si="18"/>
        <v>ESTRATEGIA 2</v>
      </c>
      <c r="C212" s="20" t="str">
        <f t="shared" si="19"/>
        <v>OBJETIVO OPERATIVO 1</v>
      </c>
      <c r="D212" s="20" t="b">
        <f>'Universitaria Software'!B34</f>
        <v>0</v>
      </c>
      <c r="E212" s="20" t="str">
        <f>'Universitaria Software'!C34</f>
        <v>Media</v>
      </c>
      <c r="F212" s="21" t="str">
        <f>'Universitaria Software'!D34</f>
        <v>2025-I(Todo el ciclo)
2025-II(Todo el ciclo)</v>
      </c>
      <c r="G212" s="20" t="str">
        <f>'Universitaria Software'!E34</f>
        <v>Ejecutar las actividades de la fase de SEGUIMIENTO del modelo metodológico del proceso de Seguimiento Curricular</v>
      </c>
      <c r="H212" s="20" t="str">
        <f>'Universitaria Software'!F34</f>
        <v>Director/a de carrera - Gestor/a académico
Tutores de curso</v>
      </c>
      <c r="I212" s="20" t="str">
        <f>'Universitaria Software'!G34</f>
        <v>Realizar el Seguimiento del modelo metodológico</v>
      </c>
      <c r="J212" s="20" t="str">
        <f>'Universitaria Software'!H34</f>
        <v>Fase SEGUIMIENTO:
INICIO: Socialización de Tutorías Académicas
DURANTE: Registro de Calificaciones del Primer Parcial
FINAL : Registro de Calificación Finales</v>
      </c>
      <c r="K212" s="62">
        <f>'Universitaria Software'!I34</f>
        <v>1</v>
      </c>
      <c r="L212" s="160">
        <f>'Universitaria Software'!J34</f>
        <v>0</v>
      </c>
      <c r="M212" s="20">
        <f>'Universitaria Software'!K34</f>
        <v>0</v>
      </c>
      <c r="N212" s="20">
        <f>'Universitaria Software'!L34</f>
        <v>0</v>
      </c>
      <c r="O212" s="20">
        <f>'Universitaria Software'!M34</f>
        <v>0</v>
      </c>
      <c r="P212" s="20">
        <v>2025</v>
      </c>
    </row>
    <row r="213" spans="1:16" ht="14.25" customHeight="1">
      <c r="A213" s="20" t="s">
        <v>483</v>
      </c>
      <c r="B213" s="20" t="str">
        <f t="shared" si="18"/>
        <v>ESTRATEGIA 2</v>
      </c>
      <c r="C213" s="20" t="str">
        <f t="shared" si="19"/>
        <v>OBJETIVO OPERATIVO 1</v>
      </c>
      <c r="D213" s="20" t="b">
        <f>'Universitaria Software'!B35</f>
        <v>0</v>
      </c>
      <c r="E213" s="20" t="str">
        <f>'Universitaria Software'!C35</f>
        <v>Media</v>
      </c>
      <c r="F213" s="21" t="str">
        <f>'Universitaria Software'!D35</f>
        <v>2025-I(Todo el ciclo)
2025-II(Todo el ciclo)</v>
      </c>
      <c r="G213" s="20" t="str">
        <f>'Universitaria Software'!E35</f>
        <v>Ejecutar las actividades de la fase de CONTROL del modelo metodológico del proceso de Seguimiento Curricular</v>
      </c>
      <c r="H213" s="20" t="str">
        <f>'Universitaria Software'!F35</f>
        <v>Director/a de carrera - Gestor/a académico
Tutores de curso</v>
      </c>
      <c r="I213" s="20" t="str">
        <f>'Universitaria Software'!G35</f>
        <v>Realizar el Control del modelo metodológico</v>
      </c>
      <c r="J213" s="20" t="str">
        <f>'Universitaria Software'!H35</f>
        <v>Fase CONTROL:
INICIO: Matriz consolidada de resultados de Pruebas de Diagnostico
DURANTE: Matriz consolidada de resultados de Calificaciones del Primer Parcial
FINAL : Matriz consolidada de resultados de Calificaciones Finales</v>
      </c>
      <c r="K213" s="62">
        <f>'Universitaria Software'!I35</f>
        <v>1</v>
      </c>
      <c r="L213" s="160">
        <f>'Universitaria Software'!J35</f>
        <v>0</v>
      </c>
      <c r="M213" s="20">
        <f>'Universitaria Software'!K35</f>
        <v>0</v>
      </c>
      <c r="N213" s="20">
        <f>'Universitaria Software'!L35</f>
        <v>0</v>
      </c>
      <c r="O213" s="20">
        <f>'Universitaria Software'!M35</f>
        <v>0</v>
      </c>
      <c r="P213" s="20">
        <v>2025</v>
      </c>
    </row>
    <row r="214" spans="1:16" ht="14.25" customHeight="1">
      <c r="A214" s="20" t="s">
        <v>483</v>
      </c>
      <c r="B214" s="20" t="str">
        <f t="shared" si="18"/>
        <v>ESTRATEGIA 2</v>
      </c>
      <c r="C214" s="20" t="str">
        <f t="shared" si="19"/>
        <v>OBJETIVO OPERATIVO 1</v>
      </c>
      <c r="D214" s="20" t="b">
        <f>'Universitaria Software'!B36</f>
        <v>0</v>
      </c>
      <c r="E214" s="20" t="str">
        <f>'Universitaria Software'!C36</f>
        <v>Media</v>
      </c>
      <c r="F214" s="21" t="str">
        <f>'Universitaria Software'!D36</f>
        <v>2025-I(Todo el ciclo)
2025-II(Todo el ciclo)</v>
      </c>
      <c r="G214" s="20" t="str">
        <f>'Universitaria Software'!E36</f>
        <v>Ejecutar las actividades de la fase de EVALUACIÓN del modelo metodológico del proceso de Seguimiento Curricular</v>
      </c>
      <c r="H214" s="20" t="str">
        <f>'Universitaria Software'!F36</f>
        <v>Director/a de carrera - Gestor/a académico
Tutores de curso</v>
      </c>
      <c r="I214" s="20" t="str">
        <f>'Universitaria Software'!G36</f>
        <v>Realizar la Evaluación del modelo metodológico</v>
      </c>
      <c r="J214" s="20" t="str">
        <f>'Universitaria Software'!H36</f>
        <v>Fase EVALAUCIÓN:
INICIO: Acta de reunión de inicio de ciclo estudiantes
DURANTE: Acta de reunión del Primer Parcial Docentes - Estudiantes
FINAL : Acta de reunión Final - Docentes - Estudiantes</v>
      </c>
      <c r="K214" s="62">
        <f>'Universitaria Software'!I36</f>
        <v>1</v>
      </c>
      <c r="L214" s="160">
        <f>'Universitaria Software'!J36</f>
        <v>0</v>
      </c>
      <c r="M214" s="20">
        <f>'Universitaria Software'!K36</f>
        <v>0</v>
      </c>
      <c r="N214" s="20">
        <f>'Universitaria Software'!L36</f>
        <v>0</v>
      </c>
      <c r="O214" s="20">
        <f>'Universitaria Software'!M36</f>
        <v>0</v>
      </c>
      <c r="P214" s="20">
        <v>2025</v>
      </c>
    </row>
    <row r="215" spans="1:16" ht="14.25" customHeight="1">
      <c r="A215" s="20" t="s">
        <v>483</v>
      </c>
      <c r="B215" s="20" t="str">
        <f t="shared" si="18"/>
        <v>ESTRATEGIA 2</v>
      </c>
      <c r="C215" s="20" t="str">
        <f t="shared" si="19"/>
        <v>OBJETIVO OPERATIVO 1</v>
      </c>
      <c r="D215" s="20" t="b">
        <f>'Universitaria Software'!B37</f>
        <v>0</v>
      </c>
      <c r="E215" s="20" t="str">
        <f>'Universitaria Software'!C37</f>
        <v>Baja</v>
      </c>
      <c r="F215" s="21" t="str">
        <f>'Universitaria Software'!D37</f>
        <v>2024-II(Fin de ciclo)
2025-I(Fin de Ciclo)</v>
      </c>
      <c r="G215" s="20" t="str">
        <f>'Universitaria Software'!E37</f>
        <v>Elaboración del Plan de Mejoramiento del proceso enseñanza aprendizaje</v>
      </c>
      <c r="H215" s="20" t="str">
        <f>'Universitaria Software'!F37</f>
        <v>Director/a carrera
Responsable de Seguimiento a graduados de la carrera</v>
      </c>
      <c r="I215" s="20" t="str">
        <f>'Universitaria Software'!G37</f>
        <v>De acuerdo a los resultados generar el Plan de Mejoramiento enseñanza aprendizaje</v>
      </c>
      <c r="J215" s="20" t="str">
        <f>'Universitaria Software'!H37</f>
        <v>Informe de plan de mejoramiento curricular</v>
      </c>
      <c r="K215" s="62">
        <f>'Universitaria Software'!I37</f>
        <v>1</v>
      </c>
      <c r="L215" s="160">
        <f>'Universitaria Software'!J37</f>
        <v>0</v>
      </c>
      <c r="M215" s="20">
        <f>'Universitaria Software'!K37</f>
        <v>0</v>
      </c>
      <c r="N215" s="20">
        <f>'Universitaria Software'!L37</f>
        <v>0</v>
      </c>
      <c r="O215" s="20">
        <f>'Universitaria Software'!M37</f>
        <v>0</v>
      </c>
      <c r="P215" s="20">
        <v>2025</v>
      </c>
    </row>
    <row r="216" spans="1:16" ht="14.25" customHeight="1">
      <c r="A216" s="20" t="s">
        <v>483</v>
      </c>
      <c r="B216" s="20" t="str">
        <f t="shared" si="18"/>
        <v>ESTRATEGIA 2</v>
      </c>
      <c r="C216" s="20" t="str">
        <f>'Universitaria Software'!E38</f>
        <v>OBJETIVO OPERATIVO 2</v>
      </c>
      <c r="D216" s="20" t="b">
        <f>'Universitaria Software'!B39</f>
        <v>1</v>
      </c>
      <c r="E216" s="20" t="str">
        <f>'Universitaria Software'!C39</f>
        <v>Media</v>
      </c>
      <c r="F216" s="21" t="str">
        <f>'Universitaria Software'!D39</f>
        <v>2025-II(Inicio de ciclo)</v>
      </c>
      <c r="G216" s="20" t="str">
        <f>'Universitaria Software'!E39</f>
        <v>Diseñar, gestionar e implementar cursos o programas de inducción y de actualización para docentes y estudiantes.</v>
      </c>
      <c r="H216" s="20" t="str">
        <f>'Universitaria Software'!F39</f>
        <v>Director/a carrera - gestor académico</v>
      </c>
      <c r="I216" s="20" t="str">
        <f>'Universitaria Software'!G39</f>
        <v>Generar la capacitación docente</v>
      </c>
      <c r="J216" s="20" t="str">
        <f>'Universitaria Software'!H39</f>
        <v>Informes de cursos y o programas.</v>
      </c>
      <c r="K216" s="62">
        <f>'Universitaria Software'!I39</f>
        <v>1</v>
      </c>
      <c r="L216" s="160">
        <f>'Universitaria Software'!J39</f>
        <v>0</v>
      </c>
      <c r="M216" s="20">
        <f>'Universitaria Software'!K39</f>
        <v>0</v>
      </c>
      <c r="N216" s="20">
        <f>'Universitaria Software'!L39</f>
        <v>0</v>
      </c>
      <c r="O216" s="20">
        <f>'Universitaria Software'!M39</f>
        <v>0</v>
      </c>
      <c r="P216" s="20">
        <v>2025</v>
      </c>
    </row>
    <row r="217" spans="1:16" ht="14.25" customHeight="1">
      <c r="A217" s="20" t="s">
        <v>483</v>
      </c>
      <c r="B217" s="20" t="str">
        <f t="shared" si="18"/>
        <v>ESTRATEGIA 2</v>
      </c>
      <c r="C217" s="20" t="str">
        <f>$C$216</f>
        <v>OBJETIVO OPERATIVO 2</v>
      </c>
      <c r="D217" s="20" t="b">
        <f>'Universitaria Software'!B40</f>
        <v>1</v>
      </c>
      <c r="E217" s="20" t="str">
        <f>'Universitaria Software'!C40</f>
        <v>Media</v>
      </c>
      <c r="F217" s="21" t="str">
        <f>'Universitaria Software'!D40</f>
        <v>2025-II(Inicio de ciclo)</v>
      </c>
      <c r="G217" s="20" t="str">
        <f>'Universitaria Software'!E40</f>
        <v>Capacitar a los estudiantes sobre la utilización de la Plataforma Moodle.</v>
      </c>
      <c r="H217" s="20" t="str">
        <f>'Universitaria Software'!F40</f>
        <v>responsable plataforma Moodle de la carrera</v>
      </c>
      <c r="I217" s="20" t="str">
        <f>'Universitaria Software'!G40</f>
        <v>Generar la capacitación estudiantil sobre el Moodle</v>
      </c>
      <c r="J217" s="20" t="str">
        <f>'Universitaria Software'!H40</f>
        <v>Informe sobre la capacitación</v>
      </c>
      <c r="K217" s="62">
        <f>'Universitaria Software'!I40</f>
        <v>0</v>
      </c>
      <c r="L217" s="160">
        <f>'Universitaria Software'!J40</f>
        <v>0</v>
      </c>
      <c r="M217" s="20">
        <f>'Universitaria Software'!K40</f>
        <v>0</v>
      </c>
      <c r="N217" s="20">
        <f>'Universitaria Software'!L40</f>
        <v>0</v>
      </c>
      <c r="O217" s="20" t="str">
        <f>'Universitaria Software'!M40</f>
        <v>Se ha planificado para el final del periodo 2025 II</v>
      </c>
      <c r="P217" s="20">
        <v>2025</v>
      </c>
    </row>
    <row r="218" spans="1:16" ht="14.25" customHeight="1">
      <c r="A218" s="20" t="s">
        <v>483</v>
      </c>
      <c r="B218" s="20" t="str">
        <f t="shared" si="18"/>
        <v>ESTRATEGIA 2</v>
      </c>
      <c r="C218" s="20" t="str">
        <f>$C$216</f>
        <v>OBJETIVO OPERATIVO 2</v>
      </c>
      <c r="D218" s="20" t="b">
        <f>'Universitaria Software'!B41</f>
        <v>1</v>
      </c>
      <c r="E218" s="20" t="str">
        <f>'Universitaria Software'!C41</f>
        <v>Baja</v>
      </c>
      <c r="F218" s="21" t="str">
        <f>'Universitaria Software'!D41</f>
        <v>2025-II(Fin de ciclo)</v>
      </c>
      <c r="G218" s="20" t="str">
        <f>'Universitaria Software'!E41</f>
        <v>Elaborar y ejecutar la planificación de oferta complementaria.</v>
      </c>
      <c r="H218" s="20" t="str">
        <f>'Universitaria Software'!F41</f>
        <v>Docentes de la carrera</v>
      </c>
      <c r="I218" s="20" t="str">
        <f>'Universitaria Software'!G41</f>
        <v>Analizar y realizar la oferta complementaria</v>
      </c>
      <c r="J218" s="20" t="str">
        <f>'Universitaria Software'!H41</f>
        <v>Informe de ejecución de la oferta complementaria.</v>
      </c>
      <c r="K218" s="62">
        <f>'Universitaria Software'!I41</f>
        <v>0</v>
      </c>
      <c r="L218" s="160">
        <f>'Universitaria Software'!J41</f>
        <v>0</v>
      </c>
      <c r="M218" s="20">
        <f>'Universitaria Software'!K41</f>
        <v>0</v>
      </c>
      <c r="N218" s="20">
        <f>'Universitaria Software'!L41</f>
        <v>0</v>
      </c>
      <c r="O218" s="20" t="str">
        <f>'Universitaria Software'!M41</f>
        <v>Se ha planificado para el final del periodo 2025 II</v>
      </c>
      <c r="P218" s="20">
        <v>2025</v>
      </c>
    </row>
    <row r="219" spans="1:16" ht="14.25" customHeight="1">
      <c r="A219" s="20" t="s">
        <v>483</v>
      </c>
      <c r="B219" s="20" t="str">
        <f t="shared" si="18"/>
        <v>ESTRATEGIA 2</v>
      </c>
      <c r="C219" s="20" t="str">
        <f>'Universitaria Software'!E42</f>
        <v>OBJETIVO OPERATIVO 3</v>
      </c>
      <c r="D219" s="20" t="b">
        <f>'Universitaria Software'!B43</f>
        <v>1</v>
      </c>
      <c r="E219" s="20" t="str">
        <f>'Universitaria Software'!C43</f>
        <v>Alta</v>
      </c>
      <c r="F219" s="21" t="str">
        <f>'Universitaria Software'!D43</f>
        <v>2025-I(Inicio de ciclo)</v>
      </c>
      <c r="G219" s="20" t="str">
        <f>'Universitaria Software'!E43</f>
        <v>Revisión de requisitos de la opción de titulación de los estudiantes.</v>
      </c>
      <c r="H219" s="20" t="str">
        <f>'Universitaria Software'!F43</f>
        <v>Director de carrera / Coordinador de carreras</v>
      </c>
      <c r="I219" s="20" t="str">
        <f>'Universitaria Software'!G43</f>
        <v>Realizar el análisis de la opción de titulación para los estudiantes</v>
      </c>
      <c r="J219" s="20" t="str">
        <f>'Universitaria Software'!H43</f>
        <v>Recopilar los documentos de los estudiantes de titulación.</v>
      </c>
      <c r="K219" s="62">
        <f>'Universitaria Software'!I43</f>
        <v>1</v>
      </c>
      <c r="L219" s="160">
        <f>'Universitaria Software'!J43</f>
        <v>0</v>
      </c>
      <c r="M219" s="20">
        <f>'Universitaria Software'!K43</f>
        <v>0</v>
      </c>
      <c r="N219" s="20">
        <f>'Universitaria Software'!L43</f>
        <v>0</v>
      </c>
      <c r="O219" s="20">
        <f>'Universitaria Software'!M43</f>
        <v>0</v>
      </c>
      <c r="P219" s="20">
        <v>2025</v>
      </c>
    </row>
    <row r="220" spans="1:16" ht="14.25" customHeight="1">
      <c r="A220" s="20" t="s">
        <v>483</v>
      </c>
      <c r="B220" s="20" t="str">
        <f t="shared" si="18"/>
        <v>ESTRATEGIA 2</v>
      </c>
      <c r="C220" s="20" t="str">
        <f>$C$219</f>
        <v>OBJETIVO OPERATIVO 3</v>
      </c>
      <c r="D220" s="20" t="b">
        <f>'Universitaria Software'!B44</f>
        <v>1</v>
      </c>
      <c r="E220" s="20" t="str">
        <f>'Universitaria Software'!C44</f>
        <v>Alta</v>
      </c>
      <c r="F220" s="21" t="str">
        <f>'Universitaria Software'!D44</f>
        <v>2025-I(Inicio de ciclo)</v>
      </c>
      <c r="G220" s="20" t="str">
        <f>'Universitaria Software'!E44</f>
        <v>Coordinación para aprobación de documentación de la integración curricular.</v>
      </c>
      <c r="H220" s="20" t="str">
        <f>'Universitaria Software'!F44</f>
        <v>Director de carrera / Coordinador de carreras</v>
      </c>
      <c r="I220" s="20" t="str">
        <f>'Universitaria Software'!G44</f>
        <v>Revisar y coordinar la aprobación de documentos para el ingreso a la unidad de integración curricular</v>
      </c>
      <c r="J220" s="20" t="str">
        <f>'Universitaria Software'!H44</f>
        <v>Aprobación de la documentación a titulación.</v>
      </c>
      <c r="K220" s="62">
        <f>'Universitaria Software'!I44</f>
        <v>1</v>
      </c>
      <c r="L220" s="160">
        <f>'Universitaria Software'!J44</f>
        <v>0</v>
      </c>
      <c r="M220" s="20">
        <f>'Universitaria Software'!K44</f>
        <v>0</v>
      </c>
      <c r="N220" s="20">
        <f>'Universitaria Software'!L44</f>
        <v>0</v>
      </c>
      <c r="O220" s="20">
        <f>'Universitaria Software'!M44</f>
        <v>0</v>
      </c>
      <c r="P220" s="20">
        <v>2025</v>
      </c>
    </row>
    <row r="221" spans="1:16" ht="14.25" customHeight="1">
      <c r="A221" s="20" t="s">
        <v>483</v>
      </c>
      <c r="B221" s="20" t="str">
        <f t="shared" si="18"/>
        <v>ESTRATEGIA 2</v>
      </c>
      <c r="C221" s="20" t="str">
        <f>$C$219</f>
        <v>OBJETIVO OPERATIVO 3</v>
      </c>
      <c r="D221" s="20" t="b">
        <f>'Universitaria Software'!B45</f>
        <v>1</v>
      </c>
      <c r="E221" s="20" t="str">
        <f>'Universitaria Software'!C45</f>
        <v>Alta</v>
      </c>
      <c r="F221" s="21" t="str">
        <f>'Universitaria Software'!D45</f>
        <v>2025-I(Fin de ciclo)</v>
      </c>
      <c r="G221" s="20" t="str">
        <f>'Universitaria Software'!E45</f>
        <v>Coordinación del evento de incorporación.</v>
      </c>
      <c r="H221" s="20" t="str">
        <f>'Universitaria Software'!F45</f>
        <v>Director de carrera / Coordinador de carreras</v>
      </c>
      <c r="I221" s="20" t="str">
        <f>'Universitaria Software'!G45</f>
        <v>Realizar la lista de estudiantes a titularse</v>
      </c>
      <c r="J221" s="20" t="str">
        <f>'Universitaria Software'!H45</f>
        <v>Matriz de datos de estudiantes a titularse</v>
      </c>
      <c r="K221" s="62">
        <f>'Universitaria Software'!I45</f>
        <v>1</v>
      </c>
      <c r="L221" s="160">
        <f>'Universitaria Software'!J45</f>
        <v>0</v>
      </c>
      <c r="M221" s="20">
        <f>'Universitaria Software'!K45</f>
        <v>0</v>
      </c>
      <c r="N221" s="20">
        <f>'Universitaria Software'!L45</f>
        <v>0</v>
      </c>
      <c r="O221" s="20">
        <f>'Universitaria Software'!M45</f>
        <v>0</v>
      </c>
      <c r="P221" s="20">
        <v>2025</v>
      </c>
    </row>
    <row r="222" spans="1:16" ht="14.25" customHeight="1">
      <c r="A222" s="20" t="s">
        <v>483</v>
      </c>
      <c r="B222" s="20" t="str">
        <f>'Universitaria Software'!B46</f>
        <v>ESTRATEGIA 3</v>
      </c>
      <c r="C222" s="20" t="str">
        <f>'Universitaria Software'!E46</f>
        <v>OBJETIVO OPERATIVO 1</v>
      </c>
      <c r="D222" s="20" t="b">
        <f>'Universitaria Software'!B47</f>
        <v>0</v>
      </c>
      <c r="E222" s="20" t="str">
        <f>'Universitaria Software'!C47</f>
        <v>Media</v>
      </c>
      <c r="F222" s="21" t="str">
        <f>'Universitaria Software'!D47</f>
        <v>2025-I(Todo el ciclo)
2025-II(Todo de ciclo)</v>
      </c>
      <c r="G222" s="20" t="str">
        <f>'Universitaria Software'!E47</f>
        <v>Colaborar con la comisión de Vinculación en la construcción de los documentos necesarios para la firma de convenios.</v>
      </c>
      <c r="H222" s="20" t="str">
        <f>'Universitaria Software'!F47</f>
        <v>Director/a carrera -responsable de practicas y vinculación</v>
      </c>
      <c r="I222" s="20" t="str">
        <f>'Universitaria Software'!G47</f>
        <v>Brindar apoyo y realizar ITV de vinculación de la carrera</v>
      </c>
      <c r="J222" s="20" t="str">
        <f>'Universitaria Software'!H47</f>
        <v>ITV  y los convenios.</v>
      </c>
      <c r="K222" s="62">
        <f>'Universitaria Software'!I47</f>
        <v>0</v>
      </c>
      <c r="L222" s="160">
        <f>'Universitaria Software'!J47</f>
        <v>0</v>
      </c>
      <c r="M222" s="20">
        <f>'Universitaria Software'!K47</f>
        <v>0</v>
      </c>
      <c r="N222" s="20">
        <f>'Universitaria Software'!L47</f>
        <v>0</v>
      </c>
      <c r="O222" s="20" t="str">
        <f>'Universitaria Software'!M47</f>
        <v>Segundo semestre</v>
      </c>
      <c r="P222" s="20">
        <v>2025</v>
      </c>
    </row>
    <row r="223" spans="1:16" ht="14.25" customHeight="1">
      <c r="A223" s="20" t="s">
        <v>483</v>
      </c>
      <c r="B223" s="20" t="str">
        <f>$B$222</f>
        <v>ESTRATEGIA 3</v>
      </c>
      <c r="C223" s="20" t="str">
        <f>$C$222</f>
        <v>OBJETIVO OPERATIVO 1</v>
      </c>
      <c r="D223" s="20" t="b">
        <f>'Universitaria Software'!B48</f>
        <v>0</v>
      </c>
      <c r="E223" s="20" t="str">
        <f>'Universitaria Software'!C48</f>
        <v>Baja</v>
      </c>
      <c r="F223" s="21" t="str">
        <f>'Universitaria Software'!D48</f>
        <v>2024-II( fin ciclo)
2025-I( fin ciclo)</v>
      </c>
      <c r="G223" s="20" t="str">
        <f>'Universitaria Software'!E48</f>
        <v>Divulgación de los resultados de los proyectos de vinculación, asistiendo a las ferias convocados por diferentes organizaciones.</v>
      </c>
      <c r="H223" s="20" t="str">
        <f>'Universitaria Software'!F48</f>
        <v>Director/a carrera -responsable de practicas y vinculación</v>
      </c>
      <c r="I223" s="20" t="str">
        <f>'Universitaria Software'!G48</f>
        <v>Realizar la divulgación de los resultados de los proyectos de vinculación</v>
      </c>
      <c r="J223" s="20" t="str">
        <f>'Universitaria Software'!H48</f>
        <v>Informe de la divulgación.</v>
      </c>
      <c r="K223" s="62">
        <f>'Universitaria Software'!I48</f>
        <v>1</v>
      </c>
      <c r="L223" s="160">
        <f>'Universitaria Software'!J48</f>
        <v>0</v>
      </c>
      <c r="M223" s="20">
        <f>'Universitaria Software'!K48</f>
        <v>0</v>
      </c>
      <c r="N223" s="20">
        <f>'Universitaria Software'!L48</f>
        <v>0</v>
      </c>
      <c r="O223" s="20" t="str">
        <f>'Universitaria Software'!M48</f>
        <v>Segundo semestre</v>
      </c>
      <c r="P223" s="20">
        <v>2025</v>
      </c>
    </row>
    <row r="224" spans="1:16" ht="14.25" customHeight="1">
      <c r="A224" s="20" t="s">
        <v>483</v>
      </c>
      <c r="B224" s="20" t="str">
        <f>$B$222</f>
        <v>ESTRATEGIA 3</v>
      </c>
      <c r="C224" s="20" t="str">
        <f>$C$222</f>
        <v>OBJETIVO OPERATIVO 1</v>
      </c>
      <c r="D224" s="20" t="b">
        <f>'Universitaria Software'!B49</f>
        <v>0</v>
      </c>
      <c r="E224" s="20" t="str">
        <f>'Universitaria Software'!C49</f>
        <v>Baja</v>
      </c>
      <c r="F224" s="21" t="str">
        <f>'Universitaria Software'!D49</f>
        <v>2025-I (inicio ciclo)
2025-II(inicio ciclo)</v>
      </c>
      <c r="G224" s="20" t="str">
        <f>'Universitaria Software'!E49</f>
        <v>Socializar con los estudiantes el reglamento de vinculación</v>
      </c>
      <c r="H224" s="20" t="str">
        <f>'Universitaria Software'!F49</f>
        <v>Director/a carrera -responsable de practicas y vinculación</v>
      </c>
      <c r="I224" s="20" t="str">
        <f>'Universitaria Software'!G49</f>
        <v>Realizar la socialización del reglamento de vinculación con los estudiantes</v>
      </c>
      <c r="J224" s="20" t="str">
        <f>'Universitaria Software'!H49</f>
        <v>Informe de socialización del reglamento.</v>
      </c>
      <c r="K224" s="62">
        <f>'Universitaria Software'!I49</f>
        <v>0</v>
      </c>
      <c r="L224" s="160">
        <f>'Universitaria Software'!J49</f>
        <v>0</v>
      </c>
      <c r="M224" s="20">
        <f>'Universitaria Software'!K49</f>
        <v>0</v>
      </c>
      <c r="N224" s="20">
        <f>'Universitaria Software'!L49</f>
        <v>0</v>
      </c>
      <c r="O224" s="20" t="str">
        <f>'Universitaria Software'!M49</f>
        <v>Segundo semestre</v>
      </c>
      <c r="P224" s="20">
        <v>2025</v>
      </c>
    </row>
    <row r="225" spans="1:16" ht="14.25" customHeight="1">
      <c r="A225" s="20" t="s">
        <v>483</v>
      </c>
      <c r="B225" s="20" t="str">
        <f>$B$222</f>
        <v>ESTRATEGIA 3</v>
      </c>
      <c r="C225" s="20" t="str">
        <f>'Universitaria Software'!E50</f>
        <v>OBJETIVO OPERATIVO 2</v>
      </c>
      <c r="D225" s="20" t="b">
        <f>'Universitaria Software'!B51</f>
        <v>1</v>
      </c>
      <c r="E225" s="20" t="str">
        <f>'Universitaria Software'!C51</f>
        <v>Alta</v>
      </c>
      <c r="F225" s="21" t="str">
        <f>'Universitaria Software'!D51</f>
        <v>2025-I (inicio ciclo)
2025-II(inicio ciclo)</v>
      </c>
      <c r="G225" s="20" t="str">
        <f>'Universitaria Software'!E51</f>
        <v>Conocer las líneas de investigación de la carrera</v>
      </c>
      <c r="H225" s="20" t="str">
        <f>'Universitaria Software'!F51</f>
        <v>Director de carrera</v>
      </c>
      <c r="I225" s="20" t="str">
        <f>'Universitaria Software'!G51</f>
        <v>Analizar y realizar las líneas de investigación de la carrera</v>
      </c>
      <c r="J225" s="20" t="str">
        <f>'Universitaria Software'!H51</f>
        <v>Informe de socialización de las líneas de investigación de la carrera</v>
      </c>
      <c r="K225" s="62">
        <f>'Universitaria Software'!I51</f>
        <v>0.5</v>
      </c>
      <c r="L225" s="160">
        <f>'Universitaria Software'!J51</f>
        <v>0</v>
      </c>
      <c r="M225" s="20">
        <f>'Universitaria Software'!K51</f>
        <v>0</v>
      </c>
      <c r="N225" s="20">
        <f>'Universitaria Software'!L51</f>
        <v>0</v>
      </c>
      <c r="O225" s="20">
        <f>'Universitaria Software'!M51</f>
        <v>0</v>
      </c>
      <c r="P225" s="20">
        <v>2025</v>
      </c>
    </row>
    <row r="226" spans="1:16" ht="14.25" customHeight="1">
      <c r="A226" s="20" t="s">
        <v>483</v>
      </c>
      <c r="B226" s="20" t="str">
        <f>$B$225</f>
        <v>ESTRATEGIA 3</v>
      </c>
      <c r="C226" s="20" t="str">
        <f>$C$225</f>
        <v>OBJETIVO OPERATIVO 2</v>
      </c>
      <c r="D226" s="20" t="b">
        <f>'Universitaria Software'!B52</f>
        <v>1</v>
      </c>
      <c r="E226" s="20" t="str">
        <f>'Universitaria Software'!C52</f>
        <v>Alta</v>
      </c>
      <c r="F226" s="21" t="str">
        <f>'Universitaria Software'!D52</f>
        <v>2025-I(Todo el ciclo)
2025-II(Todo de ciclo)</v>
      </c>
      <c r="G226" s="20" t="str">
        <f>'Universitaria Software'!E52</f>
        <v>Desarrollar investigación científica y tecnológica que contribuya con la construcción de soluciones para los problemas del país, en relación con los objetivos del régimen de desarrollo.</v>
      </c>
      <c r="H226" s="20" t="str">
        <f>'Universitaria Software'!F52</f>
        <v>Director de Carrera
Docentes de la carrera
Comisión de Investigación</v>
      </c>
      <c r="I226" s="20" t="str">
        <f>'Universitaria Software'!G52</f>
        <v>Incentivar y desarrollar la investigación de los docentes de la carrera en base a las líneas de la carrera</v>
      </c>
      <c r="J226" s="20" t="str">
        <f>'Universitaria Software'!H52</f>
        <v>Artículos publicados por los docentes de la carrera</v>
      </c>
      <c r="K226" s="62">
        <f>'Universitaria Software'!I52</f>
        <v>0</v>
      </c>
      <c r="L226" s="160">
        <f>'Universitaria Software'!J52</f>
        <v>0</v>
      </c>
      <c r="M226" s="20">
        <f>'Universitaria Software'!K52</f>
        <v>0</v>
      </c>
      <c r="N226" s="20">
        <f>'Universitaria Software'!L52</f>
        <v>0</v>
      </c>
      <c r="O226" s="20" t="str">
        <f>'Universitaria Software'!M52</f>
        <v>Segundo semestre</v>
      </c>
      <c r="P226" s="20">
        <v>2025</v>
      </c>
    </row>
    <row r="227" spans="1:16" ht="14.25" customHeight="1">
      <c r="A227" s="20" t="s">
        <v>483</v>
      </c>
      <c r="B227" s="20" t="str">
        <f>$B$225</f>
        <v>ESTRATEGIA 3</v>
      </c>
      <c r="C227" s="20" t="str">
        <f>'Universitaria Software'!E53</f>
        <v>OBJETIVO OPERATIVO 3</v>
      </c>
      <c r="D227" s="20" t="b">
        <f>'Universitaria Software'!B54</f>
        <v>1</v>
      </c>
      <c r="E227" s="20" t="str">
        <f>'Universitaria Software'!C54</f>
        <v>Baja</v>
      </c>
      <c r="F227" s="21" t="str">
        <f>'Universitaria Software'!D54</f>
        <v>2025-I(Todo el ciclo)
2025-II(Todo de ciclo)</v>
      </c>
      <c r="G227" s="20" t="str">
        <f>'Universitaria Software'!E54</f>
        <v>Ejecutar la formación en valores y desarrollo de habilidades blandas.</v>
      </c>
      <c r="H227" s="20" t="str">
        <f>'Universitaria Software'!F54</f>
        <v>Director de carrera
Gestor académico
Bienestar institucional</v>
      </c>
      <c r="I227" s="20" t="str">
        <f>'Universitaria Software'!G54</f>
        <v>Realizar un curso de habilidades blandas que se desarrollara para todo el instituto</v>
      </c>
      <c r="J227" s="20" t="str">
        <f>'Universitaria Software'!H54</f>
        <v>Informe de formación en valores y desarrollo de habilidades blandas</v>
      </c>
      <c r="K227" s="62">
        <f>'Universitaria Software'!I54</f>
        <v>1</v>
      </c>
      <c r="L227" s="160">
        <f>'Universitaria Software'!J54</f>
        <v>0</v>
      </c>
      <c r="M227" s="20">
        <f>'Universitaria Software'!K54</f>
        <v>0</v>
      </c>
      <c r="N227" s="20">
        <f>'Universitaria Software'!L54</f>
        <v>0</v>
      </c>
      <c r="O227" s="20">
        <f>'Universitaria Software'!M54</f>
        <v>0</v>
      </c>
      <c r="P227" s="20">
        <v>2025</v>
      </c>
    </row>
    <row r="228" spans="1:16" ht="14.25" customHeight="1">
      <c r="A228" s="20" t="s">
        <v>483</v>
      </c>
      <c r="B228" s="20" t="str">
        <f>'Universitaria Software'!B55</f>
        <v>ESTRATEGIA 4</v>
      </c>
      <c r="C228" s="20" t="str">
        <f>'Universitaria Software'!E55</f>
        <v>OBJETIVO OPERATIVO 1</v>
      </c>
      <c r="D228" s="20" t="b">
        <f>'Universitaria Software'!B56</f>
        <v>0</v>
      </c>
      <c r="E228" s="20" t="str">
        <f>'Universitaria Software'!C56</f>
        <v>Baja</v>
      </c>
      <c r="F228" s="21" t="str">
        <f>'Universitaria Software'!D56</f>
        <v>2025-I (fin ciclo)
2025-II(fin ciclo)</v>
      </c>
      <c r="G228" s="20" t="str">
        <f>'Universitaria Software'!E56</f>
        <v>Elaboración de matrices de la oferta académica institucional.</v>
      </c>
      <c r="H228" s="20" t="str">
        <f>'Universitaria Software'!F56</f>
        <v>Director de Carrera
Gestor Académico</v>
      </c>
      <c r="I228" s="20" t="str">
        <f>'Universitaria Software'!G56</f>
        <v>Generación de matrices de oferta académica para la captación de más estudiantes</v>
      </c>
      <c r="J228" s="20" t="str">
        <f>'Universitaria Software'!H56</f>
        <v>Matrices de la oferta académica.</v>
      </c>
      <c r="K228" s="62">
        <f>'Universitaria Software'!I56</f>
        <v>1</v>
      </c>
      <c r="L228" s="160">
        <f>'Universitaria Software'!J56</f>
        <v>0</v>
      </c>
      <c r="M228" s="20">
        <f>'Universitaria Software'!K56</f>
        <v>0</v>
      </c>
      <c r="N228" s="20">
        <f>'Universitaria Software'!L56</f>
        <v>0</v>
      </c>
      <c r="O228" s="20">
        <f>'Universitaria Software'!M56</f>
        <v>0</v>
      </c>
      <c r="P228" s="20">
        <v>2025</v>
      </c>
    </row>
    <row r="229" spans="1:16" ht="14.25" customHeight="1">
      <c r="A229" s="20" t="s">
        <v>483</v>
      </c>
      <c r="B229" s="20" t="str">
        <f>$B$228</f>
        <v>ESTRATEGIA 4</v>
      </c>
      <c r="C229" s="20" t="str">
        <f>$C$228</f>
        <v>OBJETIVO OPERATIVO 1</v>
      </c>
      <c r="D229" s="20" t="b">
        <f>'Universitaria Software'!B57</f>
        <v>0</v>
      </c>
      <c r="E229" s="20" t="str">
        <f>'Universitaria Software'!C57</f>
        <v>Baja</v>
      </c>
      <c r="F229" s="21" t="str">
        <f>'Universitaria Software'!D57</f>
        <v xml:space="preserve">
2025-II(fin ciclo)</v>
      </c>
      <c r="G229" s="20" t="str">
        <f>'Universitaria Software'!E57</f>
        <v>Planificación de demanda estudiantil.</v>
      </c>
      <c r="H229" s="20" t="str">
        <f>'Universitaria Software'!F57</f>
        <v>Director de Carrera
Gestor Académico</v>
      </c>
      <c r="I229" s="20" t="str">
        <f>'Universitaria Software'!G57</f>
        <v>Planificar la demanda institucional en base a históricos de periodos anteriores</v>
      </c>
      <c r="J229" s="20" t="str">
        <f>'Universitaria Software'!H57</f>
        <v>Listado certificado  de matriculados de la carrera</v>
      </c>
      <c r="K229" s="62">
        <f>'Universitaria Software'!I57</f>
        <v>1</v>
      </c>
      <c r="L229" s="160">
        <f>'Universitaria Software'!J57</f>
        <v>0</v>
      </c>
      <c r="M229" s="20">
        <f>'Universitaria Software'!K57</f>
        <v>0</v>
      </c>
      <c r="N229" s="20">
        <f>'Universitaria Software'!L57</f>
        <v>0</v>
      </c>
      <c r="O229" s="20">
        <f>'Universitaria Software'!M57</f>
        <v>0</v>
      </c>
      <c r="P229" s="20">
        <v>2025</v>
      </c>
    </row>
    <row r="230" spans="1:16" ht="14.25" customHeight="1">
      <c r="A230" s="20" t="s">
        <v>483</v>
      </c>
      <c r="B230" s="20" t="str">
        <f>$B$228</f>
        <v>ESTRATEGIA 4</v>
      </c>
      <c r="C230" s="20" t="str">
        <f>$C$228</f>
        <v>OBJETIVO OPERATIVO 1</v>
      </c>
      <c r="D230" s="20" t="b">
        <f>'Universitaria Software'!B58</f>
        <v>0</v>
      </c>
      <c r="E230" s="20" t="str">
        <f>'Universitaria Software'!C58</f>
        <v>Media</v>
      </c>
      <c r="F230" s="21" t="str">
        <f>'Universitaria Software'!D58</f>
        <v>2025-II(fin ciclo)</v>
      </c>
      <c r="G230" s="20" t="str">
        <f>'Universitaria Software'!E58</f>
        <v>Análisis de capacidad operativa de la institución.</v>
      </c>
      <c r="H230" s="20" t="str">
        <f>'Universitaria Software'!F58</f>
        <v>Director de Carrera
Gestor Académico</v>
      </c>
      <c r="I230" s="20" t="str">
        <f>'Universitaria Software'!G58</f>
        <v>Análisis de requerimientos sustantivo y no sustantivo de la carrera</v>
      </c>
      <c r="J230" s="20" t="str">
        <f>'Universitaria Software'!H58</f>
        <v>Resolución de aprobación por OCS de Estandarización de Carrera</v>
      </c>
      <c r="K230" s="62">
        <f>'Universitaria Software'!I58</f>
        <v>1</v>
      </c>
      <c r="L230" s="160">
        <f>'Universitaria Software'!J58</f>
        <v>0</v>
      </c>
      <c r="M230" s="20">
        <f>'Universitaria Software'!K58</f>
        <v>0</v>
      </c>
      <c r="N230" s="20">
        <f>'Universitaria Software'!L58</f>
        <v>0</v>
      </c>
      <c r="O230" s="20">
        <f>'Universitaria Software'!M58</f>
        <v>0</v>
      </c>
      <c r="P230" s="20">
        <v>2025</v>
      </c>
    </row>
    <row r="231" spans="1:16" ht="14.25" customHeight="1">
      <c r="A231" s="20" t="s">
        <v>484</v>
      </c>
      <c r="B231" s="20" t="str">
        <f>'Biga Data'!B10</f>
        <v>ESTRATEGIA 1</v>
      </c>
      <c r="C231" s="20" t="str">
        <f>'Biga Data'!E10</f>
        <v>OBJETIVO OPERATIVO 1</v>
      </c>
      <c r="D231" s="20" t="b">
        <f>'Biga Data'!B11</f>
        <v>0</v>
      </c>
      <c r="E231" s="20" t="str">
        <f>'Biga Data'!C11</f>
        <v>Media</v>
      </c>
      <c r="F231" s="20" t="str">
        <f>'Biga Data'!D11</f>
        <v>2025-I ( Inicio ciclo)</v>
      </c>
      <c r="G231" s="20" t="str">
        <f>'Biga Data'!E11</f>
        <v>Planificar y estructurar las capacitaciones en el área técnica y didáctica.</v>
      </c>
      <c r="H231" s="20" t="str">
        <f>'Biga Data'!F11</f>
        <v>Director/a carrera
Docentes</v>
      </c>
      <c r="I231" s="20" t="str">
        <f>'Biga Data'!G11</f>
        <v>Desarrollo del plan de capacitación docente</v>
      </c>
      <c r="J231" s="20" t="str">
        <f>'Biga Data'!H11</f>
        <v>Plan de capacitación docente.</v>
      </c>
      <c r="K231" s="62">
        <f>'Biga Data'!I11</f>
        <v>1</v>
      </c>
      <c r="L231" s="160">
        <f>'Biga Data'!J11</f>
        <v>0</v>
      </c>
      <c r="M231" s="20">
        <f>'Biga Data'!K11</f>
        <v>0</v>
      </c>
      <c r="N231" s="20">
        <f>'Biga Data'!L11</f>
        <v>0</v>
      </c>
      <c r="O231" s="20">
        <f>'Biga Data'!M11</f>
        <v>0</v>
      </c>
      <c r="P231" s="20">
        <v>2025</v>
      </c>
    </row>
    <row r="232" spans="1:16" ht="14.25" customHeight="1">
      <c r="A232" s="20" t="s">
        <v>484</v>
      </c>
      <c r="B232" s="20" t="str">
        <f t="shared" ref="B232:B241" si="20">$B$231</f>
        <v>ESTRATEGIA 1</v>
      </c>
      <c r="C232" s="20" t="str">
        <f>$C$231</f>
        <v>OBJETIVO OPERATIVO 1</v>
      </c>
      <c r="D232" s="20" t="b">
        <f>'Biga Data'!B12</f>
        <v>0</v>
      </c>
      <c r="E232" s="20" t="str">
        <f>'Biga Data'!C12</f>
        <v>Baja</v>
      </c>
      <c r="F232" s="20" t="str">
        <f>'Biga Data'!D12</f>
        <v>2025-II ( fin ciclo)</v>
      </c>
      <c r="G232" s="20" t="str">
        <f>'Biga Data'!E12</f>
        <v>Ejecutar las capacitaciones planificadas.</v>
      </c>
      <c r="H232" s="20" t="str">
        <f>'Biga Data'!F12</f>
        <v>Director/a carrera
Docentes</v>
      </c>
      <c r="I232" s="20" t="str">
        <f>'Biga Data'!G12</f>
        <v>informar sobre el plan de capacitación docente</v>
      </c>
      <c r="J232" s="20" t="str">
        <f>'Biga Data'!H12</f>
        <v>Informe de ejecución del plan de capacitación docente.</v>
      </c>
      <c r="K232" s="62">
        <f>'Biga Data'!I12</f>
        <v>1</v>
      </c>
      <c r="L232" s="160">
        <f>'Biga Data'!J12</f>
        <v>0</v>
      </c>
      <c r="M232" s="20">
        <f>'Biga Data'!K12</f>
        <v>0</v>
      </c>
      <c r="N232" s="20">
        <f>'Biga Data'!L12</f>
        <v>0</v>
      </c>
      <c r="O232" s="20">
        <f>'Biga Data'!M12</f>
        <v>0</v>
      </c>
      <c r="P232" s="20">
        <v>2025</v>
      </c>
    </row>
    <row r="233" spans="1:16" ht="14.25" customHeight="1">
      <c r="A233" s="20" t="s">
        <v>484</v>
      </c>
      <c r="B233" s="20" t="str">
        <f t="shared" si="20"/>
        <v>ESTRATEGIA 1</v>
      </c>
      <c r="C233" s="20" t="str">
        <f>$C$231</f>
        <v>OBJETIVO OPERATIVO 1</v>
      </c>
      <c r="D233" s="20" t="b">
        <f>'Biga Data'!B13</f>
        <v>0</v>
      </c>
      <c r="E233" s="20" t="str">
        <f>'Biga Data'!C13</f>
        <v>Media</v>
      </c>
      <c r="F233" s="20" t="str">
        <f>'Biga Data'!D13</f>
        <v>2024-II( fin ciclo)
2025-I( fin ciclo)</v>
      </c>
      <c r="G233" s="20" t="str">
        <f>'Biga Data'!E13</f>
        <v>Entregar los resultados de los procesos de Evaluación al desempeño Docente y acciones realizadas.</v>
      </c>
      <c r="H233" s="20" t="str">
        <f>'Biga Data'!F13</f>
        <v>Director/a carrera
Docentes</v>
      </c>
      <c r="I233" s="20" t="str">
        <f>'Biga Data'!G13</f>
        <v>Generar una matriz para el registro de entrega de evaluaciones docentes</v>
      </c>
      <c r="J233" s="20" t="str">
        <f>'Biga Data'!H13</f>
        <v>Registro de entrega de evaluaciones a los docentes</v>
      </c>
      <c r="K233" s="62">
        <f>'Biga Data'!I13</f>
        <v>1</v>
      </c>
      <c r="L233" s="160">
        <f>'Biga Data'!J13</f>
        <v>0</v>
      </c>
      <c r="M233" s="20">
        <f>'Biga Data'!K13</f>
        <v>0</v>
      </c>
      <c r="N233" s="20">
        <f>'Biga Data'!L13</f>
        <v>0</v>
      </c>
      <c r="O233" s="20">
        <f>'Biga Data'!M13</f>
        <v>0</v>
      </c>
      <c r="P233" s="20">
        <v>2025</v>
      </c>
    </row>
    <row r="234" spans="1:16" ht="14.25" customHeight="1">
      <c r="A234" s="20" t="s">
        <v>484</v>
      </c>
      <c r="B234" s="20" t="str">
        <f t="shared" si="20"/>
        <v>ESTRATEGIA 1</v>
      </c>
      <c r="C234" s="20" t="str">
        <f>'Biga Data'!E14</f>
        <v>OBJETIVO OPERATIVO 2</v>
      </c>
      <c r="D234" s="20" t="b">
        <f>'Biga Data'!B15</f>
        <v>0</v>
      </c>
      <c r="E234" s="20" t="str">
        <f>'Biga Data'!C15</f>
        <v>Baja</v>
      </c>
      <c r="F234" s="20" t="str">
        <f>'Biga Data'!D15</f>
        <v>2025-I (inicio ciclo)
2025-II(inicio ciclo)</v>
      </c>
      <c r="G234" s="20" t="str">
        <f>'Biga Data'!E15</f>
        <v>Socializar con los docentes el uso adecuado de la plataforma Moodle.</v>
      </c>
      <c r="H234" s="20" t="str">
        <f>'Biga Data'!F15</f>
        <v>Responsable de Moodle de la carrera</v>
      </c>
      <c r="I234" s="20" t="str">
        <f>'Biga Data'!G15</f>
        <v>Realizar la socialización y generar un informe sobre el uso del Moodle</v>
      </c>
      <c r="J234" s="20" t="str">
        <f>'Biga Data'!H15</f>
        <v>Informe de socialización / inducción a los docentes</v>
      </c>
      <c r="K234" s="62">
        <f>'Biga Data'!I15</f>
        <v>1</v>
      </c>
      <c r="L234" s="160">
        <f>'Biga Data'!J15</f>
        <v>0</v>
      </c>
      <c r="M234" s="20">
        <f>'Biga Data'!K15</f>
        <v>0</v>
      </c>
      <c r="N234" s="20">
        <f>'Biga Data'!L15</f>
        <v>0</v>
      </c>
      <c r="O234" s="20">
        <f>'Biga Data'!M15</f>
        <v>0</v>
      </c>
      <c r="P234" s="20">
        <v>2025</v>
      </c>
    </row>
    <row r="235" spans="1:16" ht="14.25" customHeight="1">
      <c r="A235" s="20" t="s">
        <v>484</v>
      </c>
      <c r="B235" s="20" t="str">
        <f t="shared" si="20"/>
        <v>ESTRATEGIA 1</v>
      </c>
      <c r="C235" s="20" t="str">
        <f>$C$234</f>
        <v>OBJETIVO OPERATIVO 2</v>
      </c>
      <c r="D235" s="20" t="b">
        <f>'Biga Data'!B16</f>
        <v>0</v>
      </c>
      <c r="E235" s="20" t="str">
        <f>'Biga Data'!C16</f>
        <v>Media</v>
      </c>
      <c r="F235" s="20" t="str">
        <f>'Biga Data'!D16</f>
        <v>2024-II( fin ciclo)
2025-I( fin ciclo)</v>
      </c>
      <c r="G235" s="20" t="str">
        <f>'Biga Data'!E16</f>
        <v>Revisar el aporte de cada docente en la plataforma Moodle</v>
      </c>
      <c r="H235" s="20" t="str">
        <f>'Biga Data'!F16</f>
        <v>Responsable de Moodle de la carrera</v>
      </c>
      <c r="I235" s="20" t="str">
        <f>'Biga Data'!G16</f>
        <v>Controlar el uso adecuado de la plataforma y generar un informe.</v>
      </c>
      <c r="J235" s="20" t="str">
        <f>'Biga Data'!H16</f>
        <v>Informe de actividades en la plataforma Moodle.</v>
      </c>
      <c r="K235" s="62">
        <f>'Biga Data'!I16</f>
        <v>1</v>
      </c>
      <c r="L235" s="160">
        <f>'Biga Data'!J16</f>
        <v>0</v>
      </c>
      <c r="M235" s="20">
        <f>'Biga Data'!K16</f>
        <v>0</v>
      </c>
      <c r="N235" s="20">
        <f>'Biga Data'!L16</f>
        <v>0</v>
      </c>
      <c r="O235" s="20">
        <f>'Biga Data'!M16</f>
        <v>0</v>
      </c>
      <c r="P235" s="20">
        <v>2025</v>
      </c>
    </row>
    <row r="236" spans="1:16" ht="14.25" customHeight="1">
      <c r="A236" s="20" t="s">
        <v>484</v>
      </c>
      <c r="B236" s="20" t="str">
        <f t="shared" si="20"/>
        <v>ESTRATEGIA 1</v>
      </c>
      <c r="C236" s="20" t="str">
        <f>'Biga Data'!E17</f>
        <v>OBJETIVO OPERATIVO 3</v>
      </c>
      <c r="D236" s="20" t="b">
        <f>'Biga Data'!B18</f>
        <v>0</v>
      </c>
      <c r="E236" s="20" t="str">
        <f>'Biga Data'!C18</f>
        <v>Alta</v>
      </c>
      <c r="F236" s="20" t="str">
        <f>'Biga Data'!D18</f>
        <v>2025-I(inicio ciclo)
2025-II (inicio ciclo)</v>
      </c>
      <c r="G236" s="20" t="str">
        <f>'Biga Data'!E18</f>
        <v>Planificar y desarrollar una reunión del colectivo académico</v>
      </c>
      <c r="H236" s="20" t="str">
        <f>'Biga Data'!F18</f>
        <v>Director/a carrera</v>
      </c>
      <c r="I236" s="20" t="str">
        <f>'Biga Data'!G18</f>
        <v>Realizar y evidenciar los colectivos académicos</v>
      </c>
      <c r="J236" s="20" t="str">
        <f>'Biga Data'!H18</f>
        <v>Convocatoria al colectivo de académico</v>
      </c>
      <c r="K236" s="62">
        <f>'Biga Data'!I18</f>
        <v>0.5</v>
      </c>
      <c r="L236" s="160">
        <f>'Biga Data'!J18</f>
        <v>0</v>
      </c>
      <c r="M236" s="20">
        <f>'Biga Data'!K18</f>
        <v>0</v>
      </c>
      <c r="N236" s="20">
        <f>'Biga Data'!L18</f>
        <v>0</v>
      </c>
      <c r="O236" s="20" t="str">
        <f>'Biga Data'!M18</f>
        <v>NO se localiza la convocatoria del ciclo académico 2025-II</v>
      </c>
      <c r="P236" s="20">
        <v>2025</v>
      </c>
    </row>
    <row r="237" spans="1:16" ht="14.25" customHeight="1">
      <c r="A237" s="20" t="s">
        <v>484</v>
      </c>
      <c r="B237" s="20" t="str">
        <f t="shared" si="20"/>
        <v>ESTRATEGIA 1</v>
      </c>
      <c r="C237" s="20" t="str">
        <f>$C$236</f>
        <v>OBJETIVO OPERATIVO 3</v>
      </c>
      <c r="D237" s="20" t="b">
        <f>'Biga Data'!B19</f>
        <v>0</v>
      </c>
      <c r="E237" s="20" t="str">
        <f>'Biga Data'!C19</f>
        <v>Media</v>
      </c>
      <c r="F237" s="20" t="str">
        <f>'Biga Data'!D19</f>
        <v>2024-II(fin de ciclo)
2025-I(fin de ciclo)</v>
      </c>
      <c r="G237" s="20" t="str">
        <f>'Biga Data'!E19</f>
        <v>Revisión y actualización de los PEAS</v>
      </c>
      <c r="H237" s="20" t="str">
        <f>'Biga Data'!F19</f>
        <v>Director/a carrera
Docentes</v>
      </c>
      <c r="I237" s="20" t="str">
        <f>'Biga Data'!G19</f>
        <v>Revisar si la bibliografía de la carrera es la adecuada en colectivos  según PEAS y Colectivos para el acervo bibliográfico</v>
      </c>
      <c r="J237" s="20" t="str">
        <f>'Biga Data'!H19</f>
        <v>Acervo bibliográfico de todas las asignaturas de la carrera, Informes de colectivos y PEAS revisados</v>
      </c>
      <c r="K237" s="62">
        <f>'Biga Data'!I19</f>
        <v>0.75</v>
      </c>
      <c r="L237" s="160">
        <f>'Biga Data'!J19</f>
        <v>0</v>
      </c>
      <c r="M237" s="20">
        <f>'Biga Data'!K19</f>
        <v>0</v>
      </c>
      <c r="N237" s="20">
        <f>'Biga Data'!L19</f>
        <v>0</v>
      </c>
      <c r="O237" s="20" t="str">
        <f>'Biga Data'!M19</f>
        <v>NO se localiza el Acervo bibliográfico del ciclo académico 2025-II</v>
      </c>
      <c r="P237" s="20">
        <v>2025</v>
      </c>
    </row>
    <row r="238" spans="1:16" ht="14.25" customHeight="1">
      <c r="A238" s="20" t="s">
        <v>484</v>
      </c>
      <c r="B238" s="20" t="str">
        <f t="shared" si="20"/>
        <v>ESTRATEGIA 1</v>
      </c>
      <c r="C238" s="20" t="str">
        <f>$C$236</f>
        <v>OBJETIVO OPERATIVO 3</v>
      </c>
      <c r="D238" s="20" t="b">
        <f>'Biga Data'!B20</f>
        <v>0</v>
      </c>
      <c r="E238" s="20" t="str">
        <f>'Biga Data'!C20</f>
        <v>Media</v>
      </c>
      <c r="F238" s="20" t="str">
        <f>'Biga Data'!D20</f>
        <v>2024-II(fin de ciclo)
2025-I(fin de ciclo)</v>
      </c>
      <c r="G238" s="20" t="str">
        <f>'Biga Data'!E20</f>
        <v>Actas de reunión por colectivo académico</v>
      </c>
      <c r="H238" s="20" t="str">
        <f>'Biga Data'!F20</f>
        <v>Director/a carrera
Docentes</v>
      </c>
      <c r="I238" s="20" t="str">
        <f>'Biga Data'!G20</f>
        <v>Evidenciar el trabajo de colectivos</v>
      </c>
      <c r="J238" s="20" t="str">
        <f>'Biga Data'!H20</f>
        <v>Actas de colectivos</v>
      </c>
      <c r="K238" s="62">
        <f>'Biga Data'!I20</f>
        <v>0.5</v>
      </c>
      <c r="L238" s="160">
        <f>'Biga Data'!J20</f>
        <v>0</v>
      </c>
      <c r="M238" s="20">
        <f>'Biga Data'!K20</f>
        <v>0</v>
      </c>
      <c r="N238" s="20">
        <f>'Biga Data'!L20</f>
        <v>0</v>
      </c>
      <c r="O238" s="20" t="str">
        <f>'Biga Data'!M20</f>
        <v>NO se localizan las actas de colectivos del ciclo académico 2025-II</v>
      </c>
      <c r="P238" s="20">
        <v>2025</v>
      </c>
    </row>
    <row r="239" spans="1:16" ht="14.25" customHeight="1">
      <c r="A239" s="20" t="s">
        <v>484</v>
      </c>
      <c r="B239" s="20" t="str">
        <f t="shared" si="20"/>
        <v>ESTRATEGIA 1</v>
      </c>
      <c r="C239" s="20" t="str">
        <f>'Biga Data'!E21</f>
        <v>OBJETIVO OPERATIVO 4</v>
      </c>
      <c r="D239" s="20" t="b">
        <f>'Biga Data'!B22</f>
        <v>0</v>
      </c>
      <c r="E239" s="20" t="str">
        <f>'Biga Data'!C22</f>
        <v>Baja</v>
      </c>
      <c r="F239" s="20" t="str">
        <f>'Biga Data'!D22</f>
        <v>2025-I(inicio ciclo)
2025-II (inicio ciclo)</v>
      </c>
      <c r="G239" s="20" t="str">
        <f>'Biga Data'!E22</f>
        <v>Recopilar las fichas de afinidad de los docentes de acuerdo al nivel de estudio.</v>
      </c>
      <c r="H239" s="20" t="str">
        <f>'Biga Data'!F22</f>
        <v>Director/a carrera</v>
      </c>
      <c r="I239" s="20" t="str">
        <f>'Biga Data'!G22</f>
        <v>Mantener actualizadas las fichas de afinidad de los docentes de acuerdo a la pertinencia en la carrera</v>
      </c>
      <c r="J239" s="20" t="str">
        <f>'Biga Data'!H22</f>
        <v>Fichas de afinidad de los docentes.</v>
      </c>
      <c r="K239" s="62">
        <f>'Biga Data'!I22</f>
        <v>1</v>
      </c>
      <c r="L239" s="160">
        <f>'Biga Data'!J22</f>
        <v>0</v>
      </c>
      <c r="M239" s="20">
        <f>'Biga Data'!K22</f>
        <v>0</v>
      </c>
      <c r="N239" s="20">
        <f>'Biga Data'!L22</f>
        <v>0</v>
      </c>
      <c r="O239" s="20">
        <f>'Biga Data'!M22</f>
        <v>0</v>
      </c>
      <c r="P239" s="20">
        <v>2025</v>
      </c>
    </row>
    <row r="240" spans="1:16" ht="14.25" customHeight="1">
      <c r="A240" s="20" t="s">
        <v>484</v>
      </c>
      <c r="B240" s="20" t="str">
        <f t="shared" si="20"/>
        <v>ESTRATEGIA 1</v>
      </c>
      <c r="C240" s="20" t="str">
        <f>$C$239</f>
        <v>OBJETIVO OPERATIVO 4</v>
      </c>
      <c r="D240" s="20">
        <f>'Biga Data'!B23</f>
        <v>0</v>
      </c>
      <c r="E240" s="20" t="str">
        <f>'Biga Data'!C23</f>
        <v>Alta</v>
      </c>
      <c r="F240" s="20" t="str">
        <f>'Biga Data'!D23</f>
        <v>2025-I(inicio de ciclo)
2025-II(inicio de ciclo)</v>
      </c>
      <c r="G240" s="20" t="str">
        <f>'Biga Data'!E23</f>
        <v>Elaboración del distributivo docente de la carrera</v>
      </c>
      <c r="H240" s="20" t="str">
        <f>'Biga Data'!F23</f>
        <v>Director/a carrera</v>
      </c>
      <c r="I240" s="20" t="str">
        <f>'Biga Data'!G23</f>
        <v>Evidenciar la carga horaria y distributivos de los docentes</v>
      </c>
      <c r="J240" s="20" t="str">
        <f>'Biga Data'!H23</f>
        <v>Distributivo docente aprobado.</v>
      </c>
      <c r="K240" s="62">
        <f>'Biga Data'!I23</f>
        <v>1</v>
      </c>
      <c r="L240" s="160">
        <f>'Biga Data'!J23</f>
        <v>0</v>
      </c>
      <c r="M240" s="20">
        <f>'Biga Data'!K23</f>
        <v>0</v>
      </c>
      <c r="N240" s="20">
        <f>'Biga Data'!L23</f>
        <v>0</v>
      </c>
      <c r="O240" s="20">
        <f>'Biga Data'!M23</f>
        <v>0</v>
      </c>
      <c r="P240" s="20">
        <v>2025</v>
      </c>
    </row>
    <row r="241" spans="1:16" ht="14.25" customHeight="1">
      <c r="A241" s="20" t="s">
        <v>484</v>
      </c>
      <c r="B241" s="20" t="str">
        <f t="shared" si="20"/>
        <v>ESTRATEGIA 1</v>
      </c>
      <c r="C241" s="20" t="str">
        <f>$C$239</f>
        <v>OBJETIVO OPERATIVO 4</v>
      </c>
      <c r="D241" s="20" t="b">
        <f>'Biga Data'!B24</f>
        <v>0</v>
      </c>
      <c r="E241" s="20" t="str">
        <f>'Biga Data'!C24</f>
        <v>Media</v>
      </c>
      <c r="F241" s="20" t="str">
        <f>'Biga Data'!D24</f>
        <v>2025-I(inicio de ciclo)
2025-II(inicio de ciclo)</v>
      </c>
      <c r="G241" s="20" t="str">
        <f>'Biga Data'!E24</f>
        <v>Designar responsables de la administración de la plataforma, tutorías , prácticas, vinculación , etc.</v>
      </c>
      <c r="H241" s="20" t="str">
        <f>'Biga Data'!F24</f>
        <v>Director/a carrera</v>
      </c>
      <c r="I241" s="20" t="str">
        <f>'Biga Data'!G24</f>
        <v>Realizar las designaciones y evidenciar los responsables y tutores de la carrera</v>
      </c>
      <c r="J241" s="20" t="str">
        <f>'Biga Data'!H24</f>
        <v>Oficios de designaciones de responsables.</v>
      </c>
      <c r="K241" s="62">
        <f>'Biga Data'!I24</f>
        <v>1</v>
      </c>
      <c r="L241" s="160">
        <f>'Biga Data'!J24</f>
        <v>0</v>
      </c>
      <c r="M241" s="20">
        <f>'Biga Data'!K24</f>
        <v>0</v>
      </c>
      <c r="N241" s="20">
        <f>'Biga Data'!L24</f>
        <v>0</v>
      </c>
      <c r="O241" s="20">
        <f>'Biga Data'!M24</f>
        <v>0</v>
      </c>
      <c r="P241" s="20">
        <v>2025</v>
      </c>
    </row>
    <row r="242" spans="1:16" ht="14.25" customHeight="1">
      <c r="A242" s="20" t="s">
        <v>484</v>
      </c>
      <c r="B242" s="20" t="str">
        <f>'Biga Data'!B25</f>
        <v>ESTRATEGIA 2</v>
      </c>
      <c r="C242" s="20" t="str">
        <f>'Biga Data'!E25</f>
        <v>OBJETIVO OPERATIVO 1</v>
      </c>
      <c r="D242" s="20" t="b">
        <f>'Biga Data'!B26</f>
        <v>0</v>
      </c>
      <c r="E242" s="20" t="str">
        <f>'Biga Data'!C26</f>
        <v>Alta</v>
      </c>
      <c r="F242" s="20" t="str">
        <f>'Biga Data'!D26</f>
        <v>2025-I(Inicio de ciclo)
2025-II(Inicio de ciclo)</v>
      </c>
      <c r="G242" s="20" t="str">
        <f>'Biga Data'!E26</f>
        <v>Elaborar y presentar el calendario de actividades de la o las carreras, horarios de clases y laboratorios.</v>
      </c>
      <c r="H242" s="20" t="str">
        <f>'Biga Data'!F26</f>
        <v>Director/a carrera</v>
      </c>
      <c r="I242" s="20" t="str">
        <f>'Biga Data'!G26</f>
        <v>Realizar los documentos necesarios para el desarrollo de las actividades de cada periodo de la carrera</v>
      </c>
      <c r="J242" s="20" t="str">
        <f>'Biga Data'!H26</f>
        <v>Calendario y horarios aprobados</v>
      </c>
      <c r="K242" s="62">
        <f>'Biga Data'!I26</f>
        <v>1</v>
      </c>
      <c r="L242" s="160">
        <f>'Biga Data'!J26</f>
        <v>0</v>
      </c>
      <c r="M242" s="20">
        <f>'Biga Data'!K26</f>
        <v>0</v>
      </c>
      <c r="N242" s="20">
        <f>'Biga Data'!L26</f>
        <v>0</v>
      </c>
      <c r="O242" s="20">
        <f>'Biga Data'!M26</f>
        <v>0</v>
      </c>
      <c r="P242" s="20">
        <v>2025</v>
      </c>
    </row>
    <row r="243" spans="1:16" ht="14.25" customHeight="1">
      <c r="A243" s="20" t="s">
        <v>484</v>
      </c>
      <c r="B243" s="20" t="str">
        <f t="shared" ref="B243:B253" si="21">$B$242</f>
        <v>ESTRATEGIA 2</v>
      </c>
      <c r="C243" s="20" t="str">
        <f t="shared" ref="C243:C253" si="22">$C$242</f>
        <v>OBJETIVO OPERATIVO 1</v>
      </c>
      <c r="D243" s="20" t="b">
        <f>'Biga Data'!B27</f>
        <v>0</v>
      </c>
      <c r="E243" s="20" t="str">
        <f>'Biga Data'!C27</f>
        <v>Media</v>
      </c>
      <c r="F243" s="20" t="str">
        <f>'Biga Data'!D27</f>
        <v>2025-I(Todo el ciclo)
2025-II(Todo de ciclo)</v>
      </c>
      <c r="G243" s="20" t="str">
        <f>'Biga Data'!E27</f>
        <v>Requerimiento y aprobación de Documentos académicos. (Sílabos, guías practicas e informes de avance de Silabo)</v>
      </c>
      <c r="H243" s="20" t="str">
        <f>'Biga Data'!F27</f>
        <v>Director/a carrera - gestor académico</v>
      </c>
      <c r="I243" s="20" t="str">
        <f>'Biga Data'!G27</f>
        <v>Solicitud de documentos académicos por materias</v>
      </c>
      <c r="J243" s="20" t="str">
        <f>'Biga Data'!H27</f>
        <v>Documentación aprobada.</v>
      </c>
      <c r="K243" s="62">
        <f>'Biga Data'!I27</f>
        <v>0.5</v>
      </c>
      <c r="L243" s="160">
        <f>'Biga Data'!J27</f>
        <v>0</v>
      </c>
      <c r="M243" s="20">
        <f>'Biga Data'!K27</f>
        <v>0</v>
      </c>
      <c r="N243" s="20">
        <f>'Biga Data'!L27</f>
        <v>0</v>
      </c>
      <c r="O243" s="20" t="str">
        <f>'Biga Data'!M27</f>
        <v>NO consta la documentación aprobada del ciclo académico 2025-II</v>
      </c>
      <c r="P243" s="20">
        <v>2025</v>
      </c>
    </row>
    <row r="244" spans="1:16" ht="14.25" customHeight="1">
      <c r="A244" s="20" t="s">
        <v>484</v>
      </c>
      <c r="B244" s="20" t="str">
        <f t="shared" si="21"/>
        <v>ESTRATEGIA 2</v>
      </c>
      <c r="C244" s="20" t="str">
        <f t="shared" si="22"/>
        <v>OBJETIVO OPERATIVO 1</v>
      </c>
      <c r="D244" s="20" t="b">
        <f>'Biga Data'!B28</f>
        <v>0</v>
      </c>
      <c r="E244" s="20" t="str">
        <f>'Biga Data'!C28</f>
        <v>Media</v>
      </c>
      <c r="F244" s="20" t="str">
        <f>'Biga Data'!D28</f>
        <v>2025-I(Todo el ciclo)
2025-II(Todo de ciclo)</v>
      </c>
      <c r="G244" s="20" t="str">
        <f>'Biga Data'!E28</f>
        <v>Seguimiento al cumplimiento de la documentación académica.</v>
      </c>
      <c r="H244" s="20" t="str">
        <f>'Biga Data'!F28</f>
        <v>Director/a carrera - gestor académico</v>
      </c>
      <c r="I244" s="20" t="str">
        <f>'Biga Data'!G28</f>
        <v>Revisión de documentos académicos por materias</v>
      </c>
      <c r="J244" s="20" t="str">
        <f>'Biga Data'!H28</f>
        <v>Informe de carrera sobre la documentación recibida.</v>
      </c>
      <c r="K244" s="62">
        <f>'Biga Data'!I28</f>
        <v>0.5</v>
      </c>
      <c r="L244" s="160">
        <f>'Biga Data'!J28</f>
        <v>0</v>
      </c>
      <c r="M244" s="20">
        <f>'Biga Data'!K28</f>
        <v>0</v>
      </c>
      <c r="N244" s="20">
        <f>'Biga Data'!L28</f>
        <v>0</v>
      </c>
      <c r="O244" s="20" t="str">
        <f>'Biga Data'!M28</f>
        <v>NO consta el informe de la documentación recibida del ciclo académico 2025-II</v>
      </c>
      <c r="P244" s="20">
        <v>2025</v>
      </c>
    </row>
    <row r="245" spans="1:16" ht="14.25" customHeight="1">
      <c r="A245" s="20" t="s">
        <v>484</v>
      </c>
      <c r="B245" s="20" t="str">
        <f t="shared" si="21"/>
        <v>ESTRATEGIA 2</v>
      </c>
      <c r="C245" s="20" t="str">
        <f t="shared" si="22"/>
        <v>OBJETIVO OPERATIVO 1</v>
      </c>
      <c r="D245" s="20" t="b">
        <f>'Biga Data'!B29</f>
        <v>0</v>
      </c>
      <c r="E245" s="20" t="str">
        <f>'Biga Data'!C29</f>
        <v>Baja</v>
      </c>
      <c r="F245" s="20" t="str">
        <f>'Biga Data'!D29</f>
        <v>2025-I(Todo el ciclo)
2025-II(Todo de ciclo)</v>
      </c>
      <c r="G245" s="20" t="str">
        <f>'Biga Data'!E29</f>
        <v>Reuniones de carrera  para socialización y toma de decisiones</v>
      </c>
      <c r="H245" s="20" t="str">
        <f>'Biga Data'!F29</f>
        <v>Director/a carrera - gestor académico</v>
      </c>
      <c r="I245" s="20" t="str">
        <f>'Biga Data'!G29</f>
        <v>Reuniones de carrera de acuerdo a requerimientos</v>
      </c>
      <c r="J245" s="20" t="str">
        <f>'Biga Data'!H29</f>
        <v>Convocatorias, actas e informes de reuniones de carrera.</v>
      </c>
      <c r="K245" s="62">
        <f>'Biga Data'!I29</f>
        <v>0.5</v>
      </c>
      <c r="L245" s="160">
        <f>'Biga Data'!J29</f>
        <v>0</v>
      </c>
      <c r="M245" s="20">
        <f>'Biga Data'!K29</f>
        <v>0</v>
      </c>
      <c r="N245" s="20">
        <f>'Biga Data'!L29</f>
        <v>0</v>
      </c>
      <c r="O245" s="20" t="str">
        <f>'Biga Data'!M29</f>
        <v>NO consta la documentación del ciclo académico 2025-II</v>
      </c>
      <c r="P245" s="20">
        <v>2025</v>
      </c>
    </row>
    <row r="246" spans="1:16" ht="14.25" customHeight="1">
      <c r="A246" s="20" t="s">
        <v>484</v>
      </c>
      <c r="B246" s="20" t="str">
        <f t="shared" si="21"/>
        <v>ESTRATEGIA 2</v>
      </c>
      <c r="C246" s="20" t="str">
        <f t="shared" si="22"/>
        <v>OBJETIVO OPERATIVO 1</v>
      </c>
      <c r="D246" s="20" t="b">
        <f>'Biga Data'!B30</f>
        <v>0</v>
      </c>
      <c r="E246" s="20" t="str">
        <f>'Biga Data'!C30</f>
        <v>Baja</v>
      </c>
      <c r="F246" s="21">
        <f>'Biga Data'!D30</f>
        <v>45838</v>
      </c>
      <c r="G246" s="20" t="str">
        <f>'Biga Data'!E30</f>
        <v>Informe semestral POA 2024</v>
      </c>
      <c r="H246" s="20" t="str">
        <f>'Biga Data'!F30</f>
        <v>Director/a carrera - gestor académico</v>
      </c>
      <c r="I246" s="20" t="str">
        <f>'Biga Data'!G30</f>
        <v>Informar sobre el avance del  POA</v>
      </c>
      <c r="J246" s="20" t="str">
        <f>'Biga Data'!H30</f>
        <v>Informe semestral seguimiento POA 2025</v>
      </c>
      <c r="K246" s="62">
        <f>'Biga Data'!I30</f>
        <v>1</v>
      </c>
      <c r="L246" s="160">
        <f>'Biga Data'!J30</f>
        <v>0</v>
      </c>
      <c r="M246" s="20">
        <f>'Biga Data'!K30</f>
        <v>0</v>
      </c>
      <c r="N246" s="20">
        <f>'Biga Data'!L30</f>
        <v>0</v>
      </c>
      <c r="O246" s="20">
        <f>'Biga Data'!M30</f>
        <v>0</v>
      </c>
      <c r="P246" s="20">
        <v>2025</v>
      </c>
    </row>
    <row r="247" spans="1:16" ht="14.25" customHeight="1">
      <c r="A247" s="20" t="s">
        <v>484</v>
      </c>
      <c r="B247" s="20" t="str">
        <f t="shared" si="21"/>
        <v>ESTRATEGIA 2</v>
      </c>
      <c r="C247" s="20" t="str">
        <f t="shared" si="22"/>
        <v>OBJETIVO OPERATIVO 1</v>
      </c>
      <c r="D247" s="20" t="b">
        <f>'Biga Data'!B31</f>
        <v>0</v>
      </c>
      <c r="E247" s="20" t="str">
        <f>'Biga Data'!C31</f>
        <v>Baja</v>
      </c>
      <c r="F247" s="21">
        <f>'Biga Data'!D31</f>
        <v>45991</v>
      </c>
      <c r="G247" s="20" t="str">
        <f>'Biga Data'!E31</f>
        <v>Informe final POA 2024</v>
      </c>
      <c r="H247" s="20" t="str">
        <f>'Biga Data'!F31</f>
        <v>Director/a carrera - gestor académico</v>
      </c>
      <c r="I247" s="20" t="str">
        <f>'Biga Data'!G31</f>
        <v>Informar sobre el alcance final del  POA</v>
      </c>
      <c r="J247" s="20" t="str">
        <f>'Biga Data'!H31</f>
        <v>Informe final POA 2025</v>
      </c>
      <c r="K247" s="62">
        <f>'Biga Data'!I31</f>
        <v>1</v>
      </c>
      <c r="L247" s="160">
        <f>'Biga Data'!J31</f>
        <v>0</v>
      </c>
      <c r="M247" s="20">
        <f>'Biga Data'!K31</f>
        <v>0</v>
      </c>
      <c r="N247" s="20">
        <f>'Biga Data'!L31</f>
        <v>0</v>
      </c>
      <c r="O247" s="20">
        <f>'Biga Data'!M31</f>
        <v>0</v>
      </c>
      <c r="P247" s="20">
        <v>2025</v>
      </c>
    </row>
    <row r="248" spans="1:16" ht="14.25" customHeight="1">
      <c r="A248" s="20" t="s">
        <v>484</v>
      </c>
      <c r="B248" s="20" t="str">
        <f t="shared" si="21"/>
        <v>ESTRATEGIA 2</v>
      </c>
      <c r="C248" s="20" t="str">
        <f t="shared" si="22"/>
        <v>OBJETIVO OPERATIVO 1</v>
      </c>
      <c r="D248" s="20" t="b">
        <f>'Biga Data'!B32</f>
        <v>0</v>
      </c>
      <c r="E248" s="20" t="str">
        <f>'Biga Data'!C32</f>
        <v>Baja</v>
      </c>
      <c r="F248" s="21">
        <f>'Biga Data'!D32</f>
        <v>46011</v>
      </c>
      <c r="G248" s="20" t="str">
        <f>'Biga Data'!E32</f>
        <v>Elaborar la Planificación Operativa Anual 2025</v>
      </c>
      <c r="H248" s="20" t="str">
        <f>'Biga Data'!F32</f>
        <v>Director/a carrera - gestor académico</v>
      </c>
      <c r="I248" s="20" t="str">
        <f>'Biga Data'!G32</f>
        <v>Realizar la planificación para el 2026</v>
      </c>
      <c r="J248" s="20" t="str">
        <f>'Biga Data'!H32</f>
        <v>POA 2026</v>
      </c>
      <c r="K248" s="62">
        <f>'Biga Data'!I32</f>
        <v>1</v>
      </c>
      <c r="L248" s="160">
        <f>'Biga Data'!J32</f>
        <v>0</v>
      </c>
      <c r="M248" s="20">
        <f>'Biga Data'!K32</f>
        <v>0</v>
      </c>
      <c r="N248" s="20">
        <f>'Biga Data'!L32</f>
        <v>0</v>
      </c>
      <c r="O248" s="20">
        <f>'Biga Data'!M32</f>
        <v>0</v>
      </c>
      <c r="P248" s="20">
        <v>2025</v>
      </c>
    </row>
    <row r="249" spans="1:16" ht="14.25" customHeight="1">
      <c r="A249" s="20" t="s">
        <v>484</v>
      </c>
      <c r="B249" s="20" t="str">
        <f t="shared" si="21"/>
        <v>ESTRATEGIA 2</v>
      </c>
      <c r="C249" s="20" t="str">
        <f t="shared" si="22"/>
        <v>OBJETIVO OPERATIVO 1</v>
      </c>
      <c r="D249" s="20" t="b">
        <f>'Biga Data'!B33</f>
        <v>0</v>
      </c>
      <c r="E249" s="20" t="str">
        <f>'Biga Data'!C33</f>
        <v>Media</v>
      </c>
      <c r="F249" s="20" t="str">
        <f>'Biga Data'!D33</f>
        <v>2025-I (inicio de ciclo)
2025-II (inicio de ciclo)</v>
      </c>
      <c r="G249" s="20" t="str">
        <f>'Biga Data'!E33</f>
        <v>Designación de tutores de curso</v>
      </c>
      <c r="H249" s="20" t="str">
        <f>'Biga Data'!F33</f>
        <v>Director/a carrera</v>
      </c>
      <c r="I249" s="20" t="str">
        <f>'Biga Data'!G33</f>
        <v>Realizar las designaciones y evidenciar los responsables y tutores de la carrera</v>
      </c>
      <c r="J249" s="20" t="str">
        <f>'Biga Data'!H33</f>
        <v>Documento de designación de tutores por parte del director de carrera</v>
      </c>
      <c r="K249" s="62">
        <f>'Biga Data'!I33</f>
        <v>1</v>
      </c>
      <c r="L249" s="160">
        <f>'Biga Data'!J33</f>
        <v>0</v>
      </c>
      <c r="M249" s="20">
        <f>'Biga Data'!K33</f>
        <v>0</v>
      </c>
      <c r="N249" s="20">
        <f>'Biga Data'!L33</f>
        <v>0</v>
      </c>
      <c r="O249" s="20">
        <f>'Biga Data'!M33</f>
        <v>0</v>
      </c>
      <c r="P249" s="20">
        <v>2025</v>
      </c>
    </row>
    <row r="250" spans="1:16" ht="14.25" customHeight="1">
      <c r="A250" s="20" t="s">
        <v>484</v>
      </c>
      <c r="B250" s="20" t="str">
        <f t="shared" si="21"/>
        <v>ESTRATEGIA 2</v>
      </c>
      <c r="C250" s="20" t="str">
        <f t="shared" si="22"/>
        <v>OBJETIVO OPERATIVO 1</v>
      </c>
      <c r="D250" s="20" t="b">
        <f>'Biga Data'!B34</f>
        <v>0</v>
      </c>
      <c r="E250" s="20" t="str">
        <f>'Biga Data'!C34</f>
        <v>Media</v>
      </c>
      <c r="F250" s="20" t="str">
        <f>'Biga Data'!D34</f>
        <v>2025-I(Todo el ciclo)
2025-II(Todo el ciclo)</v>
      </c>
      <c r="G250" s="20" t="str">
        <f>'Biga Data'!E34</f>
        <v>Ejecutar las actividades de la fase de SEGUIMIENTO del modelo metodológico del proceso de Seguimiento Curricular</v>
      </c>
      <c r="H250" s="20" t="str">
        <f>'Biga Data'!F34</f>
        <v>Director/a de carrera - Gestor/a académico
Tutores de curso</v>
      </c>
      <c r="I250" s="20" t="str">
        <f>'Biga Data'!G34</f>
        <v>Realizar el Seguimiento del modelo metodológico</v>
      </c>
      <c r="J250" s="20" t="str">
        <f>'Biga Data'!H34</f>
        <v>Fase SEGUIMIENTO:
INICIO: Socialización de Tutorías Académicas
DURANTE: Registro de Calificaciones del Primer Parcial
FINAL : Registro de Calificación Finales</v>
      </c>
      <c r="K250" s="62">
        <f>'Biga Data'!I34</f>
        <v>0.5</v>
      </c>
      <c r="L250" s="160">
        <f>'Biga Data'!J34</f>
        <v>0</v>
      </c>
      <c r="M250" s="20">
        <f>'Biga Data'!K34</f>
        <v>0</v>
      </c>
      <c r="N250" s="20">
        <f>'Biga Data'!L34</f>
        <v>0</v>
      </c>
      <c r="O250" s="20" t="str">
        <f>'Biga Data'!M34</f>
        <v>NO consta la documentación del ciclo académico 2025-II</v>
      </c>
      <c r="P250" s="20">
        <v>2025</v>
      </c>
    </row>
    <row r="251" spans="1:16" ht="14.25" customHeight="1">
      <c r="A251" s="20" t="s">
        <v>484</v>
      </c>
      <c r="B251" s="20" t="str">
        <f t="shared" si="21"/>
        <v>ESTRATEGIA 2</v>
      </c>
      <c r="C251" s="20" t="str">
        <f t="shared" si="22"/>
        <v>OBJETIVO OPERATIVO 1</v>
      </c>
      <c r="D251" s="20" t="b">
        <f>'Biga Data'!B35</f>
        <v>0</v>
      </c>
      <c r="E251" s="20" t="str">
        <f>'Biga Data'!C35</f>
        <v>Media</v>
      </c>
      <c r="F251" s="20" t="str">
        <f>'Biga Data'!D35</f>
        <v>2025-I(Todo el ciclo)
2025-II(Todo el ciclo)</v>
      </c>
      <c r="G251" s="20" t="str">
        <f>'Biga Data'!E35</f>
        <v>Ejecutar las actividades de la fase de CONTROL del modelo metodológico del proceso de Seguimiento Curricular</v>
      </c>
      <c r="H251" s="20" t="str">
        <f>'Biga Data'!F35</f>
        <v>Director/a de carrera - Gestor/a académico
Tutores de curso</v>
      </c>
      <c r="I251" s="20" t="str">
        <f>'Biga Data'!G35</f>
        <v>Realizar el Control del modelo metodológico</v>
      </c>
      <c r="J251" s="20" t="str">
        <f>'Biga Data'!H35</f>
        <v>Fase CONTROL:
INICIO: Matriz consolidada de resultados de Pruebas de Diagnostico
DURANTE: Matriz consolidada de resultados de Calificaciones del Primer Parcial
FINAL : Matriz consolidada de resultados de Calificaciones Finales</v>
      </c>
      <c r="K251" s="62">
        <f>'Biga Data'!I35</f>
        <v>0.5</v>
      </c>
      <c r="L251" s="160">
        <f>'Biga Data'!J35</f>
        <v>0</v>
      </c>
      <c r="M251" s="20">
        <f>'Biga Data'!K35</f>
        <v>0</v>
      </c>
      <c r="N251" s="20">
        <f>'Biga Data'!L35</f>
        <v>0</v>
      </c>
      <c r="O251" s="20" t="str">
        <f>'Biga Data'!M35</f>
        <v>NO consta la documentación del ciclo académico 2025-II</v>
      </c>
      <c r="P251" s="20">
        <v>2025</v>
      </c>
    </row>
    <row r="252" spans="1:16" ht="14.25" customHeight="1">
      <c r="A252" s="20" t="s">
        <v>484</v>
      </c>
      <c r="B252" s="20" t="str">
        <f t="shared" si="21"/>
        <v>ESTRATEGIA 2</v>
      </c>
      <c r="C252" s="20" t="str">
        <f t="shared" si="22"/>
        <v>OBJETIVO OPERATIVO 1</v>
      </c>
      <c r="D252" s="20" t="b">
        <f>'Biga Data'!B36</f>
        <v>0</v>
      </c>
      <c r="E252" s="20" t="str">
        <f>'Biga Data'!C36</f>
        <v>Media</v>
      </c>
      <c r="F252" s="20" t="str">
        <f>'Biga Data'!D36</f>
        <v>2025-I(Todo el ciclo)
2025-II(Todo el ciclo)</v>
      </c>
      <c r="G252" s="20" t="str">
        <f>'Biga Data'!E36</f>
        <v>Ejecutar las actividades de la fase de EVALUACIÓN del modelo metodológico del proceso de Seguimiento Curricular</v>
      </c>
      <c r="H252" s="20" t="str">
        <f>'Biga Data'!F36</f>
        <v>Director/a de carrera - Gestor/a académico
Tutores de curso</v>
      </c>
      <c r="I252" s="20" t="str">
        <f>'Biga Data'!G36</f>
        <v>Realizar la Evaluación del modelo metodológico</v>
      </c>
      <c r="J252" s="20" t="str">
        <f>'Biga Data'!H36</f>
        <v>Fase EVALAUCIÓN:
INICIO: Acta de reunión de inicio de ciclo estudiantes
DURANTE: Acta de reunión del Primer Parcial Docentes - Estudiantes
FINAL : Acta de reunión Final - Docentes - Estudiantes</v>
      </c>
      <c r="K252" s="62">
        <f>'Biga Data'!I36</f>
        <v>0.5</v>
      </c>
      <c r="L252" s="160">
        <f>'Biga Data'!J36</f>
        <v>0</v>
      </c>
      <c r="M252" s="20">
        <f>'Biga Data'!K36</f>
        <v>0</v>
      </c>
      <c r="N252" s="20">
        <f>'Biga Data'!L36</f>
        <v>0</v>
      </c>
      <c r="O252" s="20" t="str">
        <f>'Biga Data'!M36</f>
        <v>NO consta la documentación del ciclo académico 2025-II</v>
      </c>
      <c r="P252" s="20">
        <v>2025</v>
      </c>
    </row>
    <row r="253" spans="1:16" ht="14.25" customHeight="1">
      <c r="A253" s="20" t="s">
        <v>484</v>
      </c>
      <c r="B253" s="20" t="str">
        <f t="shared" si="21"/>
        <v>ESTRATEGIA 2</v>
      </c>
      <c r="C253" s="20" t="str">
        <f t="shared" si="22"/>
        <v>OBJETIVO OPERATIVO 1</v>
      </c>
      <c r="D253" s="20" t="b">
        <f>'Biga Data'!B37</f>
        <v>0</v>
      </c>
      <c r="E253" s="20" t="str">
        <f>'Biga Data'!C37</f>
        <v>Baja</v>
      </c>
      <c r="F253" s="20" t="str">
        <f>'Biga Data'!D37</f>
        <v>2024-II(Fin de ciclo)
2025-I(Fin de Ciclo)</v>
      </c>
      <c r="G253" s="20" t="str">
        <f>'Biga Data'!E37</f>
        <v>Elaboración del Plan de Mejoramiento del proceso enseñanza aprendizaje</v>
      </c>
      <c r="H253" s="20" t="str">
        <f>'Biga Data'!F37</f>
        <v>Director/a carrera
Responsable de Seguimiento a graduados de la carrera</v>
      </c>
      <c r="I253" s="20" t="str">
        <f>'Biga Data'!G37</f>
        <v>De acuerdo a los resultados generar el Plan de Mejoramiento enseñanza aprendizaje</v>
      </c>
      <c r="J253" s="20" t="str">
        <f>'Biga Data'!H37</f>
        <v>Informe de plan de mejoramiento curricular</v>
      </c>
      <c r="K253" s="62">
        <f>'Biga Data'!I37</f>
        <v>1</v>
      </c>
      <c r="L253" s="160">
        <f>'Biga Data'!J37</f>
        <v>0</v>
      </c>
      <c r="M253" s="20">
        <f>'Biga Data'!K37</f>
        <v>0</v>
      </c>
      <c r="N253" s="20">
        <f>'Biga Data'!L37</f>
        <v>0</v>
      </c>
      <c r="O253" s="20">
        <f>'Biga Data'!M37</f>
        <v>0</v>
      </c>
      <c r="P253" s="20">
        <v>2025</v>
      </c>
    </row>
    <row r="254" spans="1:16" ht="14.25" customHeight="1">
      <c r="A254" s="20" t="s">
        <v>484</v>
      </c>
      <c r="B254" s="20" t="str">
        <f t="shared" ref="B254:B259" si="23">$B$253</f>
        <v>ESTRATEGIA 2</v>
      </c>
      <c r="C254" s="20" t="str">
        <f>'Biga Data'!E38</f>
        <v>OBJETIVO OPERATIVO 2</v>
      </c>
      <c r="D254" s="20" t="b">
        <f>'Biga Data'!B39</f>
        <v>1</v>
      </c>
      <c r="E254" s="20" t="str">
        <f>'Biga Data'!C39</f>
        <v>Media</v>
      </c>
      <c r="F254" s="20" t="str">
        <f>'Biga Data'!D39</f>
        <v>2025-II(Inicio de ciclo)</v>
      </c>
      <c r="G254" s="20" t="str">
        <f>'Biga Data'!E39</f>
        <v>Diseñar, gestionar e implementar cursos o programas de inducción y de actualización para docentes y estudiantes.</v>
      </c>
      <c r="H254" s="20" t="str">
        <f>'Biga Data'!F39</f>
        <v>Director/a carrera - gestor académico</v>
      </c>
      <c r="I254" s="20" t="str">
        <f>'Biga Data'!G39</f>
        <v>Generar la capacitación docente</v>
      </c>
      <c r="J254" s="20" t="str">
        <f>'Biga Data'!H39</f>
        <v>Informes de cursos y o programas.</v>
      </c>
      <c r="K254" s="62">
        <f>'Biga Data'!I39</f>
        <v>1</v>
      </c>
      <c r="L254" s="160">
        <f>'Biga Data'!J39</f>
        <v>0</v>
      </c>
      <c r="M254" s="20">
        <f>'Biga Data'!K39</f>
        <v>0</v>
      </c>
      <c r="N254" s="20">
        <f>'Biga Data'!L39</f>
        <v>0</v>
      </c>
      <c r="O254" s="20">
        <f>'Biga Data'!M39</f>
        <v>0</v>
      </c>
      <c r="P254" s="20">
        <v>2025</v>
      </c>
    </row>
    <row r="255" spans="1:16" ht="14.25" customHeight="1">
      <c r="A255" s="20" t="s">
        <v>484</v>
      </c>
      <c r="B255" s="20" t="str">
        <f t="shared" si="23"/>
        <v>ESTRATEGIA 2</v>
      </c>
      <c r="C255" s="20" t="str">
        <f>$C$254</f>
        <v>OBJETIVO OPERATIVO 2</v>
      </c>
      <c r="D255" s="20" t="b">
        <f>'Biga Data'!B40</f>
        <v>1</v>
      </c>
      <c r="E255" s="20" t="str">
        <f>'Biga Data'!C40</f>
        <v>Media</v>
      </c>
      <c r="F255" s="20" t="str">
        <f>'Biga Data'!D40</f>
        <v>2025-II(Inicio de ciclo)</v>
      </c>
      <c r="G255" s="20" t="str">
        <f>'Biga Data'!E40</f>
        <v>Capacitar a los estudiantes sobre la utilización de la Plataforma Moodle.</v>
      </c>
      <c r="H255" s="20" t="str">
        <f>'Biga Data'!F40</f>
        <v>responsable plataforma Moodle de la carrera</v>
      </c>
      <c r="I255" s="20" t="str">
        <f>'Biga Data'!G40</f>
        <v>Generar la capacitación estudiantil sobre el Moodle</v>
      </c>
      <c r="J255" s="20" t="str">
        <f>'Biga Data'!H40</f>
        <v>Informe sobre la capacitación</v>
      </c>
      <c r="K255" s="62">
        <f>'Biga Data'!I40</f>
        <v>1</v>
      </c>
      <c r="L255" s="160">
        <f>'Biga Data'!J40</f>
        <v>0</v>
      </c>
      <c r="M255" s="20">
        <f>'Biga Data'!K40</f>
        <v>0</v>
      </c>
      <c r="N255" s="20">
        <f>'Biga Data'!L40</f>
        <v>0</v>
      </c>
      <c r="O255" s="20">
        <f>'Biga Data'!M40</f>
        <v>0</v>
      </c>
      <c r="P255" s="20">
        <v>2025</v>
      </c>
    </row>
    <row r="256" spans="1:16" ht="14.25" customHeight="1">
      <c r="A256" s="20" t="s">
        <v>484</v>
      </c>
      <c r="B256" s="20" t="str">
        <f t="shared" si="23"/>
        <v>ESTRATEGIA 2</v>
      </c>
      <c r="C256" s="20" t="str">
        <f>$C$254</f>
        <v>OBJETIVO OPERATIVO 2</v>
      </c>
      <c r="D256" s="20" t="b">
        <f>'Biga Data'!B41</f>
        <v>1</v>
      </c>
      <c r="E256" s="20" t="str">
        <f>'Biga Data'!C41</f>
        <v>Baja</v>
      </c>
      <c r="F256" s="20" t="str">
        <f>'Biga Data'!D41</f>
        <v>2025-II(Fin de ciclo)</v>
      </c>
      <c r="G256" s="20" t="str">
        <f>'Biga Data'!E41</f>
        <v>Elaborar y ejecutar la planificación de oferta complementaria.</v>
      </c>
      <c r="H256" s="20" t="str">
        <f>'Biga Data'!F41</f>
        <v>Docentes de la carrera</v>
      </c>
      <c r="I256" s="20" t="str">
        <f>'Biga Data'!G41</f>
        <v>Analizar y realizar la oferta complementaria</v>
      </c>
      <c r="J256" s="20" t="str">
        <f>'Biga Data'!H41</f>
        <v>Informe de ejecución de la oferta complementaria.</v>
      </c>
      <c r="K256" s="62">
        <f>'Biga Data'!I41</f>
        <v>1</v>
      </c>
      <c r="L256" s="160">
        <f>'Biga Data'!J41</f>
        <v>0</v>
      </c>
      <c r="M256" s="20">
        <f>'Biga Data'!K41</f>
        <v>0</v>
      </c>
      <c r="N256" s="20">
        <f>'Biga Data'!L41</f>
        <v>0</v>
      </c>
      <c r="O256" s="20">
        <f>'Biga Data'!M41</f>
        <v>0</v>
      </c>
      <c r="P256" s="20">
        <v>2025</v>
      </c>
    </row>
    <row r="257" spans="1:16" ht="14.25" customHeight="1">
      <c r="A257" s="20" t="s">
        <v>484</v>
      </c>
      <c r="B257" s="20" t="str">
        <f t="shared" si="23"/>
        <v>ESTRATEGIA 2</v>
      </c>
      <c r="C257" s="20" t="str">
        <f>'Biga Data'!E42</f>
        <v>OBJETIVO OPERATIVO 3</v>
      </c>
      <c r="D257" s="20" t="b">
        <f>'Biga Data'!B43</f>
        <v>1</v>
      </c>
      <c r="E257" s="20" t="str">
        <f>'Biga Data'!C43</f>
        <v>Alta</v>
      </c>
      <c r="F257" s="20" t="str">
        <f>'Biga Data'!D43</f>
        <v>2025-I(Inicio de ciclo)</v>
      </c>
      <c r="G257" s="20" t="str">
        <f>'Biga Data'!E43</f>
        <v>Revisión de requisitos de la opción de titulación de los estudiantes.</v>
      </c>
      <c r="H257" s="20" t="str">
        <f>'Biga Data'!F43</f>
        <v>Director de carrera / Coordinador de carreras</v>
      </c>
      <c r="I257" s="20" t="str">
        <f>'Biga Data'!G43</f>
        <v>Realizar el análisis de la opción de titulación para los estudiantes</v>
      </c>
      <c r="J257" s="20" t="str">
        <f>'Biga Data'!H43</f>
        <v>Recopilar los documentos de los estudiantes de titulación.</v>
      </c>
      <c r="K257" s="62">
        <f>'Biga Data'!I43</f>
        <v>1</v>
      </c>
      <c r="L257" s="160">
        <f>'Biga Data'!J43</f>
        <v>0</v>
      </c>
      <c r="M257" s="20">
        <f>'Biga Data'!K43</f>
        <v>0</v>
      </c>
      <c r="N257" s="20">
        <f>'Biga Data'!L43</f>
        <v>0</v>
      </c>
      <c r="O257" s="20">
        <f>'Biga Data'!M43</f>
        <v>0</v>
      </c>
      <c r="P257" s="20">
        <v>2025</v>
      </c>
    </row>
    <row r="258" spans="1:16" ht="14.25" customHeight="1">
      <c r="A258" s="20" t="s">
        <v>484</v>
      </c>
      <c r="B258" s="20" t="str">
        <f t="shared" si="23"/>
        <v>ESTRATEGIA 2</v>
      </c>
      <c r="C258" s="20" t="str">
        <f>$C$257</f>
        <v>OBJETIVO OPERATIVO 3</v>
      </c>
      <c r="D258" s="20" t="b">
        <f>'Biga Data'!B44</f>
        <v>1</v>
      </c>
      <c r="E258" s="20" t="str">
        <f>'Biga Data'!C44</f>
        <v>Alta</v>
      </c>
      <c r="F258" s="20" t="str">
        <f>'Biga Data'!D44</f>
        <v>2025-I(Inicio de ciclo)</v>
      </c>
      <c r="G258" s="20" t="str">
        <f>'Biga Data'!E44</f>
        <v>Coordinación para aprobación de documentación de la integración curricular.</v>
      </c>
      <c r="H258" s="20" t="str">
        <f>'Biga Data'!F44</f>
        <v>Director de carrera / Coordinador de carreras</v>
      </c>
      <c r="I258" s="20" t="str">
        <f>'Biga Data'!G44</f>
        <v>Revisar y coordinar la aprobación de documentos para el ingreso a la unidad de integración curricular</v>
      </c>
      <c r="J258" s="20" t="str">
        <f>'Biga Data'!H44</f>
        <v>Aprobación de la documentación a titulación.</v>
      </c>
      <c r="K258" s="62">
        <f>'Biga Data'!I44</f>
        <v>1</v>
      </c>
      <c r="L258" s="160">
        <f>'Biga Data'!J44</f>
        <v>0</v>
      </c>
      <c r="M258" s="20">
        <f>'Biga Data'!K44</f>
        <v>0</v>
      </c>
      <c r="N258" s="20">
        <f>'Biga Data'!L44</f>
        <v>0</v>
      </c>
      <c r="O258" s="20">
        <f>'Biga Data'!M44</f>
        <v>0</v>
      </c>
      <c r="P258" s="20">
        <v>2025</v>
      </c>
    </row>
    <row r="259" spans="1:16" ht="14.25" customHeight="1">
      <c r="A259" s="20" t="s">
        <v>484</v>
      </c>
      <c r="B259" s="20" t="str">
        <f t="shared" si="23"/>
        <v>ESTRATEGIA 2</v>
      </c>
      <c r="C259" s="20" t="str">
        <f>$C$257</f>
        <v>OBJETIVO OPERATIVO 3</v>
      </c>
      <c r="D259" s="20" t="b">
        <f>'Biga Data'!B45</f>
        <v>1</v>
      </c>
      <c r="E259" s="20" t="str">
        <f>'Biga Data'!C45</f>
        <v>Alta</v>
      </c>
      <c r="F259" s="20" t="str">
        <f>'Biga Data'!D45</f>
        <v>2025-I(Fin de ciclo)</v>
      </c>
      <c r="G259" s="20" t="str">
        <f>'Biga Data'!E45</f>
        <v>Coordinación del evento de incorporación.</v>
      </c>
      <c r="H259" s="20" t="str">
        <f>'Biga Data'!F45</f>
        <v>Director de carrera / Coordinador de carreras</v>
      </c>
      <c r="I259" s="20" t="str">
        <f>'Biga Data'!G45</f>
        <v>Realizar la lista de estudiantes a titularse</v>
      </c>
      <c r="J259" s="20" t="str">
        <f>'Biga Data'!H45</f>
        <v>Matriz de datos de estudiantes a titularse</v>
      </c>
      <c r="K259" s="62">
        <f>'Biga Data'!I45</f>
        <v>1</v>
      </c>
      <c r="L259" s="160">
        <f>'Biga Data'!J45</f>
        <v>0</v>
      </c>
      <c r="M259" s="20">
        <f>'Biga Data'!K45</f>
        <v>0</v>
      </c>
      <c r="N259" s="20">
        <f>'Biga Data'!L45</f>
        <v>0</v>
      </c>
      <c r="O259" s="20">
        <f>'Biga Data'!M45</f>
        <v>0</v>
      </c>
      <c r="P259" s="20">
        <v>2025</v>
      </c>
    </row>
    <row r="260" spans="1:16" ht="14.25" customHeight="1">
      <c r="A260" s="20" t="s">
        <v>484</v>
      </c>
      <c r="B260" s="20" t="str">
        <f>'Biga Data'!B46</f>
        <v>ESTRATEGIA 3</v>
      </c>
      <c r="C260" s="20" t="str">
        <f>'Biga Data'!E46</f>
        <v>OBJETIVO OPERATIVO 1</v>
      </c>
      <c r="D260" s="20" t="b">
        <f>'Biga Data'!B47</f>
        <v>0</v>
      </c>
      <c r="E260" s="20" t="str">
        <f>'Biga Data'!C47</f>
        <v>Media</v>
      </c>
      <c r="F260" s="20" t="str">
        <f>'Biga Data'!D47</f>
        <v>2025-I(Todo el ciclo)
2025-II(Todo de ciclo)</v>
      </c>
      <c r="G260" s="20" t="str">
        <f>'Biga Data'!E47</f>
        <v>Colaborar con la comisión de Vinculación en la construcción de los documentos necesarios para la firma de convenios.</v>
      </c>
      <c r="H260" s="20" t="str">
        <f>'Biga Data'!F47</f>
        <v>Director/a carrera -responsable de practicas y vinculación</v>
      </c>
      <c r="I260" s="20" t="str">
        <f>'Biga Data'!G47</f>
        <v>Brindar apoyo y realizar ITV de vinculación de la carrera</v>
      </c>
      <c r="J260" s="20" t="str">
        <f>'Biga Data'!H47</f>
        <v>ITV  y los convenios.</v>
      </c>
      <c r="K260" s="62">
        <f>'Biga Data'!I47</f>
        <v>0.5</v>
      </c>
      <c r="L260" s="160">
        <f>'Biga Data'!J47</f>
        <v>0</v>
      </c>
      <c r="M260" s="20">
        <f>'Biga Data'!K47</f>
        <v>0</v>
      </c>
      <c r="N260" s="20">
        <f>'Biga Data'!L47</f>
        <v>0</v>
      </c>
      <c r="O260" s="20" t="str">
        <f>'Biga Data'!M47</f>
        <v>NO consta ningún convenio y ningún ITV correspondiente al ciclo académico 2025-II</v>
      </c>
      <c r="P260" s="20">
        <v>2025</v>
      </c>
    </row>
    <row r="261" spans="1:16" ht="14.25" customHeight="1">
      <c r="A261" s="20" t="s">
        <v>484</v>
      </c>
      <c r="B261" s="20" t="str">
        <f>$B$260</f>
        <v>ESTRATEGIA 3</v>
      </c>
      <c r="C261" s="20" t="str">
        <f>$C$260</f>
        <v>OBJETIVO OPERATIVO 1</v>
      </c>
      <c r="D261" s="20" t="b">
        <f>'Biga Data'!B48</f>
        <v>0</v>
      </c>
      <c r="E261" s="20" t="str">
        <f>'Biga Data'!C48</f>
        <v>Baja</v>
      </c>
      <c r="F261" s="20" t="str">
        <f>'Biga Data'!D48</f>
        <v>2024-II( fin ciclo)
2025-I( fin ciclo)</v>
      </c>
      <c r="G261" s="20" t="str">
        <f>'Biga Data'!E48</f>
        <v>Divulgación de los resultados de los proyectos de vinculación, asistiendo a las ferias convocados por diferentes organizaciones.</v>
      </c>
      <c r="H261" s="20" t="str">
        <f>'Biga Data'!F48</f>
        <v>Director/a carrera -responsable de practicas y vinculación</v>
      </c>
      <c r="I261" s="20" t="str">
        <f>'Biga Data'!G48</f>
        <v>Realizar la divulgación de los resultados de los proyectos de vinculación</v>
      </c>
      <c r="J261" s="20" t="str">
        <f>'Biga Data'!H48</f>
        <v>Informe de la divulgación.</v>
      </c>
      <c r="K261" s="62">
        <f>'Biga Data'!I48</f>
        <v>1</v>
      </c>
      <c r="L261" s="160">
        <f>'Biga Data'!J48</f>
        <v>0</v>
      </c>
      <c r="M261" s="20">
        <f>'Biga Data'!K48</f>
        <v>0</v>
      </c>
      <c r="N261" s="20">
        <f>'Biga Data'!L48</f>
        <v>0</v>
      </c>
      <c r="O261" s="20">
        <f>'Biga Data'!M48</f>
        <v>0</v>
      </c>
      <c r="P261" s="20">
        <v>2025</v>
      </c>
    </row>
    <row r="262" spans="1:16" ht="14.25" customHeight="1">
      <c r="A262" s="20" t="s">
        <v>484</v>
      </c>
      <c r="B262" s="20" t="str">
        <f>$B$260</f>
        <v>ESTRATEGIA 3</v>
      </c>
      <c r="C262" s="20" t="str">
        <f>$C$260</f>
        <v>OBJETIVO OPERATIVO 1</v>
      </c>
      <c r="D262" s="20" t="b">
        <f>'Biga Data'!B49</f>
        <v>0</v>
      </c>
      <c r="E262" s="20" t="str">
        <f>'Biga Data'!C49</f>
        <v>Baja</v>
      </c>
      <c r="F262" s="20" t="str">
        <f>'Biga Data'!D49</f>
        <v>2025-I (inicio ciclo)
2025-II(inicio ciclo)</v>
      </c>
      <c r="G262" s="20" t="str">
        <f>'Biga Data'!E49</f>
        <v>Socializar con los estudiantes el reglamento de vinculación</v>
      </c>
      <c r="H262" s="20" t="str">
        <f>'Biga Data'!F49</f>
        <v>Director/a carrera -responsable de practicas y vinculación</v>
      </c>
      <c r="I262" s="20" t="str">
        <f>'Biga Data'!G49</f>
        <v>Realizar la socialización del reglamento de vinculación con los estudiantes</v>
      </c>
      <c r="J262" s="20" t="str">
        <f>'Biga Data'!H49</f>
        <v>Informe de socialización del reglamento.</v>
      </c>
      <c r="K262" s="62">
        <f>'Biga Data'!I49</f>
        <v>1</v>
      </c>
      <c r="L262" s="160">
        <f>'Biga Data'!J49</f>
        <v>0</v>
      </c>
      <c r="M262" s="20">
        <f>'Biga Data'!K49</f>
        <v>0</v>
      </c>
      <c r="N262" s="20">
        <f>'Biga Data'!L49</f>
        <v>0</v>
      </c>
      <c r="O262" s="20" t="str">
        <f>'Biga Data'!M49</f>
        <v>NO consta el informe de socialización del reglamento del ciclo 2025-II</v>
      </c>
      <c r="P262" s="20">
        <v>2025</v>
      </c>
    </row>
    <row r="263" spans="1:16" ht="14.25" customHeight="1">
      <c r="A263" s="20" t="s">
        <v>484</v>
      </c>
      <c r="B263" s="20" t="str">
        <f>$B$262</f>
        <v>ESTRATEGIA 3</v>
      </c>
      <c r="C263" s="20" t="str">
        <f>'Biga Data'!E50</f>
        <v>OBJETIVO OPERATIVO 2</v>
      </c>
      <c r="D263" s="20" t="b">
        <f>'Biga Data'!B51</f>
        <v>1</v>
      </c>
      <c r="E263" s="20" t="str">
        <f>'Biga Data'!C51</f>
        <v>Alta</v>
      </c>
      <c r="F263" s="20" t="str">
        <f>'Biga Data'!D51</f>
        <v>2025-I (inicio ciclo)
2025-II(inicio ciclo)</v>
      </c>
      <c r="G263" s="20" t="str">
        <f>'Biga Data'!E51</f>
        <v>Conocer las líneas de investigación de la carrera</v>
      </c>
      <c r="H263" s="20" t="str">
        <f>'Biga Data'!F51</f>
        <v>Director de carrera</v>
      </c>
      <c r="I263" s="20" t="str">
        <f>'Biga Data'!G51</f>
        <v>Analizar y realizar las líneas de investigación de la carrera</v>
      </c>
      <c r="J263" s="20" t="str">
        <f>'Biga Data'!H51</f>
        <v>Informe de socialización de las líneas de investigación de la carrera</v>
      </c>
      <c r="K263" s="62">
        <f>'Biga Data'!I51</f>
        <v>1</v>
      </c>
      <c r="L263" s="160">
        <f>'Biga Data'!J51</f>
        <v>0</v>
      </c>
      <c r="M263" s="20">
        <f>'Biga Data'!K51</f>
        <v>0</v>
      </c>
      <c r="N263" s="20">
        <f>'Biga Data'!L51</f>
        <v>0</v>
      </c>
      <c r="O263" s="20">
        <f>'Biga Data'!M51</f>
        <v>0</v>
      </c>
      <c r="P263" s="20">
        <v>2025</v>
      </c>
    </row>
    <row r="264" spans="1:16" ht="14.25" customHeight="1">
      <c r="A264" s="20" t="s">
        <v>484</v>
      </c>
      <c r="B264" s="20" t="str">
        <f>$B$262</f>
        <v>ESTRATEGIA 3</v>
      </c>
      <c r="C264" s="20" t="str">
        <f>$C$263</f>
        <v>OBJETIVO OPERATIVO 2</v>
      </c>
      <c r="D264" s="20" t="b">
        <f>'Biga Data'!B52</f>
        <v>1</v>
      </c>
      <c r="E264" s="20" t="str">
        <f>'Biga Data'!C52</f>
        <v>Alta</v>
      </c>
      <c r="F264" s="20" t="str">
        <f>'Biga Data'!D52</f>
        <v>2025-I(Todo el ciclo)
2025-II(Todo de ciclo)</v>
      </c>
      <c r="G264" s="20" t="str">
        <f>'Biga Data'!E52</f>
        <v>Desarrollar investigación científica y tecnológica que contribuya con la construcción de soluciones para los problemas del país, en relación con los objetivos del régimen de desarrollo.</v>
      </c>
      <c r="H264" s="20" t="str">
        <f>'Biga Data'!F52</f>
        <v>Director de Carrera
Docentes de la carrera
Comisión de Investigación</v>
      </c>
      <c r="I264" s="20" t="str">
        <f>'Biga Data'!G52</f>
        <v>Incentivar y desarrollar la investigación de los docentes de la carrera en base a las líneas de la carrera</v>
      </c>
      <c r="J264" s="20" t="str">
        <f>'Biga Data'!H52</f>
        <v>Artículos publicados por los docentes de la carrera</v>
      </c>
      <c r="K264" s="62">
        <f>'Biga Data'!I52</f>
        <v>1</v>
      </c>
      <c r="L264" s="160">
        <f>'Biga Data'!J52</f>
        <v>0</v>
      </c>
      <c r="M264" s="20">
        <f>'Biga Data'!K52</f>
        <v>0</v>
      </c>
      <c r="N264" s="20">
        <f>'Biga Data'!L52</f>
        <v>0</v>
      </c>
      <c r="O264" s="20">
        <f>'Biga Data'!M52</f>
        <v>0</v>
      </c>
      <c r="P264" s="20">
        <v>2025</v>
      </c>
    </row>
    <row r="265" spans="1:16" ht="14.25" customHeight="1">
      <c r="A265" s="20" t="s">
        <v>484</v>
      </c>
      <c r="B265" s="20" t="str">
        <f>$B$262</f>
        <v>ESTRATEGIA 3</v>
      </c>
      <c r="C265" s="20" t="str">
        <f>'Biga Data'!E53</f>
        <v>OBJETIVO OPERATIVO 3</v>
      </c>
      <c r="D265" s="20" t="b">
        <f>'Biga Data'!B54</f>
        <v>1</v>
      </c>
      <c r="E265" s="20" t="str">
        <f>'Biga Data'!C54</f>
        <v>Baja</v>
      </c>
      <c r="F265" s="20" t="str">
        <f>'Biga Data'!D54</f>
        <v>2025-I(Todo el ciclo)
2025-II(Todo de ciclo)</v>
      </c>
      <c r="G265" s="20" t="str">
        <f>'Biga Data'!E54</f>
        <v>Ejecutar la formación en valores y desarrollo de habilidades blandas.</v>
      </c>
      <c r="H265" s="20" t="str">
        <f>'Biga Data'!F54</f>
        <v>Director de carrera
Gestor académico
Bienestar institucional</v>
      </c>
      <c r="I265" s="20" t="str">
        <f>'Biga Data'!G54</f>
        <v>Realizar un curso de habilidades blandas que se desarrollara para todo el instituto</v>
      </c>
      <c r="J265" s="20" t="str">
        <f>'Biga Data'!H54</f>
        <v>Informe de formación en valores y desarrollo de habilidades blandas</v>
      </c>
      <c r="K265" s="62">
        <f>'Biga Data'!I54</f>
        <v>1</v>
      </c>
      <c r="L265" s="160">
        <f>'Biga Data'!J54</f>
        <v>0</v>
      </c>
      <c r="M265" s="20">
        <f>'Biga Data'!K54</f>
        <v>0</v>
      </c>
      <c r="N265" s="20">
        <f>'Biga Data'!L54</f>
        <v>0</v>
      </c>
      <c r="O265" s="20">
        <f>'Biga Data'!M54</f>
        <v>0</v>
      </c>
      <c r="P265" s="20">
        <v>2025</v>
      </c>
    </row>
    <row r="266" spans="1:16" ht="14.25" customHeight="1">
      <c r="A266" s="20" t="s">
        <v>484</v>
      </c>
      <c r="B266" s="20" t="str">
        <f>'Biga Data'!B55</f>
        <v>ESTRATEGIA 4</v>
      </c>
      <c r="C266" s="20" t="str">
        <f>'Biga Data'!E55</f>
        <v>OBJETIVO OPERATIVO 1</v>
      </c>
      <c r="D266" s="20" t="b">
        <f>'Biga Data'!B56</f>
        <v>0</v>
      </c>
      <c r="E266" s="20" t="str">
        <f>'Biga Data'!C56</f>
        <v>Baja</v>
      </c>
      <c r="F266" s="20" t="str">
        <f>'Biga Data'!D56</f>
        <v>2025-I (fin ciclo)
2025-II(fin ciclo)</v>
      </c>
      <c r="G266" s="20" t="str">
        <f>'Biga Data'!E56</f>
        <v>Elaboración de matrices de la oferta académica institucional.</v>
      </c>
      <c r="H266" s="20" t="str">
        <f>'Biga Data'!F56</f>
        <v>Director de Carrera
Gestor Académico</v>
      </c>
      <c r="I266" s="20" t="str">
        <f>'Biga Data'!G56</f>
        <v>Generación de matrices de oferta académica para la captación de más estudiantes</v>
      </c>
      <c r="J266" s="20" t="str">
        <f>'Biga Data'!H56</f>
        <v>Matrices de la oferta académica.</v>
      </c>
      <c r="K266" s="62">
        <f>'Biga Data'!I56</f>
        <v>1</v>
      </c>
      <c r="L266" s="160">
        <f>'Biga Data'!J56</f>
        <v>0</v>
      </c>
      <c r="M266" s="20">
        <f>'Biga Data'!K56</f>
        <v>0</v>
      </c>
      <c r="N266" s="20">
        <f>'Biga Data'!L56</f>
        <v>0</v>
      </c>
      <c r="O266" s="20">
        <f>'Biga Data'!M56</f>
        <v>0</v>
      </c>
      <c r="P266" s="20">
        <v>2025</v>
      </c>
    </row>
    <row r="267" spans="1:16" ht="14.25" customHeight="1">
      <c r="A267" s="20" t="s">
        <v>484</v>
      </c>
      <c r="B267" s="20" t="str">
        <f>$B$266</f>
        <v>ESTRATEGIA 4</v>
      </c>
      <c r="C267" s="20" t="str">
        <f>$C$266</f>
        <v>OBJETIVO OPERATIVO 1</v>
      </c>
      <c r="D267" s="20" t="b">
        <f>'Biga Data'!B57</f>
        <v>0</v>
      </c>
      <c r="E267" s="20" t="str">
        <f>'Biga Data'!C57</f>
        <v>Baja</v>
      </c>
      <c r="F267" s="20" t="str">
        <f>'Biga Data'!D57</f>
        <v>2025-II(fin ciclo)</v>
      </c>
      <c r="G267" s="20" t="str">
        <f>'Biga Data'!E57</f>
        <v>Planificación de demanda estudiantil.</v>
      </c>
      <c r="H267" s="20" t="str">
        <f>'Biga Data'!F57</f>
        <v>Director de Carrera
Gestor Académico</v>
      </c>
      <c r="I267" s="20" t="str">
        <f>'Biga Data'!G57</f>
        <v>Planificar la demanda institucional en base a históricos de periodos anteriores</v>
      </c>
      <c r="J267" s="20" t="str">
        <f>'Biga Data'!H57</f>
        <v>Listado certificado  de matriculados de la carrera</v>
      </c>
      <c r="K267" s="62">
        <f>'Biga Data'!I57</f>
        <v>1</v>
      </c>
      <c r="L267" s="160">
        <f>'Biga Data'!J57</f>
        <v>0</v>
      </c>
      <c r="M267" s="20">
        <f>'Biga Data'!K57</f>
        <v>0</v>
      </c>
      <c r="N267" s="20">
        <f>'Biga Data'!L57</f>
        <v>0</v>
      </c>
      <c r="O267" s="20">
        <f>'Biga Data'!M57</f>
        <v>0</v>
      </c>
      <c r="P267" s="20">
        <v>2025</v>
      </c>
    </row>
    <row r="268" spans="1:16" ht="14.25" customHeight="1">
      <c r="A268" s="20" t="s">
        <v>484</v>
      </c>
      <c r="B268" s="20" t="str">
        <f>$B$266</f>
        <v>ESTRATEGIA 4</v>
      </c>
      <c r="C268" s="20" t="str">
        <f>$C$266</f>
        <v>OBJETIVO OPERATIVO 1</v>
      </c>
      <c r="D268" s="20" t="b">
        <f>'Biga Data'!B58</f>
        <v>0</v>
      </c>
      <c r="E268" s="20" t="str">
        <f>'Biga Data'!C58</f>
        <v>Media</v>
      </c>
      <c r="F268" s="20" t="str">
        <f>'Biga Data'!D58</f>
        <v>2025-II(fin ciclo)</v>
      </c>
      <c r="G268" s="20" t="str">
        <f>'Biga Data'!E58</f>
        <v>Análisis de capacidad operativa de la institución.</v>
      </c>
      <c r="H268" s="20" t="str">
        <f>'Biga Data'!F58</f>
        <v>Director de Carrera
Gestor Académico</v>
      </c>
      <c r="I268" s="20" t="str">
        <f>'Biga Data'!G58</f>
        <v>Análisis de requerimientos sustantivo y no sustantivo de la carrera</v>
      </c>
      <c r="J268" s="20" t="str">
        <f>'Biga Data'!H58</f>
        <v>Resolución de aprobación por OCS de Estandarización de Carrera</v>
      </c>
      <c r="K268" s="62">
        <f>'Biga Data'!I58</f>
        <v>1</v>
      </c>
      <c r="L268" s="160">
        <f>'Biga Data'!J58</f>
        <v>0</v>
      </c>
      <c r="M268" s="20">
        <f>'Biga Data'!K58</f>
        <v>0</v>
      </c>
      <c r="N268" s="20">
        <f>'Biga Data'!L58</f>
        <v>0</v>
      </c>
      <c r="O268" s="20">
        <f>'Biga Data'!M58</f>
        <v>0</v>
      </c>
      <c r="P268" s="20">
        <v>2025</v>
      </c>
    </row>
    <row r="269" spans="1:16" ht="14.25" customHeight="1">
      <c r="A269" s="20" t="s">
        <v>485</v>
      </c>
      <c r="B269" s="20" t="str">
        <f>Software!B10</f>
        <v>ESTRATEGIA 1</v>
      </c>
      <c r="C269" s="20" t="str">
        <f>Software!E10</f>
        <v>OBJETIVO OPERATIVO 1</v>
      </c>
      <c r="D269" s="20" t="b">
        <f>Software!B11</f>
        <v>0</v>
      </c>
      <c r="E269" s="20" t="str">
        <f>Software!C11</f>
        <v>Media</v>
      </c>
      <c r="F269" s="21" t="str">
        <f>Software!D11</f>
        <v>2025-I ( Inicio ciclo)</v>
      </c>
      <c r="G269" s="20" t="str">
        <f>Software!E11</f>
        <v>Planificar y estructurar las capacitaciones en el área técnica y didáctica.</v>
      </c>
      <c r="H269" s="20" t="str">
        <f>Software!F11</f>
        <v>Director/a carrera
Docentes</v>
      </c>
      <c r="I269" s="20" t="str">
        <f>Software!G11</f>
        <v>Desarrollo del plan de capacitación docente</v>
      </c>
      <c r="J269" s="20" t="str">
        <f>Software!H11</f>
        <v>Plan de capacitación docente.</v>
      </c>
      <c r="K269" s="62">
        <f>Software!I11</f>
        <v>1</v>
      </c>
      <c r="L269" s="160">
        <f>Software!J11</f>
        <v>0</v>
      </c>
      <c r="M269" s="20">
        <f>Software!K11</f>
        <v>0</v>
      </c>
      <c r="N269" s="20">
        <f>Software!L11</f>
        <v>0</v>
      </c>
      <c r="O269" s="20">
        <f>Software!M11</f>
        <v>0</v>
      </c>
      <c r="P269" s="20">
        <v>2025</v>
      </c>
    </row>
    <row r="270" spans="1:16" ht="14.25" customHeight="1">
      <c r="A270" s="20" t="s">
        <v>485</v>
      </c>
      <c r="B270" s="20" t="str">
        <f>$B$269</f>
        <v>ESTRATEGIA 1</v>
      </c>
      <c r="C270" s="20" t="str">
        <f>$C$269</f>
        <v>OBJETIVO OPERATIVO 1</v>
      </c>
      <c r="D270" s="20" t="b">
        <f>Software!B12</f>
        <v>0</v>
      </c>
      <c r="E270" s="20" t="str">
        <f>Software!C12</f>
        <v>Baja</v>
      </c>
      <c r="F270" s="21" t="str">
        <f>Software!D12</f>
        <v>2025-II ( fin ciclo)</v>
      </c>
      <c r="G270" s="20" t="str">
        <f>Software!E12</f>
        <v>Ejecutar las capacitaciones planificadas.</v>
      </c>
      <c r="H270" s="20" t="str">
        <f>Software!F12</f>
        <v>Director/a carrera
Docentes</v>
      </c>
      <c r="I270" s="20" t="str">
        <f>Software!G12</f>
        <v>informar sobre el plan de capacitación docente</v>
      </c>
      <c r="J270" s="20" t="str">
        <f>Software!H12</f>
        <v>Informe de ejecución del plan de capacitación docente.</v>
      </c>
      <c r="K270" s="62">
        <f>Software!I12</f>
        <v>1</v>
      </c>
      <c r="L270" s="160">
        <f>Software!J12</f>
        <v>0</v>
      </c>
      <c r="M270" s="20">
        <f>Software!K12</f>
        <v>0</v>
      </c>
      <c r="N270" s="20">
        <f>Software!L12</f>
        <v>0</v>
      </c>
      <c r="O270" s="20">
        <f>Software!M12</f>
        <v>0</v>
      </c>
      <c r="P270" s="20">
        <v>2025</v>
      </c>
    </row>
    <row r="271" spans="1:16" ht="14.25" customHeight="1">
      <c r="A271" s="20" t="s">
        <v>485</v>
      </c>
      <c r="B271" s="20" t="str">
        <f>$B$269</f>
        <v>ESTRATEGIA 1</v>
      </c>
      <c r="C271" s="20" t="str">
        <f>$C$269</f>
        <v>OBJETIVO OPERATIVO 1</v>
      </c>
      <c r="D271" s="20" t="b">
        <f>Software!B13</f>
        <v>0</v>
      </c>
      <c r="E271" s="20" t="str">
        <f>Software!C13</f>
        <v>Media</v>
      </c>
      <c r="F271" s="21" t="str">
        <f>Software!D13</f>
        <v>2025-II( fin ciclo)
2025-I( fin ciclo)</v>
      </c>
      <c r="G271" s="20" t="str">
        <f>Software!E13</f>
        <v>Entregar los resultados de los procesos de Evaluación al desempeño Docente y acciones realizadas.</v>
      </c>
      <c r="H271" s="20" t="str">
        <f>Software!F13</f>
        <v>Director/a carrera
Docentes</v>
      </c>
      <c r="I271" s="20" t="str">
        <f>Software!G13</f>
        <v>Generar una matriz para el registro de entrega de evaluaciones docentes</v>
      </c>
      <c r="J271" s="20" t="str">
        <f>Software!H13</f>
        <v>Registro de entrega de evaluaciones a los docentes</v>
      </c>
      <c r="K271" s="62">
        <f>Software!I13</f>
        <v>1</v>
      </c>
      <c r="L271" s="160">
        <f>Software!J13</f>
        <v>0</v>
      </c>
      <c r="M271" s="20">
        <f>Software!K13</f>
        <v>0</v>
      </c>
      <c r="N271" s="20">
        <f>Software!L13</f>
        <v>0</v>
      </c>
      <c r="O271" s="20">
        <f>Software!M13</f>
        <v>0</v>
      </c>
      <c r="P271" s="20">
        <v>2025</v>
      </c>
    </row>
    <row r="272" spans="1:16" ht="14.25" customHeight="1">
      <c r="A272" s="20" t="s">
        <v>485</v>
      </c>
      <c r="B272" s="20" t="str">
        <f>$B$269</f>
        <v>ESTRATEGIA 1</v>
      </c>
      <c r="C272" s="20" t="str">
        <f>Software!E14</f>
        <v>OBJETIVO OPERATIVO 2</v>
      </c>
      <c r="D272" s="20" t="b">
        <f>Software!B15</f>
        <v>0</v>
      </c>
      <c r="E272" s="20" t="str">
        <f>Software!C15</f>
        <v>Baja</v>
      </c>
      <c r="F272" s="21" t="str">
        <f>Software!D15</f>
        <v>2025-I (inicio ciclo)
2025-II(inicio ciclo)</v>
      </c>
      <c r="G272" s="20" t="str">
        <f>Software!E15</f>
        <v>Socializar con los docentes el uso adecuado de la plataforma Moodle.</v>
      </c>
      <c r="H272" s="20" t="str">
        <f>Software!F15</f>
        <v>Responsable de Moodle de la carrera</v>
      </c>
      <c r="I272" s="20" t="str">
        <f>Software!G15</f>
        <v>Realizar la socialización y generar un informe sobre el uso del Moodle</v>
      </c>
      <c r="J272" s="20" t="str">
        <f>Software!H15</f>
        <v>Informe de socialización / inducción a los docentes</v>
      </c>
      <c r="K272" s="62">
        <f>Software!I15</f>
        <v>1</v>
      </c>
      <c r="L272" s="160">
        <f>Software!J15</f>
        <v>0</v>
      </c>
      <c r="M272" s="20">
        <f>Software!K15</f>
        <v>0</v>
      </c>
      <c r="N272" s="20">
        <f>Software!L15</f>
        <v>0</v>
      </c>
      <c r="O272" s="20">
        <f>Software!M15</f>
        <v>0</v>
      </c>
      <c r="P272" s="20">
        <v>2025</v>
      </c>
    </row>
    <row r="273" spans="1:16" ht="14.25" customHeight="1">
      <c r="A273" s="20" t="s">
        <v>485</v>
      </c>
      <c r="B273" s="20" t="str">
        <f>$B$272</f>
        <v>ESTRATEGIA 1</v>
      </c>
      <c r="C273" s="20" t="str">
        <f>$C$272</f>
        <v>OBJETIVO OPERATIVO 2</v>
      </c>
      <c r="D273" s="20" t="b">
        <f>Software!B16</f>
        <v>0</v>
      </c>
      <c r="E273" s="20" t="str">
        <f>Software!C16</f>
        <v>Media</v>
      </c>
      <c r="F273" s="21" t="str">
        <f>Software!D16</f>
        <v>2025-II( fin ciclo)
2025-I( fin ciclo)</v>
      </c>
      <c r="G273" s="20" t="str">
        <f>Software!E16</f>
        <v>Revisar el aporte de cada docente en la plataforma Moodle</v>
      </c>
      <c r="H273" s="20" t="str">
        <f>Software!F16</f>
        <v>Responsable de Moodle de la carrera</v>
      </c>
      <c r="I273" s="20" t="str">
        <f>Software!G16</f>
        <v>Controlar el uso adecuado de la plataforma y generar un informe.</v>
      </c>
      <c r="J273" s="20" t="str">
        <f>Software!H16</f>
        <v>Informe de actividades en la plataforma Moodle.</v>
      </c>
      <c r="K273" s="62">
        <f>Software!I16</f>
        <v>1</v>
      </c>
      <c r="L273" s="160">
        <f>Software!J16</f>
        <v>0</v>
      </c>
      <c r="M273" s="20">
        <f>Software!K16</f>
        <v>0</v>
      </c>
      <c r="N273" s="20">
        <f>Software!L16</f>
        <v>0</v>
      </c>
      <c r="O273" s="20">
        <f>Software!M16</f>
        <v>0</v>
      </c>
      <c r="P273" s="20">
        <v>2025</v>
      </c>
    </row>
    <row r="274" spans="1:16" ht="14.25" customHeight="1">
      <c r="A274" s="20" t="s">
        <v>485</v>
      </c>
      <c r="B274" s="20" t="str">
        <f>$B$272</f>
        <v>ESTRATEGIA 1</v>
      </c>
      <c r="C274" s="20" t="str">
        <f>Software!E17</f>
        <v>OBJETIVO OPERATIVO 3</v>
      </c>
      <c r="D274" s="20" t="b">
        <f>Software!B18</f>
        <v>0</v>
      </c>
      <c r="E274" s="20" t="str">
        <f>Software!C18</f>
        <v>Alta</v>
      </c>
      <c r="F274" s="21" t="str">
        <f>Software!D18</f>
        <v>2025-I(inicio ciclo)
2025-II (inicio ciclo)</v>
      </c>
      <c r="G274" s="20" t="str">
        <f>Software!E18</f>
        <v>Planificar y desarrollar una reunión del colectivo académico</v>
      </c>
      <c r="H274" s="20" t="str">
        <f>Software!F18</f>
        <v>Director/a carrera</v>
      </c>
      <c r="I274" s="20" t="str">
        <f>Software!G18</f>
        <v>Realizar y evidenciar los colectivos académicos</v>
      </c>
      <c r="J274" s="20" t="str">
        <f>Software!H18</f>
        <v>Convocatoria al colectivo de académico</v>
      </c>
      <c r="K274" s="62">
        <f>Software!I18</f>
        <v>1</v>
      </c>
      <c r="L274" s="160">
        <f>Software!J18</f>
        <v>0</v>
      </c>
      <c r="M274" s="20">
        <f>Software!K18</f>
        <v>0</v>
      </c>
      <c r="N274" s="20">
        <f>Software!L18</f>
        <v>0</v>
      </c>
      <c r="O274" s="20">
        <f>Software!M18</f>
        <v>0</v>
      </c>
      <c r="P274" s="20">
        <v>2025</v>
      </c>
    </row>
    <row r="275" spans="1:16" ht="14.25" customHeight="1">
      <c r="A275" s="20" t="s">
        <v>485</v>
      </c>
      <c r="B275" s="20" t="str">
        <f>$B$272</f>
        <v>ESTRATEGIA 1</v>
      </c>
      <c r="C275" s="20" t="str">
        <f>$C$274</f>
        <v>OBJETIVO OPERATIVO 3</v>
      </c>
      <c r="D275" s="20" t="b">
        <f>Software!B19</f>
        <v>0</v>
      </c>
      <c r="E275" s="20" t="str">
        <f>Software!C19</f>
        <v>Media</v>
      </c>
      <c r="F275" s="21" t="str">
        <f>Software!D19</f>
        <v>2025-II(fin de ciclo)
2025-I(fin de ciclo)</v>
      </c>
      <c r="G275" s="20" t="str">
        <f>Software!E19</f>
        <v>Revisión y actualización de los PEAS</v>
      </c>
      <c r="H275" s="20" t="str">
        <f>Software!F19</f>
        <v>Director/a carrera
Docentes</v>
      </c>
      <c r="I275" s="20" t="str">
        <f>Software!G19</f>
        <v>Revisar si la bibliografía de la carrera es la adecuada en colectivos  según PEAS y Colectivos para el acervo bibliográfico</v>
      </c>
      <c r="J275" s="20" t="str">
        <f>Software!H19</f>
        <v>Acervo bibliográfico de todas las asignaturas de la carrera, Informes de colectivos y PEAS revisados</v>
      </c>
      <c r="K275" s="62">
        <f>Software!I19</f>
        <v>1</v>
      </c>
      <c r="L275" s="160">
        <f>Software!J19</f>
        <v>0</v>
      </c>
      <c r="M275" s="20">
        <f>Software!K19</f>
        <v>0</v>
      </c>
      <c r="N275" s="20">
        <f>Software!L19</f>
        <v>0</v>
      </c>
      <c r="O275" s="20">
        <f>Software!M19</f>
        <v>0</v>
      </c>
      <c r="P275" s="20">
        <v>2025</v>
      </c>
    </row>
    <row r="276" spans="1:16" ht="14.25" customHeight="1">
      <c r="A276" s="20" t="s">
        <v>485</v>
      </c>
      <c r="B276" s="20" t="str">
        <f>$B$272</f>
        <v>ESTRATEGIA 1</v>
      </c>
      <c r="C276" s="20" t="str">
        <f>$C$274</f>
        <v>OBJETIVO OPERATIVO 3</v>
      </c>
      <c r="D276" s="20" t="b">
        <f>Software!B20</f>
        <v>0</v>
      </c>
      <c r="E276" s="20" t="str">
        <f>Software!C20</f>
        <v>Media</v>
      </c>
      <c r="F276" s="21" t="str">
        <f>Software!D20</f>
        <v>2025-II(fin de ciclo)
2025-I(fin de ciclo)</v>
      </c>
      <c r="G276" s="20" t="str">
        <f>Software!E20</f>
        <v>Actas de reunión por colectivo académico</v>
      </c>
      <c r="H276" s="20" t="str">
        <f>Software!F20</f>
        <v>Director/a carrera
Docentes</v>
      </c>
      <c r="I276" s="20" t="str">
        <f>Software!G20</f>
        <v>Evidenciar el trabajo de colectivos</v>
      </c>
      <c r="J276" s="20" t="str">
        <f>Software!H20</f>
        <v>Actas de colectivos</v>
      </c>
      <c r="K276" s="62">
        <f>Software!I20</f>
        <v>1</v>
      </c>
      <c r="L276" s="160">
        <f>Software!J20</f>
        <v>0</v>
      </c>
      <c r="M276" s="20">
        <f>Software!K20</f>
        <v>0</v>
      </c>
      <c r="N276" s="20">
        <f>Software!L20</f>
        <v>0</v>
      </c>
      <c r="O276" s="20">
        <f>Software!M20</f>
        <v>0</v>
      </c>
      <c r="P276" s="20">
        <v>2025</v>
      </c>
    </row>
    <row r="277" spans="1:16" ht="14.25" customHeight="1">
      <c r="A277" s="20" t="s">
        <v>485</v>
      </c>
      <c r="B277" s="20" t="str">
        <f>$B$272</f>
        <v>ESTRATEGIA 1</v>
      </c>
      <c r="C277" s="20" t="str">
        <f>Software!E21</f>
        <v>OBJETIVO OPERATIVO 4</v>
      </c>
      <c r="D277" s="20" t="b">
        <f>Software!B22</f>
        <v>0</v>
      </c>
      <c r="E277" s="20" t="str">
        <f>Software!C22</f>
        <v>Baja</v>
      </c>
      <c r="F277" s="21" t="str">
        <f>Software!D22</f>
        <v>2025-I(inicio ciclo)
2025-II (inicio ciclo)</v>
      </c>
      <c r="G277" s="20" t="str">
        <f>Software!E22</f>
        <v>Recopilar las fichas de afinidad de los docentes de acuerdo al nivel de estudio.</v>
      </c>
      <c r="H277" s="20" t="str">
        <f>Software!F22</f>
        <v>Director/a carrera</v>
      </c>
      <c r="I277" s="20" t="str">
        <f>Software!G22</f>
        <v>Mantener actualizadas las fichas de afinidad de los docentes de acuerdo a la pertinencia en la carrera</v>
      </c>
      <c r="J277" s="20" t="str">
        <f>Software!H22</f>
        <v>Fichas de afinidad de los docentes.</v>
      </c>
      <c r="K277" s="62">
        <f>Software!I22</f>
        <v>1</v>
      </c>
      <c r="L277" s="160">
        <f>Software!J22</f>
        <v>0</v>
      </c>
      <c r="M277" s="20">
        <f>Software!K22</f>
        <v>0</v>
      </c>
      <c r="N277" s="20">
        <f>Software!L22</f>
        <v>0</v>
      </c>
      <c r="O277" s="20">
        <f>Software!M22</f>
        <v>0</v>
      </c>
      <c r="P277" s="20">
        <v>2025</v>
      </c>
    </row>
    <row r="278" spans="1:16" ht="14.25" customHeight="1">
      <c r="A278" s="20" t="s">
        <v>485</v>
      </c>
      <c r="B278" s="20" t="str">
        <f>$B$277</f>
        <v>ESTRATEGIA 1</v>
      </c>
      <c r="C278" s="20" t="str">
        <f>$C$277</f>
        <v>OBJETIVO OPERATIVO 4</v>
      </c>
      <c r="D278" s="20">
        <f>Software!B23</f>
        <v>0</v>
      </c>
      <c r="E278" s="20" t="str">
        <f>Software!C23</f>
        <v>Alta</v>
      </c>
      <c r="F278" s="21" t="str">
        <f>Software!D23</f>
        <v>2025-I(inicio de ciclo)
2025-II(inicio de ciclo)</v>
      </c>
      <c r="G278" s="20" t="str">
        <f>Software!E23</f>
        <v>Elaboración del distributivo docente de la carrera</v>
      </c>
      <c r="H278" s="20" t="str">
        <f>Software!F23</f>
        <v>Director/a carrera</v>
      </c>
      <c r="I278" s="20" t="str">
        <f>Software!G23</f>
        <v>Evidenciar la carga horaria y distributivos de los docentes</v>
      </c>
      <c r="J278" s="20" t="str">
        <f>Software!H23</f>
        <v>Distributivo docente aprobado.</v>
      </c>
      <c r="K278" s="62">
        <f>Software!I23</f>
        <v>1</v>
      </c>
      <c r="L278" s="160">
        <f>Software!J23</f>
        <v>0</v>
      </c>
      <c r="M278" s="20">
        <f>Software!K23</f>
        <v>0</v>
      </c>
      <c r="N278" s="20">
        <f>Software!L23</f>
        <v>0</v>
      </c>
      <c r="O278" s="20">
        <f>Software!M23</f>
        <v>0</v>
      </c>
      <c r="P278" s="20">
        <v>2025</v>
      </c>
    </row>
    <row r="279" spans="1:16" ht="14.25" customHeight="1">
      <c r="A279" s="20" t="s">
        <v>485</v>
      </c>
      <c r="B279" s="20" t="str">
        <f>$B$277</f>
        <v>ESTRATEGIA 1</v>
      </c>
      <c r="C279" s="20" t="str">
        <f>$C$277</f>
        <v>OBJETIVO OPERATIVO 4</v>
      </c>
      <c r="D279" s="20" t="b">
        <f>Software!B24</f>
        <v>0</v>
      </c>
      <c r="E279" s="20" t="str">
        <f>Software!C24</f>
        <v>Media</v>
      </c>
      <c r="F279" s="21" t="str">
        <f>Software!D24</f>
        <v>2025-I(inicio de ciclo)
2025-II(inicio de ciclo)</v>
      </c>
      <c r="G279" s="20" t="str">
        <f>Software!E24</f>
        <v>Designar responsables de la administración de la plataforma, tutorías , prácticas, vinculación , etc.</v>
      </c>
      <c r="H279" s="20" t="str">
        <f>Software!F24</f>
        <v>Director/a carrera</v>
      </c>
      <c r="I279" s="20" t="str">
        <f>Software!G24</f>
        <v>Realizar las designaciones y evidenciar los responsables y tutores de la carrera</v>
      </c>
      <c r="J279" s="20" t="str">
        <f>Software!H24</f>
        <v>Oficios de designaciones de responsables.</v>
      </c>
      <c r="K279" s="62">
        <f>Software!I24</f>
        <v>1</v>
      </c>
      <c r="L279" s="160">
        <f>Software!J24</f>
        <v>0</v>
      </c>
      <c r="M279" s="20">
        <f>Software!K24</f>
        <v>0</v>
      </c>
      <c r="N279" s="20">
        <f>Software!L24</f>
        <v>0</v>
      </c>
      <c r="O279" s="20">
        <f>Software!M24</f>
        <v>0</v>
      </c>
      <c r="P279" s="20">
        <v>2025</v>
      </c>
    </row>
    <row r="280" spans="1:16" ht="14.25" customHeight="1">
      <c r="A280" s="20" t="s">
        <v>485</v>
      </c>
      <c r="B280" s="20" t="str">
        <f>Software!B25</f>
        <v>ESTRATEGIA 2</v>
      </c>
      <c r="C280" s="20" t="str">
        <f>Software!E25</f>
        <v>OBJETIVO OPERATIVO 1</v>
      </c>
      <c r="D280" s="20" t="b">
        <f>Software!B26</f>
        <v>0</v>
      </c>
      <c r="E280" s="20" t="str">
        <f>Software!C26</f>
        <v>Alta</v>
      </c>
      <c r="F280" s="21" t="str">
        <f>Software!D26</f>
        <v>2025-I(Inicio de ciclo)
2025-II(Inicio de ciclo)</v>
      </c>
      <c r="G280" s="20" t="str">
        <f>Software!E26</f>
        <v>Elaborar y presentar el calendario de actividades de la o las carreras, horarios de clases y laboratorios.</v>
      </c>
      <c r="H280" s="20" t="str">
        <f>Software!F26</f>
        <v>Director/a carrera</v>
      </c>
      <c r="I280" s="20" t="str">
        <f>Software!G26</f>
        <v>Realizar los documentos necesarios para el desarrollo de las actividades de cada periodo de la carrera</v>
      </c>
      <c r="J280" s="20" t="str">
        <f>Software!H26</f>
        <v>Calendario y horarios aprobados</v>
      </c>
      <c r="K280" s="62">
        <f>Software!I26</f>
        <v>1</v>
      </c>
      <c r="L280" s="160">
        <f>Software!J26</f>
        <v>0</v>
      </c>
      <c r="M280" s="20">
        <f>Software!K26</f>
        <v>0</v>
      </c>
      <c r="N280" s="20">
        <f>Software!L26</f>
        <v>0</v>
      </c>
      <c r="O280" s="20">
        <f>Software!M26</f>
        <v>0</v>
      </c>
      <c r="P280" s="20">
        <v>2025</v>
      </c>
    </row>
    <row r="281" spans="1:16" ht="14.25" customHeight="1">
      <c r="A281" s="20" t="s">
        <v>485</v>
      </c>
      <c r="B281" s="20" t="str">
        <f t="shared" ref="B281:B294" si="24">$B$280</f>
        <v>ESTRATEGIA 2</v>
      </c>
      <c r="C281" s="20" t="str">
        <f t="shared" ref="C281:C291" si="25">$C$280</f>
        <v>OBJETIVO OPERATIVO 1</v>
      </c>
      <c r="D281" s="20" t="b">
        <f>Software!B27</f>
        <v>0</v>
      </c>
      <c r="E281" s="20" t="str">
        <f>Software!C27</f>
        <v>Media</v>
      </c>
      <c r="F281" s="21" t="str">
        <f>Software!D27</f>
        <v>2025-I(Todo el ciclo)
2025-II(Todo de ciclo)</v>
      </c>
      <c r="G281" s="20" t="str">
        <f>Software!E27</f>
        <v>Requerimiento y aprobación de Documentos académicos. (Sílabos, guías practicas e informes de avance de Silabo)</v>
      </c>
      <c r="H281" s="20" t="str">
        <f>Software!F27</f>
        <v>Director/a carrera - gestor académico</v>
      </c>
      <c r="I281" s="20" t="str">
        <f>Software!G27</f>
        <v>Solicitud de documentos académicos por materias</v>
      </c>
      <c r="J281" s="20" t="str">
        <f>Software!H27</f>
        <v>Documentación aprobada.</v>
      </c>
      <c r="K281" s="62">
        <f>Software!I27</f>
        <v>1</v>
      </c>
      <c r="L281" s="160">
        <f>Software!J27</f>
        <v>0</v>
      </c>
      <c r="M281" s="20">
        <f>Software!K27</f>
        <v>0</v>
      </c>
      <c r="N281" s="20">
        <f>Software!L27</f>
        <v>0</v>
      </c>
      <c r="O281" s="20">
        <f>Software!M27</f>
        <v>0</v>
      </c>
      <c r="P281" s="20">
        <v>2025</v>
      </c>
    </row>
    <row r="282" spans="1:16" ht="14.25" customHeight="1">
      <c r="A282" s="20" t="s">
        <v>485</v>
      </c>
      <c r="B282" s="20" t="str">
        <f t="shared" si="24"/>
        <v>ESTRATEGIA 2</v>
      </c>
      <c r="C282" s="20" t="str">
        <f t="shared" si="25"/>
        <v>OBJETIVO OPERATIVO 1</v>
      </c>
      <c r="D282" s="20" t="b">
        <f>Software!B28</f>
        <v>0</v>
      </c>
      <c r="E282" s="20" t="str">
        <f>Software!C28</f>
        <v>Media</v>
      </c>
      <c r="F282" s="21" t="str">
        <f>Software!D28</f>
        <v>2025-I(Todo el ciclo)
2025-II(Todo de ciclo)</v>
      </c>
      <c r="G282" s="20" t="str">
        <f>Software!E28</f>
        <v>Seguimiento al cumplimiento de la documentación académica.</v>
      </c>
      <c r="H282" s="20" t="str">
        <f>Software!F28</f>
        <v>Director/a carrera - gestor académico</v>
      </c>
      <c r="I282" s="20" t="str">
        <f>Software!G28</f>
        <v>Revisión de documentos académicos por materias</v>
      </c>
      <c r="J282" s="20" t="str">
        <f>Software!H28</f>
        <v>Informe de carrera sobre la documentación recibida.</v>
      </c>
      <c r="K282" s="62">
        <f>Software!I28</f>
        <v>1</v>
      </c>
      <c r="L282" s="160">
        <f>Software!J28</f>
        <v>0</v>
      </c>
      <c r="M282" s="20">
        <f>Software!K28</f>
        <v>0</v>
      </c>
      <c r="N282" s="20">
        <f>Software!L28</f>
        <v>0</v>
      </c>
      <c r="O282" s="20">
        <f>Software!M28</f>
        <v>0</v>
      </c>
      <c r="P282" s="20">
        <v>2025</v>
      </c>
    </row>
    <row r="283" spans="1:16" ht="14.25" customHeight="1">
      <c r="A283" s="20" t="s">
        <v>485</v>
      </c>
      <c r="B283" s="20" t="str">
        <f t="shared" si="24"/>
        <v>ESTRATEGIA 2</v>
      </c>
      <c r="C283" s="20" t="str">
        <f t="shared" si="25"/>
        <v>OBJETIVO OPERATIVO 1</v>
      </c>
      <c r="D283" s="20" t="b">
        <f>Software!B29</f>
        <v>0</v>
      </c>
      <c r="E283" s="20" t="str">
        <f>Software!C29</f>
        <v>Baja</v>
      </c>
      <c r="F283" s="21" t="str">
        <f>Software!D29</f>
        <v>2025-I(Todo el ciclo)
2025-II(Todo de ciclo)</v>
      </c>
      <c r="G283" s="20" t="str">
        <f>Software!E29</f>
        <v>Reuniones de carrera  para socialización y toma de decisiones</v>
      </c>
      <c r="H283" s="20" t="str">
        <f>Software!F29</f>
        <v>Director/a carrera - gestor académico</v>
      </c>
      <c r="I283" s="20" t="str">
        <f>Software!G29</f>
        <v>Reuniones de carrera de acuerdo a requerimientos</v>
      </c>
      <c r="J283" s="20" t="str">
        <f>Software!H29</f>
        <v>Convocatorias, actas e informes de reuniones de carrera.</v>
      </c>
      <c r="K283" s="62">
        <f>Software!I29</f>
        <v>1</v>
      </c>
      <c r="L283" s="160">
        <f>Software!J29</f>
        <v>0</v>
      </c>
      <c r="M283" s="20">
        <f>Software!K29</f>
        <v>0</v>
      </c>
      <c r="N283" s="20">
        <f>Software!L29</f>
        <v>0</v>
      </c>
      <c r="O283" s="20">
        <f>Software!M29</f>
        <v>0</v>
      </c>
      <c r="P283" s="20">
        <v>2025</v>
      </c>
    </row>
    <row r="284" spans="1:16" ht="14.25" customHeight="1">
      <c r="A284" s="20" t="s">
        <v>485</v>
      </c>
      <c r="B284" s="20" t="str">
        <f t="shared" si="24"/>
        <v>ESTRATEGIA 2</v>
      </c>
      <c r="C284" s="20" t="str">
        <f t="shared" si="25"/>
        <v>OBJETIVO OPERATIVO 1</v>
      </c>
      <c r="D284" s="20" t="b">
        <f>Software!B30</f>
        <v>0</v>
      </c>
      <c r="E284" s="20" t="str">
        <f>Software!C30</f>
        <v>Baja</v>
      </c>
      <c r="F284" s="21">
        <f>Software!D30</f>
        <v>45838</v>
      </c>
      <c r="G284" s="20" t="str">
        <f>Software!E30</f>
        <v>Informe semestral POA 2025</v>
      </c>
      <c r="H284" s="20" t="str">
        <f>Software!F30</f>
        <v>Director/a carrera - gestor académico</v>
      </c>
      <c r="I284" s="20" t="str">
        <f>Software!G30</f>
        <v>Informar sobre el avance del  POA</v>
      </c>
      <c r="J284" s="20" t="str">
        <f>Software!H30</f>
        <v>Informe semestral seguimiento POA 2025</v>
      </c>
      <c r="K284" s="62">
        <f>Software!I30</f>
        <v>1</v>
      </c>
      <c r="L284" s="160">
        <f>Software!J30</f>
        <v>0</v>
      </c>
      <c r="M284" s="20">
        <f>Software!K30</f>
        <v>0</v>
      </c>
      <c r="N284" s="20">
        <f>Software!L30</f>
        <v>0</v>
      </c>
      <c r="O284" s="20">
        <f>Software!M30</f>
        <v>0</v>
      </c>
      <c r="P284" s="20">
        <v>2025</v>
      </c>
    </row>
    <row r="285" spans="1:16" ht="14.25" customHeight="1">
      <c r="A285" s="20" t="s">
        <v>485</v>
      </c>
      <c r="B285" s="20" t="str">
        <f t="shared" si="24"/>
        <v>ESTRATEGIA 2</v>
      </c>
      <c r="C285" s="20" t="str">
        <f t="shared" si="25"/>
        <v>OBJETIVO OPERATIVO 1</v>
      </c>
      <c r="D285" s="20" t="b">
        <f>Software!B31</f>
        <v>0</v>
      </c>
      <c r="E285" s="20" t="str">
        <f>Software!C31</f>
        <v>Baja</v>
      </c>
      <c r="F285" s="21">
        <f>Software!D31</f>
        <v>45991</v>
      </c>
      <c r="G285" s="20" t="str">
        <f>Software!E31</f>
        <v>Informe final POA 2025</v>
      </c>
      <c r="H285" s="20" t="str">
        <f>Software!F31</f>
        <v>Director/a carrera - gestor académico</v>
      </c>
      <c r="I285" s="20" t="str">
        <f>Software!G31</f>
        <v>Informar sobre el alcance final del  POA</v>
      </c>
      <c r="J285" s="20" t="str">
        <f>Software!H31</f>
        <v>Informe final POA 2025</v>
      </c>
      <c r="K285" s="62">
        <f>Software!I31</f>
        <v>1</v>
      </c>
      <c r="L285" s="160">
        <f>Software!J31</f>
        <v>0</v>
      </c>
      <c r="M285" s="20">
        <f>Software!K31</f>
        <v>0</v>
      </c>
      <c r="N285" s="20">
        <f>Software!L31</f>
        <v>0</v>
      </c>
      <c r="O285" s="20" t="str">
        <f>Software!M31</f>
        <v>Segundo semestre</v>
      </c>
      <c r="P285" s="20">
        <v>2025</v>
      </c>
    </row>
    <row r="286" spans="1:16" ht="14.25" customHeight="1">
      <c r="A286" s="20" t="s">
        <v>485</v>
      </c>
      <c r="B286" s="20" t="str">
        <f t="shared" si="24"/>
        <v>ESTRATEGIA 2</v>
      </c>
      <c r="C286" s="20" t="str">
        <f t="shared" si="25"/>
        <v>OBJETIVO OPERATIVO 1</v>
      </c>
      <c r="D286" s="20" t="b">
        <f>Software!B32</f>
        <v>0</v>
      </c>
      <c r="E286" s="20" t="str">
        <f>Software!C32</f>
        <v>Baja</v>
      </c>
      <c r="F286" s="21">
        <f>Software!D32</f>
        <v>46011</v>
      </c>
      <c r="G286" s="20" t="str">
        <f>Software!E32</f>
        <v>Elaborar la Planificación Operativa Anual 2025</v>
      </c>
      <c r="H286" s="20" t="str">
        <f>Software!F32</f>
        <v>Director/a carrera - gestor académico</v>
      </c>
      <c r="I286" s="20" t="str">
        <f>Software!G32</f>
        <v>Realizar la planificación para el 2026</v>
      </c>
      <c r="J286" s="20" t="str">
        <f>Software!H32</f>
        <v>POA 2026</v>
      </c>
      <c r="K286" s="62">
        <f>Software!I32</f>
        <v>1</v>
      </c>
      <c r="L286" s="160">
        <f>Software!J32</f>
        <v>0</v>
      </c>
      <c r="M286" s="20">
        <f>Software!K32</f>
        <v>0</v>
      </c>
      <c r="N286" s="20">
        <f>Software!L32</f>
        <v>0</v>
      </c>
      <c r="O286" s="20" t="str">
        <f>Software!M32</f>
        <v>Segundo semestre</v>
      </c>
      <c r="P286" s="20">
        <v>2025</v>
      </c>
    </row>
    <row r="287" spans="1:16" ht="14.25" customHeight="1">
      <c r="A287" s="20" t="s">
        <v>485</v>
      </c>
      <c r="B287" s="20" t="str">
        <f t="shared" si="24"/>
        <v>ESTRATEGIA 2</v>
      </c>
      <c r="C287" s="20" t="str">
        <f t="shared" si="25"/>
        <v>OBJETIVO OPERATIVO 1</v>
      </c>
      <c r="D287" s="20" t="b">
        <f>Software!B33</f>
        <v>0</v>
      </c>
      <c r="E287" s="20" t="str">
        <f>Software!C33</f>
        <v>Media</v>
      </c>
      <c r="F287" s="21" t="str">
        <f>Software!D33</f>
        <v>2025-I (inicio de ciclo)
2025-II (inicio de ciclo)</v>
      </c>
      <c r="G287" s="20" t="str">
        <f>Software!E33</f>
        <v>Designación de tutores de curso</v>
      </c>
      <c r="H287" s="20" t="str">
        <f>Software!F33</f>
        <v>Director/a carrera</v>
      </c>
      <c r="I287" s="20" t="str">
        <f>Software!G33</f>
        <v>Realizar las designaciones y evidenciar los responsables y tutores de la carrera</v>
      </c>
      <c r="J287" s="20" t="str">
        <f>Software!H33</f>
        <v>Documento de designación de tutores por parte del director de carrera</v>
      </c>
      <c r="K287" s="62">
        <f>Software!I33</f>
        <v>1</v>
      </c>
      <c r="L287" s="160">
        <f>Software!J33</f>
        <v>0</v>
      </c>
      <c r="M287" s="20">
        <f>Software!K33</f>
        <v>0</v>
      </c>
      <c r="N287" s="20">
        <f>Software!L33</f>
        <v>0</v>
      </c>
      <c r="O287" s="20">
        <f>Software!M33</f>
        <v>0</v>
      </c>
      <c r="P287" s="20">
        <v>2025</v>
      </c>
    </row>
    <row r="288" spans="1:16" ht="14.25" customHeight="1">
      <c r="A288" s="20" t="s">
        <v>485</v>
      </c>
      <c r="B288" s="20" t="str">
        <f t="shared" si="24"/>
        <v>ESTRATEGIA 2</v>
      </c>
      <c r="C288" s="20" t="str">
        <f t="shared" si="25"/>
        <v>OBJETIVO OPERATIVO 1</v>
      </c>
      <c r="D288" s="20" t="b">
        <f>Software!B34</f>
        <v>0</v>
      </c>
      <c r="E288" s="20" t="str">
        <f>Software!C34</f>
        <v>Media</v>
      </c>
      <c r="F288" s="21" t="str">
        <f>Software!D34</f>
        <v>2025-I(Todo el ciclo)
2025-II(Todo el ciclo)</v>
      </c>
      <c r="G288" s="20" t="str">
        <f>Software!E34</f>
        <v>Ejecutar las actividades de la fase de SEGUIMIENTO del modelo metodológico del proceso de Seguimiento Curricular</v>
      </c>
      <c r="H288" s="20" t="str">
        <f>Software!F34</f>
        <v>Director/a de carrera - Gestor/a académico
Tutores de curso</v>
      </c>
      <c r="I288" s="20" t="str">
        <f>Software!G34</f>
        <v>Realizar el Seguimiento del modelo metodológico</v>
      </c>
      <c r="J288" s="20" t="str">
        <f>Software!H34</f>
        <v>Fase SEGUIMIENTO:
INICIO: Socialización de Tutorías Académicas
DURANTE: Registro de Calificaciones del Primer Parcial
FINAL : Registro de Calificación Finales</v>
      </c>
      <c r="K288" s="62">
        <f>Software!I34</f>
        <v>0.5</v>
      </c>
      <c r="L288" s="160">
        <f>Software!J34</f>
        <v>0</v>
      </c>
      <c r="M288" s="20">
        <f>Software!K34</f>
        <v>0</v>
      </c>
      <c r="N288" s="20">
        <f>Software!L34</f>
        <v>0</v>
      </c>
      <c r="O288" s="20">
        <f>Software!M34</f>
        <v>0</v>
      </c>
      <c r="P288" s="20">
        <v>2025</v>
      </c>
    </row>
    <row r="289" spans="1:16" ht="14.25" customHeight="1">
      <c r="A289" s="20" t="s">
        <v>485</v>
      </c>
      <c r="B289" s="20" t="str">
        <f t="shared" si="24"/>
        <v>ESTRATEGIA 2</v>
      </c>
      <c r="C289" s="20" t="str">
        <f t="shared" si="25"/>
        <v>OBJETIVO OPERATIVO 1</v>
      </c>
      <c r="D289" s="20" t="b">
        <f>Software!B35</f>
        <v>0</v>
      </c>
      <c r="E289" s="20" t="str">
        <f>Software!C35</f>
        <v>Media</v>
      </c>
      <c r="F289" s="21" t="str">
        <f>Software!D35</f>
        <v>2025-I(Todo el ciclo)
2025-II(Todo el ciclo)</v>
      </c>
      <c r="G289" s="20" t="str">
        <f>Software!E35</f>
        <v>Ejecutar las actividades de la fase de CONTROL del modelo metodológico del proceso de Seguimiento Curricular</v>
      </c>
      <c r="H289" s="20" t="str">
        <f>Software!F35</f>
        <v>Director/a de carrera - Gestor/a académico
Tutores de curso</v>
      </c>
      <c r="I289" s="20" t="str">
        <f>Software!G35</f>
        <v>Realizar el Control del modelo metodológico</v>
      </c>
      <c r="J289" s="20" t="str">
        <f>Software!H35</f>
        <v>Fase CONTROL:
INICIO: Matriz consolidada de resultados de Pruebas de Diagnostico
DURANTE: Matriz consolidada de resultados de Calificaciones del Primer Parcial
FINAL : Matriz consolidada de resultados de Calificaciones Finales</v>
      </c>
      <c r="K289" s="62">
        <f>Software!I35</f>
        <v>0.5</v>
      </c>
      <c r="L289" s="160">
        <f>Software!J35</f>
        <v>0</v>
      </c>
      <c r="M289" s="20">
        <f>Software!K35</f>
        <v>0</v>
      </c>
      <c r="N289" s="20">
        <f>Software!L35</f>
        <v>0</v>
      </c>
      <c r="O289" s="20">
        <f>Software!M35</f>
        <v>0</v>
      </c>
      <c r="P289" s="20">
        <v>2025</v>
      </c>
    </row>
    <row r="290" spans="1:16" ht="14.25" customHeight="1">
      <c r="A290" s="20" t="s">
        <v>485</v>
      </c>
      <c r="B290" s="20" t="str">
        <f t="shared" si="24"/>
        <v>ESTRATEGIA 2</v>
      </c>
      <c r="C290" s="20" t="str">
        <f t="shared" si="25"/>
        <v>OBJETIVO OPERATIVO 1</v>
      </c>
      <c r="D290" s="20" t="b">
        <f>Software!B36</f>
        <v>0</v>
      </c>
      <c r="E290" s="20" t="str">
        <f>Software!C36</f>
        <v>Media</v>
      </c>
      <c r="F290" s="21" t="str">
        <f>Software!D36</f>
        <v>2025-I(Todo el ciclo)
2025-II(Todo el ciclo)</v>
      </c>
      <c r="G290" s="20" t="str">
        <f>Software!E36</f>
        <v>Ejecutar las actividades de la fase de EVALUACIÓN del modelo metodológico del proceso de Seguimiento Curricular</v>
      </c>
      <c r="H290" s="20" t="str">
        <f>Software!F36</f>
        <v>Director/a de carrera - Gestor/a académico
Tutores de curso</v>
      </c>
      <c r="I290" s="20" t="str">
        <f>Software!G36</f>
        <v>Realizar la Evaluación del modelo metodológico</v>
      </c>
      <c r="J290" s="20" t="str">
        <f>Software!H36</f>
        <v>Fase EVALAUCIÓN:
INICIO: Acta de reunión de inicio de ciclo estudiantes
DURANTE: Acta de reunión del Primer Parcial Docentes - Estudiantes
FINAL : Acta de reunión Final - Docentes - Estudiantes</v>
      </c>
      <c r="K290" s="62">
        <f>Software!I36</f>
        <v>0.5</v>
      </c>
      <c r="L290" s="160">
        <f>Software!J36</f>
        <v>0</v>
      </c>
      <c r="M290" s="20">
        <f>Software!K36</f>
        <v>0</v>
      </c>
      <c r="N290" s="20">
        <f>Software!L36</f>
        <v>0</v>
      </c>
      <c r="O290" s="20">
        <f>Software!M36</f>
        <v>0</v>
      </c>
      <c r="P290" s="20">
        <v>2025</v>
      </c>
    </row>
    <row r="291" spans="1:16" ht="14.25" customHeight="1">
      <c r="A291" s="20" t="s">
        <v>485</v>
      </c>
      <c r="B291" s="20" t="str">
        <f t="shared" si="24"/>
        <v>ESTRATEGIA 2</v>
      </c>
      <c r="C291" s="20" t="str">
        <f t="shared" si="25"/>
        <v>OBJETIVO OPERATIVO 1</v>
      </c>
      <c r="D291" s="20" t="b">
        <f>Software!B37</f>
        <v>0</v>
      </c>
      <c r="E291" s="20" t="str">
        <f>Software!C37</f>
        <v>Baja</v>
      </c>
      <c r="F291" s="21" t="str">
        <f>Software!D37</f>
        <v>2025-II(Fin de ciclo)
2025-I(Fin de Ciclo)</v>
      </c>
      <c r="G291" s="20" t="str">
        <f>Software!E37</f>
        <v>Elaboración del Plan de Mejoramiento del proceso enseñanza aprendizaje</v>
      </c>
      <c r="H291" s="20" t="str">
        <f>Software!F37</f>
        <v>Director/a carrera
Responsable de Seguimiento a graduados de la carrera</v>
      </c>
      <c r="I291" s="20" t="str">
        <f>Software!G37</f>
        <v>De acuerdo a los resultados generar el Plan de Mejoramiento enseñanza aprendizaje</v>
      </c>
      <c r="J291" s="20" t="str">
        <f>Software!H37</f>
        <v>Informe de plan de mejoramiento curricular</v>
      </c>
      <c r="K291" s="62">
        <f>Software!I37</f>
        <v>0.5</v>
      </c>
      <c r="L291" s="160">
        <f>Software!J37</f>
        <v>0</v>
      </c>
      <c r="M291" s="20">
        <f>Software!K37</f>
        <v>0</v>
      </c>
      <c r="N291" s="20">
        <f>Software!L37</f>
        <v>0</v>
      </c>
      <c r="O291" s="20">
        <f>Software!M37</f>
        <v>0</v>
      </c>
      <c r="P291" s="20">
        <v>2025</v>
      </c>
    </row>
    <row r="292" spans="1:16" ht="14.25" customHeight="1">
      <c r="A292" s="20" t="s">
        <v>485</v>
      </c>
      <c r="B292" s="20" t="str">
        <f t="shared" si="24"/>
        <v>ESTRATEGIA 2</v>
      </c>
      <c r="C292" s="20" t="str">
        <f>Software!E38</f>
        <v>OBJETIVO OPERATIVO 2</v>
      </c>
      <c r="D292" s="20" t="b">
        <f>Software!B39</f>
        <v>1</v>
      </c>
      <c r="E292" s="20" t="str">
        <f>Software!C39</f>
        <v>Media</v>
      </c>
      <c r="F292" s="21" t="str">
        <f>Software!D39</f>
        <v>2025-II(Inicio de ciclo)</v>
      </c>
      <c r="G292" s="20" t="str">
        <f>Software!E39</f>
        <v>Diseñar, gestionar e implementar cursos o programas de inducción y de actualización para docentes y estudiantes.</v>
      </c>
      <c r="H292" s="20" t="str">
        <f>Software!F39</f>
        <v>Director/a carrera - gestor académico</v>
      </c>
      <c r="I292" s="20" t="str">
        <f>Software!G39</f>
        <v>Generar la capacitación docente</v>
      </c>
      <c r="J292" s="20" t="str">
        <f>Software!H39</f>
        <v>Informes de cursos y o programas.</v>
      </c>
      <c r="K292" s="62">
        <f>Software!I39</f>
        <v>0.5</v>
      </c>
      <c r="L292" s="160">
        <f>Software!J39</f>
        <v>0</v>
      </c>
      <c r="M292" s="20">
        <f>Software!K39</f>
        <v>0</v>
      </c>
      <c r="N292" s="20">
        <f>Software!L39</f>
        <v>0</v>
      </c>
      <c r="O292" s="20">
        <f>Software!M39</f>
        <v>0</v>
      </c>
      <c r="P292" s="20">
        <v>2025</v>
      </c>
    </row>
    <row r="293" spans="1:16" ht="14.25" customHeight="1">
      <c r="A293" s="20" t="s">
        <v>485</v>
      </c>
      <c r="B293" s="20" t="str">
        <f t="shared" si="24"/>
        <v>ESTRATEGIA 2</v>
      </c>
      <c r="C293" s="20" t="str">
        <f>$C$292</f>
        <v>OBJETIVO OPERATIVO 2</v>
      </c>
      <c r="D293" s="20" t="b">
        <f>Software!B40</f>
        <v>1</v>
      </c>
      <c r="E293" s="20" t="str">
        <f>Software!C40</f>
        <v>Media</v>
      </c>
      <c r="F293" s="21" t="str">
        <f>Software!D40</f>
        <v>2025-II(Inicio de ciclo)</v>
      </c>
      <c r="G293" s="20" t="str">
        <f>Software!E40</f>
        <v>Capacitar a los estudiantes sobre la utilización de la Plataforma Moodle.</v>
      </c>
      <c r="H293" s="20" t="str">
        <f>Software!F40</f>
        <v>responsable plataforma Moodle de la carrera</v>
      </c>
      <c r="I293" s="20" t="str">
        <f>Software!G40</f>
        <v>Generar la capacitación estudiantil sobre el Moodle</v>
      </c>
      <c r="J293" s="20" t="str">
        <f>Software!H40</f>
        <v>Informe sobre la capacitación</v>
      </c>
      <c r="K293" s="62">
        <f>Software!I40</f>
        <v>0.5</v>
      </c>
      <c r="L293" s="160">
        <f>Software!J40</f>
        <v>0</v>
      </c>
      <c r="M293" s="20">
        <f>Software!K40</f>
        <v>0</v>
      </c>
      <c r="N293" s="20">
        <f>Software!L40</f>
        <v>0</v>
      </c>
      <c r="O293" s="20">
        <f>Software!M40</f>
        <v>0</v>
      </c>
      <c r="P293" s="20">
        <v>2025</v>
      </c>
    </row>
    <row r="294" spans="1:16" ht="14.25" customHeight="1">
      <c r="A294" s="20" t="s">
        <v>485</v>
      </c>
      <c r="B294" s="20" t="str">
        <f t="shared" si="24"/>
        <v>ESTRATEGIA 2</v>
      </c>
      <c r="C294" s="20" t="str">
        <f>$C$292</f>
        <v>OBJETIVO OPERATIVO 2</v>
      </c>
      <c r="D294" s="20" t="b">
        <f>Software!B41</f>
        <v>1</v>
      </c>
      <c r="E294" s="20" t="str">
        <f>Software!C41</f>
        <v>Baja</v>
      </c>
      <c r="F294" s="21" t="str">
        <f>Software!D41</f>
        <v>2025-II(Fin de ciclo)</v>
      </c>
      <c r="G294" s="20" t="str">
        <f>Software!E41</f>
        <v>Elaborar y ejecutar la planificación de oferta complementaria.</v>
      </c>
      <c r="H294" s="20" t="str">
        <f>Software!F41</f>
        <v>Docentes de la carrera</v>
      </c>
      <c r="I294" s="20" t="str">
        <f>Software!G41</f>
        <v>Analizar y realizar la oferta complementaria</v>
      </c>
      <c r="J294" s="20" t="str">
        <f>Software!H41</f>
        <v>Informe de ejecución de la oferta complementaria.</v>
      </c>
      <c r="K294" s="62">
        <f>Software!I41</f>
        <v>0</v>
      </c>
      <c r="L294" s="160">
        <f>Software!J41</f>
        <v>0</v>
      </c>
      <c r="M294" s="20">
        <f>Software!K41</f>
        <v>0</v>
      </c>
      <c r="N294" s="20">
        <f>Software!L41</f>
        <v>0</v>
      </c>
      <c r="O294" s="20" t="str">
        <f>Software!M41</f>
        <v>Segundo semestre</v>
      </c>
      <c r="P294" s="20">
        <v>2025</v>
      </c>
    </row>
    <row r="295" spans="1:16" ht="14.25" customHeight="1">
      <c r="A295" s="20" t="s">
        <v>485</v>
      </c>
      <c r="B295" s="20" t="str">
        <f>$B$294</f>
        <v>ESTRATEGIA 2</v>
      </c>
      <c r="C295" s="20" t="str">
        <f>Software!E42</f>
        <v>OBJETIVO OPERATIVO 3</v>
      </c>
      <c r="D295" s="20" t="b">
        <f>Software!B43</f>
        <v>1</v>
      </c>
      <c r="E295" s="20" t="str">
        <f>Software!C43</f>
        <v>Alta</v>
      </c>
      <c r="F295" s="21" t="str">
        <f>Software!D43</f>
        <v>2025-I(Inicio de ciclo)</v>
      </c>
      <c r="G295" s="20" t="str">
        <f>Software!E43</f>
        <v>Revisión de requisitos de la opción de titulación de los estudiantes.</v>
      </c>
      <c r="H295" s="20" t="str">
        <f>Software!F43</f>
        <v>Director de carrera / Coordinador de carreras</v>
      </c>
      <c r="I295" s="20" t="str">
        <f>Software!G43</f>
        <v>Realizar el análisis de la opción de titulación para los estudiantes</v>
      </c>
      <c r="J295" s="20" t="str">
        <f>Software!H43</f>
        <v>Recopilar los documentos de los estudiantes de titulación.</v>
      </c>
      <c r="K295" s="62">
        <f>Software!I43</f>
        <v>1</v>
      </c>
      <c r="L295" s="160">
        <f>Software!J43</f>
        <v>0</v>
      </c>
      <c r="M295" s="20">
        <f>Software!K43</f>
        <v>0</v>
      </c>
      <c r="N295" s="20">
        <f>Software!L43</f>
        <v>0</v>
      </c>
      <c r="O295" s="20">
        <f>Software!M43</f>
        <v>0</v>
      </c>
      <c r="P295" s="20">
        <v>2025</v>
      </c>
    </row>
    <row r="296" spans="1:16" ht="14.25" customHeight="1">
      <c r="A296" s="20" t="s">
        <v>485</v>
      </c>
      <c r="B296" s="20" t="str">
        <f>$B$294</f>
        <v>ESTRATEGIA 2</v>
      </c>
      <c r="C296" s="20" t="str">
        <f>$C$295</f>
        <v>OBJETIVO OPERATIVO 3</v>
      </c>
      <c r="D296" s="20" t="b">
        <f>Software!B44</f>
        <v>1</v>
      </c>
      <c r="E296" s="20" t="str">
        <f>Software!C44</f>
        <v>Alta</v>
      </c>
      <c r="F296" s="21" t="str">
        <f>Software!D44</f>
        <v>2025-I(Inicio de ciclo)</v>
      </c>
      <c r="G296" s="20" t="str">
        <f>Software!E44</f>
        <v>Coordinación para aprobación de documentación de la integración curricular.</v>
      </c>
      <c r="H296" s="20" t="str">
        <f>Software!F44</f>
        <v>Director de carrera / Coordinador de carreras</v>
      </c>
      <c r="I296" s="20" t="str">
        <f>Software!G44</f>
        <v>Revisar y coordinar la aprobación de documentos para el ingreso a la unidad de integración curricular</v>
      </c>
      <c r="J296" s="20" t="str">
        <f>Software!H44</f>
        <v>Aprobación de la documentación a titulación.</v>
      </c>
      <c r="K296" s="62">
        <f>Software!I44</f>
        <v>1</v>
      </c>
      <c r="L296" s="160">
        <f>Software!J44</f>
        <v>0</v>
      </c>
      <c r="M296" s="20">
        <f>Software!K44</f>
        <v>0</v>
      </c>
      <c r="N296" s="20">
        <f>Software!L44</f>
        <v>0</v>
      </c>
      <c r="O296" s="20">
        <f>Software!M44</f>
        <v>0</v>
      </c>
      <c r="P296" s="20">
        <v>2025</v>
      </c>
    </row>
    <row r="297" spans="1:16" ht="14.25" customHeight="1">
      <c r="A297" s="20" t="s">
        <v>485</v>
      </c>
      <c r="B297" s="20" t="str">
        <f>$B$294</f>
        <v>ESTRATEGIA 2</v>
      </c>
      <c r="C297" s="20" t="str">
        <f>$C$295</f>
        <v>OBJETIVO OPERATIVO 3</v>
      </c>
      <c r="D297" s="20" t="b">
        <f>Software!B45</f>
        <v>1</v>
      </c>
      <c r="E297" s="20" t="str">
        <f>Software!C45</f>
        <v>Alta</v>
      </c>
      <c r="F297" s="21" t="str">
        <f>Software!D45</f>
        <v>2025-I(Fin de ciclo)</v>
      </c>
      <c r="G297" s="20" t="str">
        <f>Software!E45</f>
        <v>Coordinación del evento de incorporación.</v>
      </c>
      <c r="H297" s="20" t="str">
        <f>Software!F45</f>
        <v>Director de carrera / Coordinador de carreras</v>
      </c>
      <c r="I297" s="20" t="str">
        <f>Software!G45</f>
        <v>Realizar la lista de estudiantes a titularse</v>
      </c>
      <c r="J297" s="20" t="str">
        <f>Software!H45</f>
        <v>Matriz de datos de estudiantes a titularse</v>
      </c>
      <c r="K297" s="62">
        <f>Software!I45</f>
        <v>1</v>
      </c>
      <c r="L297" s="160">
        <f>Software!J45</f>
        <v>0</v>
      </c>
      <c r="M297" s="20">
        <f>Software!K45</f>
        <v>0</v>
      </c>
      <c r="N297" s="20">
        <f>Software!L45</f>
        <v>0</v>
      </c>
      <c r="O297" s="20">
        <f>Software!M45</f>
        <v>0</v>
      </c>
      <c r="P297" s="20">
        <v>2025</v>
      </c>
    </row>
    <row r="298" spans="1:16" ht="14.25" customHeight="1">
      <c r="A298" s="20" t="s">
        <v>485</v>
      </c>
      <c r="B298" s="20" t="str">
        <f>Software!B46</f>
        <v>ESTRATEGIA 3</v>
      </c>
      <c r="C298" s="20" t="str">
        <f>Software!E46</f>
        <v>OBJETIVO OPERATIVO 1</v>
      </c>
      <c r="D298" s="20" t="b">
        <f>Software!B47</f>
        <v>0</v>
      </c>
      <c r="E298" s="20" t="str">
        <f>Software!C47</f>
        <v>Media</v>
      </c>
      <c r="F298" s="21" t="str">
        <f>Software!D47</f>
        <v>2025-I(Todo el ciclo)
2025-II(Todo de ciclo)</v>
      </c>
      <c r="G298" s="20" t="str">
        <f>Software!E47</f>
        <v>Colaborar con la comisión de Vinculación en la construcción de los documentos necesarios para la firma de convenios.</v>
      </c>
      <c r="H298" s="20" t="str">
        <f>Software!F47</f>
        <v>Director/a carrera -responsable de practicas y vinculación</v>
      </c>
      <c r="I298" s="20" t="str">
        <f>Software!G47</f>
        <v>Brindar apoyo y realizar ITV de vinculación de la carrera</v>
      </c>
      <c r="J298" s="20" t="str">
        <f>Software!H47</f>
        <v>ITV  y los convenios.</v>
      </c>
      <c r="K298" s="62">
        <f>Software!I47</f>
        <v>0</v>
      </c>
      <c r="L298" s="160">
        <f>Software!J47</f>
        <v>0</v>
      </c>
      <c r="M298" s="20">
        <f>Software!K47</f>
        <v>0</v>
      </c>
      <c r="N298" s="20">
        <f>Software!L47</f>
        <v>0</v>
      </c>
      <c r="O298" s="20" t="str">
        <f>Software!M47</f>
        <v>Segundo semestre</v>
      </c>
      <c r="P298" s="20">
        <v>2025</v>
      </c>
    </row>
    <row r="299" spans="1:16" ht="14.25" customHeight="1">
      <c r="A299" s="20" t="s">
        <v>485</v>
      </c>
      <c r="B299" s="20" t="str">
        <f>$B$298</f>
        <v>ESTRATEGIA 3</v>
      </c>
      <c r="C299" s="20" t="str">
        <f>$C$298</f>
        <v>OBJETIVO OPERATIVO 1</v>
      </c>
      <c r="D299" s="20" t="b">
        <f>Software!B48</f>
        <v>0</v>
      </c>
      <c r="E299" s="20" t="str">
        <f>Software!C48</f>
        <v>Baja</v>
      </c>
      <c r="F299" s="21" t="str">
        <f>Software!D48</f>
        <v>2025-II( fin ciclo)
2025-I( fin ciclo)</v>
      </c>
      <c r="G299" s="20" t="str">
        <f>Software!E48</f>
        <v>Divulgación de los resultados de los proyectos de vinculación, asistiendo a las ferias convocados por diferentes organizaciones.</v>
      </c>
      <c r="H299" s="20" t="str">
        <f>Software!F48</f>
        <v>Director/a carrera -responsable de practicas y vinculación</v>
      </c>
      <c r="I299" s="20" t="str">
        <f>Software!G48</f>
        <v>Realizar la divulgación de los resultados de los proyectos de vinculación</v>
      </c>
      <c r="J299" s="20" t="str">
        <f>Software!H48</f>
        <v>Informe de la divulgación.</v>
      </c>
      <c r="K299" s="62">
        <f>Software!I48</f>
        <v>1</v>
      </c>
      <c r="L299" s="160">
        <f>Software!J48</f>
        <v>0</v>
      </c>
      <c r="M299" s="20">
        <f>Software!K48</f>
        <v>0</v>
      </c>
      <c r="N299" s="20">
        <f>Software!L48</f>
        <v>0</v>
      </c>
      <c r="O299" s="20">
        <f>Software!M48</f>
        <v>0</v>
      </c>
      <c r="P299" s="20">
        <v>2025</v>
      </c>
    </row>
    <row r="300" spans="1:16" ht="14.25" customHeight="1">
      <c r="A300" s="20" t="s">
        <v>485</v>
      </c>
      <c r="B300" s="20" t="str">
        <f>$B$298</f>
        <v>ESTRATEGIA 3</v>
      </c>
      <c r="C300" s="20" t="str">
        <f>$C$298</f>
        <v>OBJETIVO OPERATIVO 1</v>
      </c>
      <c r="D300" s="20" t="b">
        <f>Software!B49</f>
        <v>0</v>
      </c>
      <c r="E300" s="20" t="str">
        <f>Software!C49</f>
        <v>Baja</v>
      </c>
      <c r="F300" s="21" t="str">
        <f>Software!D49</f>
        <v>2025-I (inicio ciclo)
2025-II(inicio ciclo)</v>
      </c>
      <c r="G300" s="20" t="str">
        <f>Software!E49</f>
        <v>Socializar con los estudiantes el reglamento de vinculación</v>
      </c>
      <c r="H300" s="20" t="str">
        <f>Software!F49</f>
        <v>Director/a carrera -responsable de practicas y vinculación</v>
      </c>
      <c r="I300" s="20" t="str">
        <f>Software!G49</f>
        <v>Realizar la socialización del reglamento de vinculación con los estudiantes</v>
      </c>
      <c r="J300" s="20" t="str">
        <f>Software!H49</f>
        <v>Informe de socialización del reglamento.</v>
      </c>
      <c r="K300" s="62">
        <f>Software!I49</f>
        <v>0</v>
      </c>
      <c r="L300" s="160">
        <f>Software!J49</f>
        <v>0</v>
      </c>
      <c r="M300" s="20">
        <f>Software!K49</f>
        <v>0</v>
      </c>
      <c r="N300" s="20">
        <f>Software!L49</f>
        <v>0</v>
      </c>
      <c r="O300" s="20" t="str">
        <f>Software!M49</f>
        <v>Segundo semestre</v>
      </c>
      <c r="P300" s="20">
        <v>2025</v>
      </c>
    </row>
    <row r="301" spans="1:16" ht="14.25" customHeight="1">
      <c r="A301" s="20" t="s">
        <v>485</v>
      </c>
      <c r="B301" s="20" t="str">
        <f>$B$298</f>
        <v>ESTRATEGIA 3</v>
      </c>
      <c r="C301" s="20" t="str">
        <f>Software!E50</f>
        <v>OBJETIVO OPERATIVO 2</v>
      </c>
      <c r="D301" s="20" t="b">
        <f>Software!B51</f>
        <v>1</v>
      </c>
      <c r="E301" s="20" t="str">
        <f>Software!C51</f>
        <v>Alta</v>
      </c>
      <c r="F301" s="21" t="str">
        <f>Software!D51</f>
        <v>2025-I (inicio ciclo)
2025-II(inicio ciclo)</v>
      </c>
      <c r="G301" s="20" t="str">
        <f>Software!E51</f>
        <v>Conocer las líneas de investigación de la carrera</v>
      </c>
      <c r="H301" s="20" t="str">
        <f>Software!F51</f>
        <v>Director de carrera</v>
      </c>
      <c r="I301" s="20" t="str">
        <f>Software!G51</f>
        <v>Analizar y realizar las líneas de investigación de la carrera</v>
      </c>
      <c r="J301" s="20" t="str">
        <f>Software!H51</f>
        <v>Informe de socialización de las líneas de investigación de la carrera</v>
      </c>
      <c r="K301" s="62">
        <f>Software!I51</f>
        <v>1</v>
      </c>
      <c r="L301" s="160">
        <f>Software!J51</f>
        <v>0</v>
      </c>
      <c r="M301" s="20">
        <f>Software!K51</f>
        <v>0</v>
      </c>
      <c r="N301" s="20">
        <f>Software!L51</f>
        <v>0</v>
      </c>
      <c r="O301" s="20">
        <f>Software!M51</f>
        <v>0</v>
      </c>
      <c r="P301" s="20">
        <v>2025</v>
      </c>
    </row>
    <row r="302" spans="1:16" ht="14.25" customHeight="1">
      <c r="A302" s="20" t="s">
        <v>485</v>
      </c>
      <c r="B302" s="20" t="str">
        <f>$B$298</f>
        <v>ESTRATEGIA 3</v>
      </c>
      <c r="C302" s="20" t="str">
        <f>$C$301</f>
        <v>OBJETIVO OPERATIVO 2</v>
      </c>
      <c r="D302" s="20" t="b">
        <f>Software!B52</f>
        <v>1</v>
      </c>
      <c r="E302" s="20" t="str">
        <f>Software!C52</f>
        <v>Alta</v>
      </c>
      <c r="F302" s="21" t="str">
        <f>Software!D52</f>
        <v>2025-I(Todo el ciclo)
2025-II(Todo de ciclo)</v>
      </c>
      <c r="G302" s="20" t="str">
        <f>Software!E52</f>
        <v>Desarrollar investigación científica y tecnológica que contribuya con la construcción de soluciones para los problemas del país, en relación con los objetivos del régimen de desarrollo.</v>
      </c>
      <c r="H302" s="20" t="str">
        <f>Software!F52</f>
        <v>Director de Carrera
Docentes de la carrera
Comisión de Investigación</v>
      </c>
      <c r="I302" s="20" t="str">
        <f>Software!G52</f>
        <v>Incentivar y desarrollar la investigación de los docentes de la carrera en base a las líneas de la carrera</v>
      </c>
      <c r="J302" s="20" t="str">
        <f>Software!H52</f>
        <v>Artículos publicados por los docentes de la carrera</v>
      </c>
      <c r="K302" s="62">
        <f>Software!I52</f>
        <v>1</v>
      </c>
      <c r="L302" s="160">
        <f>Software!J52</f>
        <v>0</v>
      </c>
      <c r="M302" s="20">
        <f>Software!K52</f>
        <v>0</v>
      </c>
      <c r="N302" s="20">
        <f>Software!L52</f>
        <v>0</v>
      </c>
      <c r="O302" s="20" t="str">
        <f>Software!M52</f>
        <v>Segundo semestre</v>
      </c>
      <c r="P302" s="20">
        <v>2025</v>
      </c>
    </row>
    <row r="303" spans="1:16" ht="14.25" customHeight="1">
      <c r="A303" s="20" t="s">
        <v>485</v>
      </c>
      <c r="B303" s="20" t="str">
        <f>$B$298</f>
        <v>ESTRATEGIA 3</v>
      </c>
      <c r="C303" s="20" t="str">
        <f>Software!E53</f>
        <v>OBJETIVO OPERATIVO 3</v>
      </c>
      <c r="D303" s="20" t="b">
        <f>Software!B54</f>
        <v>1</v>
      </c>
      <c r="E303" s="20" t="str">
        <f>Software!C54</f>
        <v>Baja</v>
      </c>
      <c r="F303" s="21" t="str">
        <f>Software!D54</f>
        <v>2025-I(Todo el ciclo)
2025-II(Todo de ciclo)</v>
      </c>
      <c r="G303" s="20" t="str">
        <f>Software!E54</f>
        <v>Ejecutar la formación en valores y desarrollo de habilidades blandas.</v>
      </c>
      <c r="H303" s="20" t="str">
        <f>Software!F54</f>
        <v>Director de carrera
Gestor académico
Bienestar institucional</v>
      </c>
      <c r="I303" s="20" t="str">
        <f>Software!G54</f>
        <v>Realizar un curso de habilidades blandas que se desarrollara para todo el instituto</v>
      </c>
      <c r="J303" s="20" t="str">
        <f>Software!H54</f>
        <v>Informe de formación en valores y desarrollo de habilidades blandas</v>
      </c>
      <c r="K303" s="62">
        <f>Software!I54</f>
        <v>1</v>
      </c>
      <c r="L303" s="160">
        <f>Software!J54</f>
        <v>0</v>
      </c>
      <c r="M303" s="20">
        <f>Software!K54</f>
        <v>0</v>
      </c>
      <c r="N303" s="20">
        <f>Software!L54</f>
        <v>0</v>
      </c>
      <c r="O303" s="20">
        <f>Software!M54</f>
        <v>0</v>
      </c>
      <c r="P303" s="20">
        <v>2025</v>
      </c>
    </row>
    <row r="304" spans="1:16" ht="14.25" customHeight="1">
      <c r="A304" s="20" t="s">
        <v>485</v>
      </c>
      <c r="B304" s="20" t="str">
        <f>Software!B55</f>
        <v>ESTRATEGIA 4</v>
      </c>
      <c r="C304" s="20" t="str">
        <f>Software!E55</f>
        <v>OBJETIVO OPERATIVO 1</v>
      </c>
      <c r="D304" s="20" t="b">
        <f>Software!B56</f>
        <v>0</v>
      </c>
      <c r="E304" s="20" t="str">
        <f>Software!C56</f>
        <v>Baja</v>
      </c>
      <c r="F304" s="21" t="str">
        <f>Software!D56</f>
        <v>2025-I (fin ciclo)
2025-II(fin ciclo)</v>
      </c>
      <c r="G304" s="20" t="str">
        <f>Software!E56</f>
        <v>Elaboración de matrices de la oferta académica institucional.</v>
      </c>
      <c r="H304" s="20" t="str">
        <f>Software!F56</f>
        <v>Director de Carrera
Gestor Académico</v>
      </c>
      <c r="I304" s="20" t="str">
        <f>Software!G56</f>
        <v>Generación de matrices de oferta académica para la captación de más estudiantes</v>
      </c>
      <c r="J304" s="20" t="str">
        <f>Software!H56</f>
        <v>Matrices de la oferta académica.</v>
      </c>
      <c r="K304" s="62">
        <f>Software!I56</f>
        <v>1</v>
      </c>
      <c r="L304" s="160">
        <f>Software!J56</f>
        <v>0</v>
      </c>
      <c r="M304" s="20">
        <f>Software!K56</f>
        <v>0</v>
      </c>
      <c r="N304" s="20">
        <f>Software!L56</f>
        <v>0</v>
      </c>
      <c r="O304" s="20">
        <f>Software!M56</f>
        <v>0</v>
      </c>
      <c r="P304" s="20">
        <v>2025</v>
      </c>
    </row>
    <row r="305" spans="1:16" ht="14.25" customHeight="1">
      <c r="A305" s="20" t="s">
        <v>485</v>
      </c>
      <c r="B305" s="20" t="str">
        <f>$B$304</f>
        <v>ESTRATEGIA 4</v>
      </c>
      <c r="C305" s="20" t="str">
        <f>$C$304</f>
        <v>OBJETIVO OPERATIVO 1</v>
      </c>
      <c r="D305" s="20" t="b">
        <f>Software!B57</f>
        <v>0</v>
      </c>
      <c r="E305" s="20" t="str">
        <f>Software!C57</f>
        <v>Baja</v>
      </c>
      <c r="F305" s="21" t="str">
        <f>Software!D57</f>
        <v xml:space="preserve">
2025-II(fin ciclo)</v>
      </c>
      <c r="G305" s="20" t="str">
        <f>Software!E57</f>
        <v>Planificación de demanda estudiantil.</v>
      </c>
      <c r="H305" s="20" t="str">
        <f>Software!F57</f>
        <v>Director de Carrera
Gestor Académico</v>
      </c>
      <c r="I305" s="20" t="str">
        <f>Software!G57</f>
        <v>Planificar la demanda institucional en base a históricos de periodos anteriores</v>
      </c>
      <c r="J305" s="20" t="str">
        <f>Software!H57</f>
        <v>Listado certificado  de matriculados de la carrera</v>
      </c>
      <c r="K305" s="62">
        <f>Software!I57</f>
        <v>1</v>
      </c>
      <c r="L305" s="160">
        <f>Software!J57</f>
        <v>0</v>
      </c>
      <c r="M305" s="20">
        <f>Software!K57</f>
        <v>0</v>
      </c>
      <c r="N305" s="20">
        <f>Software!L57</f>
        <v>0</v>
      </c>
      <c r="O305" s="20">
        <f>Software!M57</f>
        <v>0</v>
      </c>
      <c r="P305" s="20">
        <v>2025</v>
      </c>
    </row>
    <row r="306" spans="1:16" ht="14.25" customHeight="1">
      <c r="A306" s="20" t="s">
        <v>485</v>
      </c>
      <c r="B306" s="20" t="str">
        <f>$B$304</f>
        <v>ESTRATEGIA 4</v>
      </c>
      <c r="C306" s="20" t="str">
        <f>$C$305</f>
        <v>OBJETIVO OPERATIVO 1</v>
      </c>
      <c r="D306" s="20" t="b">
        <f>Software!B58</f>
        <v>0</v>
      </c>
      <c r="E306" s="20" t="str">
        <f>Software!C58</f>
        <v>Media</v>
      </c>
      <c r="F306" s="21" t="str">
        <f>Software!D58</f>
        <v>2025-II(fin ciclo)</v>
      </c>
      <c r="G306" s="20" t="str">
        <f>Software!E58</f>
        <v>Análisis de capacidad operativa de la institución.</v>
      </c>
      <c r="H306" s="20" t="str">
        <f>Software!F58</f>
        <v>Director de Carrera
Gestor Académico</v>
      </c>
      <c r="I306" s="20" t="str">
        <f>Software!G58</f>
        <v>Análisis de requerimientos sustantivo y no sustantivo de la carrera</v>
      </c>
      <c r="J306" s="20" t="str">
        <f>Software!H58</f>
        <v>Resolución de aprobación por OCS de Estandarización de Carrera</v>
      </c>
      <c r="K306" s="62">
        <f>Software!I58</f>
        <v>1</v>
      </c>
      <c r="L306" s="160">
        <f>Software!J58</f>
        <v>0</v>
      </c>
      <c r="M306" s="20">
        <f>Software!K58</f>
        <v>0</v>
      </c>
      <c r="N306" s="20">
        <f>Software!L58</f>
        <v>0</v>
      </c>
      <c r="O306" s="20">
        <f>Software!M58</f>
        <v>0</v>
      </c>
      <c r="P306" s="20">
        <v>2025</v>
      </c>
    </row>
    <row r="307" spans="1:16" ht="14.25" customHeight="1">
      <c r="A307" s="20" t="s">
        <v>486</v>
      </c>
      <c r="B307" s="20" t="str">
        <f>Ciberseguridad!B10</f>
        <v>ESTRATEGIA 1</v>
      </c>
      <c r="C307" s="20" t="str">
        <f>Ciberseguridad!E10</f>
        <v>OBJETIVO OPERATIVO 1</v>
      </c>
      <c r="D307" s="20" t="b">
        <f>Ciberseguridad!B11</f>
        <v>0</v>
      </c>
      <c r="E307" s="20" t="str">
        <f>Ciberseguridad!C11</f>
        <v>Media</v>
      </c>
      <c r="F307" s="21" t="str">
        <f>Ciberseguridad!D11</f>
        <v>2025-I ( Inicio ciclo)</v>
      </c>
      <c r="G307" s="20" t="str">
        <f>Ciberseguridad!E11</f>
        <v>Planificar y estructurar las capacitaciones en el área técnica y didáctica.</v>
      </c>
      <c r="H307" s="20" t="str">
        <f>Ciberseguridad!F11</f>
        <v>Director/a carrera
Docentes</v>
      </c>
      <c r="I307" s="20" t="str">
        <f>Ciberseguridad!G11</f>
        <v>Desarrollo del plan de capacitación docente</v>
      </c>
      <c r="J307" s="20" t="str">
        <f>Ciberseguridad!H11</f>
        <v>Plan de capacitación docente.</v>
      </c>
      <c r="K307" s="62">
        <f>Ciberseguridad!I11</f>
        <v>1</v>
      </c>
      <c r="L307" s="160">
        <f>Ciberseguridad!J11</f>
        <v>0</v>
      </c>
      <c r="M307" s="20">
        <f>Ciberseguridad!K11</f>
        <v>0</v>
      </c>
      <c r="N307" s="20">
        <f>Ciberseguridad!L11</f>
        <v>0</v>
      </c>
      <c r="O307" s="20">
        <f>Ciberseguridad!M11</f>
        <v>0</v>
      </c>
      <c r="P307" s="20">
        <v>2025</v>
      </c>
    </row>
    <row r="308" spans="1:16" ht="14.25" customHeight="1">
      <c r="A308" s="20" t="s">
        <v>486</v>
      </c>
      <c r="B308" s="20" t="str">
        <f>$B$307</f>
        <v>ESTRATEGIA 1</v>
      </c>
      <c r="C308" s="20" t="str">
        <f>$C$307</f>
        <v>OBJETIVO OPERATIVO 1</v>
      </c>
      <c r="D308" s="20" t="b">
        <f>Ciberseguridad!B12</f>
        <v>0</v>
      </c>
      <c r="E308" s="20" t="str">
        <f>Ciberseguridad!C12</f>
        <v>Baja</v>
      </c>
      <c r="F308" s="21" t="str">
        <f>Ciberseguridad!D12</f>
        <v>2025-II ( fin ciclo)</v>
      </c>
      <c r="G308" s="20" t="str">
        <f>Ciberseguridad!E12</f>
        <v>Ejecutar las capacitaciones planificadas.</v>
      </c>
      <c r="H308" s="20" t="str">
        <f>Ciberseguridad!F12</f>
        <v>Director/a carrera
Docentes</v>
      </c>
      <c r="I308" s="20" t="str">
        <f>Ciberseguridad!G12</f>
        <v>informar sobre el plan de capacitación docente</v>
      </c>
      <c r="J308" s="20" t="str">
        <f>Ciberseguridad!H12</f>
        <v>Informe de ejecución del plan de capacitación docente.</v>
      </c>
      <c r="K308" s="62">
        <f>Ciberseguridad!I12</f>
        <v>1</v>
      </c>
      <c r="L308" s="160">
        <f>Ciberseguridad!J12</f>
        <v>0</v>
      </c>
      <c r="M308" s="20">
        <f>Ciberseguridad!K12</f>
        <v>0</v>
      </c>
      <c r="N308" s="20">
        <f>Ciberseguridad!L12</f>
        <v>0</v>
      </c>
      <c r="O308" s="20">
        <f>Ciberseguridad!M12</f>
        <v>0</v>
      </c>
      <c r="P308" s="20">
        <v>2025</v>
      </c>
    </row>
    <row r="309" spans="1:16" ht="14.25" customHeight="1">
      <c r="A309" s="20" t="s">
        <v>486</v>
      </c>
      <c r="B309" s="20" t="str">
        <f>$B$307</f>
        <v>ESTRATEGIA 1</v>
      </c>
      <c r="C309" s="20" t="str">
        <f>$C$307</f>
        <v>OBJETIVO OPERATIVO 1</v>
      </c>
      <c r="D309" s="20" t="b">
        <f>Ciberseguridad!B13</f>
        <v>0</v>
      </c>
      <c r="E309" s="20" t="str">
        <f>Ciberseguridad!C13</f>
        <v>Media</v>
      </c>
      <c r="F309" s="21" t="str">
        <f>Ciberseguridad!D13</f>
        <v>2024-II( fin ciclo)
2025-I( fin ciclo)</v>
      </c>
      <c r="G309" s="20" t="str">
        <f>Ciberseguridad!E13</f>
        <v>Entregar los resultados de los procesos de Evaluación al desempeño Docente y acciones realizadas.</v>
      </c>
      <c r="H309" s="20" t="str">
        <f>Ciberseguridad!F13</f>
        <v>Director/a carrera
Docentes</v>
      </c>
      <c r="I309" s="20" t="str">
        <f>Ciberseguridad!G13</f>
        <v>Generar una matriz para el registro de entrega de evaluaciones docentes</v>
      </c>
      <c r="J309" s="20" t="str">
        <f>Ciberseguridad!H13</f>
        <v>Registro de entrega de evaluaciones a los docentes</v>
      </c>
      <c r="K309" s="62">
        <f>Ciberseguridad!I13</f>
        <v>1</v>
      </c>
      <c r="L309" s="160">
        <f>Ciberseguridad!J13</f>
        <v>0</v>
      </c>
      <c r="M309" s="20">
        <f>Ciberseguridad!K13</f>
        <v>0</v>
      </c>
      <c r="N309" s="20">
        <f>Ciberseguridad!L13</f>
        <v>0</v>
      </c>
      <c r="O309" s="20">
        <f>Ciberseguridad!M13</f>
        <v>0</v>
      </c>
      <c r="P309" s="20">
        <v>2025</v>
      </c>
    </row>
    <row r="310" spans="1:16" ht="14.25" customHeight="1">
      <c r="A310" s="20" t="s">
        <v>486</v>
      </c>
      <c r="B310" s="20" t="str">
        <f t="shared" ref="B310:B317" si="26">$B$309</f>
        <v>ESTRATEGIA 1</v>
      </c>
      <c r="C310" s="20" t="str">
        <f>Ciberseguridad!E14</f>
        <v>OBJETIVO OPERATIVO 2</v>
      </c>
      <c r="D310" s="20" t="b">
        <f>Ciberseguridad!B15</f>
        <v>0</v>
      </c>
      <c r="E310" s="20" t="str">
        <f>Ciberseguridad!C15</f>
        <v>Baja</v>
      </c>
      <c r="F310" s="21" t="str">
        <f>Ciberseguridad!D15</f>
        <v>2025-I (inicio ciclo)
2025-II(inicio ciclo)</v>
      </c>
      <c r="G310" s="20" t="str">
        <f>Ciberseguridad!E15</f>
        <v>Socializar con los docentes el uso adecuado de la plataforma Moodle.</v>
      </c>
      <c r="H310" s="20" t="str">
        <f>Ciberseguridad!F15</f>
        <v>Responsable de Moodle de la carrera</v>
      </c>
      <c r="I310" s="20" t="str">
        <f>Ciberseguridad!G15</f>
        <v>Realizar la socialización y generar un informe sobre el uso del Moodle</v>
      </c>
      <c r="J310" s="20" t="str">
        <f>Ciberseguridad!H15</f>
        <v>Informe de socialización / inducción a los docentes</v>
      </c>
      <c r="K310" s="62">
        <f>Ciberseguridad!I15</f>
        <v>1</v>
      </c>
      <c r="L310" s="160">
        <f>Ciberseguridad!J15</f>
        <v>0</v>
      </c>
      <c r="M310" s="20">
        <f>Ciberseguridad!K15</f>
        <v>0</v>
      </c>
      <c r="N310" s="20">
        <f>Ciberseguridad!L15</f>
        <v>0</v>
      </c>
      <c r="O310" s="20">
        <f>Ciberseguridad!M15</f>
        <v>0</v>
      </c>
      <c r="P310" s="20">
        <v>2025</v>
      </c>
    </row>
    <row r="311" spans="1:16" ht="14.25" customHeight="1">
      <c r="A311" s="20" t="s">
        <v>486</v>
      </c>
      <c r="B311" s="20" t="str">
        <f t="shared" si="26"/>
        <v>ESTRATEGIA 1</v>
      </c>
      <c r="C311" s="20" t="str">
        <f>$C$310</f>
        <v>OBJETIVO OPERATIVO 2</v>
      </c>
      <c r="D311" s="20" t="b">
        <f>Ciberseguridad!B16</f>
        <v>0</v>
      </c>
      <c r="E311" s="20" t="str">
        <f>Ciberseguridad!C16</f>
        <v>Media</v>
      </c>
      <c r="F311" s="21" t="str">
        <f>Ciberseguridad!D16</f>
        <v>2024-II( fin ciclo)
2025-I( fin ciclo)</v>
      </c>
      <c r="G311" s="20" t="str">
        <f>Ciberseguridad!E16</f>
        <v>Revisar el aporte de cada docente en la plataforma Moodle</v>
      </c>
      <c r="H311" s="20" t="str">
        <f>Ciberseguridad!F16</f>
        <v>Responsable de Moodle de la carrera</v>
      </c>
      <c r="I311" s="20" t="str">
        <f>Ciberseguridad!G16</f>
        <v>Controlar el uso adecuado de la plataforma y generar un informe.</v>
      </c>
      <c r="J311" s="20" t="str">
        <f>Ciberseguridad!H16</f>
        <v>Informe de actividades en la plataforma Moodle.</v>
      </c>
      <c r="K311" s="62">
        <f>Ciberseguridad!I16</f>
        <v>1</v>
      </c>
      <c r="L311" s="160">
        <f>Ciberseguridad!J16</f>
        <v>0</v>
      </c>
      <c r="M311" s="20">
        <f>Ciberseguridad!K16</f>
        <v>0</v>
      </c>
      <c r="N311" s="20">
        <f>Ciberseguridad!L16</f>
        <v>0</v>
      </c>
      <c r="O311" s="20">
        <f>Ciberseguridad!M16</f>
        <v>0</v>
      </c>
      <c r="P311" s="20">
        <v>2025</v>
      </c>
    </row>
    <row r="312" spans="1:16" ht="14.25" customHeight="1">
      <c r="A312" s="20" t="s">
        <v>486</v>
      </c>
      <c r="B312" s="20" t="str">
        <f t="shared" si="26"/>
        <v>ESTRATEGIA 1</v>
      </c>
      <c r="C312" s="20" t="str">
        <f>Ciberseguridad!E17</f>
        <v>OBJETIVO OPERATIVO 3</v>
      </c>
      <c r="D312" s="20" t="b">
        <f>Ciberseguridad!B18</f>
        <v>0</v>
      </c>
      <c r="E312" s="20" t="str">
        <f>Ciberseguridad!C18</f>
        <v>Alta</v>
      </c>
      <c r="F312" s="21" t="str">
        <f>Ciberseguridad!D18</f>
        <v>2025-I(inicio ciclo)
2025-II (inicio ciclo)</v>
      </c>
      <c r="G312" s="20" t="str">
        <f>Ciberseguridad!E18</f>
        <v>Planificar y desarrollar una reunión del colectivo académico</v>
      </c>
      <c r="H312" s="20" t="str">
        <f>Ciberseguridad!F18</f>
        <v>Director/a carrera</v>
      </c>
      <c r="I312" s="20" t="str">
        <f>Ciberseguridad!G18</f>
        <v>Realizar y evidenciar los colectivos académicos</v>
      </c>
      <c r="J312" s="20" t="str">
        <f>Ciberseguridad!H18</f>
        <v>Convocatoria al colectivo de académico</v>
      </c>
      <c r="K312" s="62">
        <f>Ciberseguridad!I18</f>
        <v>1</v>
      </c>
      <c r="L312" s="160">
        <f>Ciberseguridad!J18</f>
        <v>0</v>
      </c>
      <c r="M312" s="20">
        <f>Ciberseguridad!K18</f>
        <v>0</v>
      </c>
      <c r="N312" s="20">
        <f>Ciberseguridad!L18</f>
        <v>0</v>
      </c>
      <c r="O312" s="20">
        <f>Ciberseguridad!M18</f>
        <v>0</v>
      </c>
      <c r="P312" s="20">
        <v>2025</v>
      </c>
    </row>
    <row r="313" spans="1:16" ht="14.25" customHeight="1">
      <c r="A313" s="20" t="s">
        <v>486</v>
      </c>
      <c r="B313" s="20" t="str">
        <f t="shared" si="26"/>
        <v>ESTRATEGIA 1</v>
      </c>
      <c r="C313" s="20" t="str">
        <f>$C$312</f>
        <v>OBJETIVO OPERATIVO 3</v>
      </c>
      <c r="D313" s="20" t="b">
        <f>Ciberseguridad!B19</f>
        <v>0</v>
      </c>
      <c r="E313" s="20" t="str">
        <f>Ciberseguridad!C19</f>
        <v>Media</v>
      </c>
      <c r="F313" s="21" t="str">
        <f>Ciberseguridad!D19</f>
        <v>2024-II(fin de ciclo)
2025-I(fin de ciclo)</v>
      </c>
      <c r="G313" s="20" t="str">
        <f>Ciberseguridad!E19</f>
        <v>Revisión y actualización de los PEAS</v>
      </c>
      <c r="H313" s="20" t="str">
        <f>Ciberseguridad!F19</f>
        <v>Director/a carrera
Docentes</v>
      </c>
      <c r="I313" s="20" t="str">
        <f>Ciberseguridad!G19</f>
        <v>Revisar si la bibliografía de la carrera es la adecuada en colectivos  según PEAS y Colectivos para el acervo bibliográfico</v>
      </c>
      <c r="J313" s="20" t="str">
        <f>Ciberseguridad!H19</f>
        <v>Acervo bibliográfico de todas las asignaturas de la carrera, Informes de colectivos y PEAS revisados</v>
      </c>
      <c r="K313" s="62">
        <f>Ciberseguridad!I19</f>
        <v>1</v>
      </c>
      <c r="L313" s="160">
        <f>Ciberseguridad!J19</f>
        <v>0</v>
      </c>
      <c r="M313" s="20">
        <f>Ciberseguridad!K19</f>
        <v>0</v>
      </c>
      <c r="N313" s="20">
        <f>Ciberseguridad!L19</f>
        <v>0</v>
      </c>
      <c r="O313" s="20">
        <f>Ciberseguridad!M19</f>
        <v>0</v>
      </c>
      <c r="P313" s="20">
        <v>2025</v>
      </c>
    </row>
    <row r="314" spans="1:16" ht="14.25" customHeight="1">
      <c r="A314" s="20" t="s">
        <v>486</v>
      </c>
      <c r="B314" s="20" t="str">
        <f t="shared" si="26"/>
        <v>ESTRATEGIA 1</v>
      </c>
      <c r="C314" s="20" t="str">
        <f>$C$312</f>
        <v>OBJETIVO OPERATIVO 3</v>
      </c>
      <c r="D314" s="20" t="b">
        <f>Ciberseguridad!B20</f>
        <v>0</v>
      </c>
      <c r="E314" s="20" t="str">
        <f>Ciberseguridad!C20</f>
        <v>Media</v>
      </c>
      <c r="F314" s="21" t="str">
        <f>Ciberseguridad!D20</f>
        <v>2024-II(fin de ciclo)
2025-I(fin de ciclo)</v>
      </c>
      <c r="G314" s="20" t="str">
        <f>Ciberseguridad!E20</f>
        <v>Actas de reunión por colectivo académico</v>
      </c>
      <c r="H314" s="20" t="str">
        <f>Ciberseguridad!F20</f>
        <v>Director/a carrera
Docentes</v>
      </c>
      <c r="I314" s="20" t="str">
        <f>Ciberseguridad!G20</f>
        <v>Evidenciar el trabajo de colectivos</v>
      </c>
      <c r="J314" s="20" t="str">
        <f>Ciberseguridad!H20</f>
        <v>Actas de colectivos</v>
      </c>
      <c r="K314" s="62">
        <f>Ciberseguridad!I20</f>
        <v>1</v>
      </c>
      <c r="L314" s="160">
        <f>Ciberseguridad!J20</f>
        <v>0</v>
      </c>
      <c r="M314" s="20">
        <f>Ciberseguridad!K20</f>
        <v>0</v>
      </c>
      <c r="N314" s="20">
        <f>Ciberseguridad!L20</f>
        <v>0</v>
      </c>
      <c r="O314" s="20">
        <f>Ciberseguridad!M20</f>
        <v>0</v>
      </c>
      <c r="P314" s="20">
        <v>2025</v>
      </c>
    </row>
    <row r="315" spans="1:16" ht="14.25" customHeight="1">
      <c r="A315" s="20" t="s">
        <v>486</v>
      </c>
      <c r="B315" s="20" t="str">
        <f t="shared" si="26"/>
        <v>ESTRATEGIA 1</v>
      </c>
      <c r="C315" s="20" t="str">
        <f>Ciberseguridad!E21</f>
        <v>OBJETIVO OPERATIVO 4</v>
      </c>
      <c r="D315" s="20" t="b">
        <f>Ciberseguridad!B22</f>
        <v>0</v>
      </c>
      <c r="E315" s="20" t="str">
        <f>Ciberseguridad!C22</f>
        <v>Baja</v>
      </c>
      <c r="F315" s="21" t="str">
        <f>Ciberseguridad!D22</f>
        <v>2025-I(inicio ciclo)
2025-II (inicio ciclo)</v>
      </c>
      <c r="G315" s="20" t="str">
        <f>Ciberseguridad!E22</f>
        <v>Recopilar las fichas de afinidad de los docentes de acuerdo al nivel de estudio.</v>
      </c>
      <c r="H315" s="20" t="str">
        <f>Ciberseguridad!F22</f>
        <v>Director/a carrera</v>
      </c>
      <c r="I315" s="20" t="str">
        <f>Ciberseguridad!G22</f>
        <v>Mantener actualizadas las fichas de afinidad de los docentes de acuerdo a la pertinencia en la carrera</v>
      </c>
      <c r="J315" s="20" t="str">
        <f>Ciberseguridad!H22</f>
        <v>Fichas de afinidad de los docentes.</v>
      </c>
      <c r="K315" s="62">
        <f>Ciberseguridad!I22</f>
        <v>1</v>
      </c>
      <c r="L315" s="160">
        <f>Ciberseguridad!J22</f>
        <v>0</v>
      </c>
      <c r="M315" s="20">
        <f>Ciberseguridad!K22</f>
        <v>0</v>
      </c>
      <c r="N315" s="20">
        <f>Ciberseguridad!L22</f>
        <v>0</v>
      </c>
      <c r="O315" s="20">
        <f>Ciberseguridad!M22</f>
        <v>0</v>
      </c>
      <c r="P315" s="20">
        <v>2025</v>
      </c>
    </row>
    <row r="316" spans="1:16" ht="14.25" customHeight="1">
      <c r="A316" s="20" t="s">
        <v>486</v>
      </c>
      <c r="B316" s="20" t="str">
        <f t="shared" si="26"/>
        <v>ESTRATEGIA 1</v>
      </c>
      <c r="C316" s="20" t="str">
        <f>$C$315</f>
        <v>OBJETIVO OPERATIVO 4</v>
      </c>
      <c r="D316" s="20">
        <f>Ciberseguridad!B23</f>
        <v>0</v>
      </c>
      <c r="E316" s="20" t="str">
        <f>Ciberseguridad!C23</f>
        <v>Alta</v>
      </c>
      <c r="F316" s="21" t="str">
        <f>Ciberseguridad!D23</f>
        <v>2025-I(inicio de ciclo)
2025-II(inicio de ciclo)</v>
      </c>
      <c r="G316" s="20" t="str">
        <f>Ciberseguridad!E23</f>
        <v>Elaboración del distributivo docente de la carrera</v>
      </c>
      <c r="H316" s="20" t="str">
        <f>Ciberseguridad!F23</f>
        <v>Director/a carrera</v>
      </c>
      <c r="I316" s="20" t="str">
        <f>Ciberseguridad!G23</f>
        <v>Evidenciar la carga horaria y distributivos de los docentes</v>
      </c>
      <c r="J316" s="20" t="str">
        <f>Ciberseguridad!H23</f>
        <v>Distributivo docente aprobado.</v>
      </c>
      <c r="K316" s="62">
        <f>Ciberseguridad!I23</f>
        <v>1</v>
      </c>
      <c r="L316" s="160">
        <f>Ciberseguridad!J23</f>
        <v>0</v>
      </c>
      <c r="M316" s="20">
        <f>Ciberseguridad!K23</f>
        <v>0</v>
      </c>
      <c r="N316" s="20">
        <f>Ciberseguridad!L23</f>
        <v>0</v>
      </c>
      <c r="O316" s="20">
        <f>Ciberseguridad!M23</f>
        <v>0</v>
      </c>
      <c r="P316" s="20">
        <v>2025</v>
      </c>
    </row>
    <row r="317" spans="1:16" ht="14.25" customHeight="1">
      <c r="A317" s="20" t="s">
        <v>486</v>
      </c>
      <c r="B317" s="20" t="str">
        <f t="shared" si="26"/>
        <v>ESTRATEGIA 1</v>
      </c>
      <c r="C317" s="20" t="str">
        <f>$C$315</f>
        <v>OBJETIVO OPERATIVO 4</v>
      </c>
      <c r="D317" s="20" t="b">
        <f>Ciberseguridad!B24</f>
        <v>0</v>
      </c>
      <c r="E317" s="20" t="str">
        <f>Ciberseguridad!C24</f>
        <v>Media</v>
      </c>
      <c r="F317" s="21" t="str">
        <f>Ciberseguridad!D24</f>
        <v>2025-I(inicio de ciclo)
2025-II(inicio de ciclo)</v>
      </c>
      <c r="G317" s="20" t="str">
        <f>Ciberseguridad!E24</f>
        <v>Designar responsables de la administración de la plataforma, tutorías , prácticas, vinculación , etc.</v>
      </c>
      <c r="H317" s="20" t="str">
        <f>Ciberseguridad!F24</f>
        <v>Director/a carrera</v>
      </c>
      <c r="I317" s="20" t="str">
        <f>Ciberseguridad!G24</f>
        <v>Realizar las designaciones y evidenciar los responsables y tutores de la carrera</v>
      </c>
      <c r="J317" s="20" t="str">
        <f>Ciberseguridad!H24</f>
        <v>Oficios de designaciones de responsables.</v>
      </c>
      <c r="K317" s="62">
        <f>Ciberseguridad!I24</f>
        <v>1</v>
      </c>
      <c r="L317" s="160">
        <f>Ciberseguridad!J24</f>
        <v>0</v>
      </c>
      <c r="M317" s="20">
        <f>Ciberseguridad!K24</f>
        <v>0</v>
      </c>
      <c r="N317" s="20">
        <f>Ciberseguridad!L24</f>
        <v>0</v>
      </c>
      <c r="O317" s="20">
        <f>Ciberseguridad!M24</f>
        <v>0</v>
      </c>
      <c r="P317" s="20">
        <v>2025</v>
      </c>
    </row>
    <row r="318" spans="1:16" ht="14.25" customHeight="1">
      <c r="A318" s="20" t="s">
        <v>486</v>
      </c>
      <c r="B318" s="20" t="str">
        <f>Ciberseguridad!B25</f>
        <v>ESTRATEGIA 2</v>
      </c>
      <c r="C318" s="20" t="str">
        <f>Ciberseguridad!E25</f>
        <v>OBJETIVO OPERATIVO 1</v>
      </c>
      <c r="D318" s="20" t="b">
        <f>Ciberseguridad!B26</f>
        <v>0</v>
      </c>
      <c r="E318" s="20" t="str">
        <f>Ciberseguridad!C26</f>
        <v>Alta</v>
      </c>
      <c r="F318" s="21" t="str">
        <f>Ciberseguridad!D26</f>
        <v>2025-I(Inicio de ciclo)
2025-II(Inicio de ciclo)</v>
      </c>
      <c r="G318" s="20" t="str">
        <f>Ciberseguridad!E26</f>
        <v>Elaborar y presentar el calendario de actividades de la o las carreras, horarios de clases y laboratorios.</v>
      </c>
      <c r="H318" s="20" t="str">
        <f>Ciberseguridad!F26</f>
        <v>Director/a carrera</v>
      </c>
      <c r="I318" s="20" t="str">
        <f>Ciberseguridad!G26</f>
        <v>Realizar los documentos necesarios para el desarrollo de las actividades de cada periodo de la carrera</v>
      </c>
      <c r="J318" s="20" t="str">
        <f>Ciberseguridad!H26</f>
        <v>Calendario y horarios aprobados</v>
      </c>
      <c r="K318" s="62">
        <f>Ciberseguridad!I26</f>
        <v>1</v>
      </c>
      <c r="L318" s="160">
        <f>Ciberseguridad!J26</f>
        <v>0</v>
      </c>
      <c r="M318" s="20">
        <f>Ciberseguridad!K26</f>
        <v>0</v>
      </c>
      <c r="N318" s="20">
        <f>Ciberseguridad!L26</f>
        <v>0</v>
      </c>
      <c r="O318" s="20">
        <f>Ciberseguridad!M26</f>
        <v>0</v>
      </c>
      <c r="P318" s="20">
        <v>2025</v>
      </c>
    </row>
    <row r="319" spans="1:16" ht="14.25" customHeight="1">
      <c r="A319" s="20" t="s">
        <v>486</v>
      </c>
      <c r="B319" s="20" t="str">
        <f t="shared" ref="B319:B335" si="27">$B$318</f>
        <v>ESTRATEGIA 2</v>
      </c>
      <c r="C319" s="20" t="str">
        <f t="shared" ref="C319:C329" si="28">$C$318</f>
        <v>OBJETIVO OPERATIVO 1</v>
      </c>
      <c r="D319" s="20" t="b">
        <f>Ciberseguridad!B27</f>
        <v>0</v>
      </c>
      <c r="E319" s="20" t="str">
        <f>Ciberseguridad!C27</f>
        <v>Media</v>
      </c>
      <c r="F319" s="21" t="str">
        <f>Ciberseguridad!D27</f>
        <v>2025-I(Todo el ciclo)
2025-II(Todo de ciclo)</v>
      </c>
      <c r="G319" s="20" t="str">
        <f>Ciberseguridad!E27</f>
        <v>Requerimiento y aprobación de Documentos académicos. (Sílabos, guías practicas e informes de avance de Silabo)</v>
      </c>
      <c r="H319" s="20" t="str">
        <f>Ciberseguridad!F27</f>
        <v>Director/a carrera - gestor académico</v>
      </c>
      <c r="I319" s="20" t="str">
        <f>Ciberseguridad!G27</f>
        <v>Solicitud de documentos académicos por materias</v>
      </c>
      <c r="J319" s="20" t="str">
        <f>Ciberseguridad!H27</f>
        <v>Documentación aprobada.</v>
      </c>
      <c r="K319" s="62">
        <f>Ciberseguridad!I27</f>
        <v>1</v>
      </c>
      <c r="L319" s="160">
        <f>Ciberseguridad!J27</f>
        <v>0</v>
      </c>
      <c r="M319" s="20">
        <f>Ciberseguridad!K27</f>
        <v>0</v>
      </c>
      <c r="N319" s="20">
        <f>Ciberseguridad!L27</f>
        <v>0</v>
      </c>
      <c r="O319" s="20">
        <f>Ciberseguridad!M27</f>
        <v>0</v>
      </c>
      <c r="P319" s="20">
        <v>2025</v>
      </c>
    </row>
    <row r="320" spans="1:16" ht="14.25" customHeight="1">
      <c r="A320" s="20" t="s">
        <v>486</v>
      </c>
      <c r="B320" s="20" t="str">
        <f t="shared" si="27"/>
        <v>ESTRATEGIA 2</v>
      </c>
      <c r="C320" s="20" t="str">
        <f t="shared" si="28"/>
        <v>OBJETIVO OPERATIVO 1</v>
      </c>
      <c r="D320" s="20" t="b">
        <f>Ciberseguridad!B28</f>
        <v>0</v>
      </c>
      <c r="E320" s="20" t="str">
        <f>Ciberseguridad!C28</f>
        <v>Media</v>
      </c>
      <c r="F320" s="21" t="str">
        <f>Ciberseguridad!D28</f>
        <v>2025-I(Todo el ciclo)
2025-II(Todo de ciclo)</v>
      </c>
      <c r="G320" s="20" t="str">
        <f>Ciberseguridad!E28</f>
        <v>Seguimiento al cumplimiento de la documentación académica.</v>
      </c>
      <c r="H320" s="20" t="str">
        <f>Ciberseguridad!F28</f>
        <v>Director/a carrera - gestor académico</v>
      </c>
      <c r="I320" s="20" t="str">
        <f>Ciberseguridad!G28</f>
        <v>Revisión de documentos académicos por materias</v>
      </c>
      <c r="J320" s="20" t="str">
        <f>Ciberseguridad!H28</f>
        <v>Informe de carrera sobre la documentación recibida.</v>
      </c>
      <c r="K320" s="62">
        <f>Ciberseguridad!I28</f>
        <v>1</v>
      </c>
      <c r="L320" s="160">
        <f>Ciberseguridad!J28</f>
        <v>0</v>
      </c>
      <c r="M320" s="20">
        <f>Ciberseguridad!K28</f>
        <v>0</v>
      </c>
      <c r="N320" s="20">
        <f>Ciberseguridad!L28</f>
        <v>0</v>
      </c>
      <c r="O320" s="20">
        <f>Ciberseguridad!M28</f>
        <v>0</v>
      </c>
      <c r="P320" s="20">
        <v>2025</v>
      </c>
    </row>
    <row r="321" spans="1:16" ht="14.25" customHeight="1">
      <c r="A321" s="20" t="s">
        <v>486</v>
      </c>
      <c r="B321" s="20" t="str">
        <f t="shared" si="27"/>
        <v>ESTRATEGIA 2</v>
      </c>
      <c r="C321" s="20" t="str">
        <f t="shared" si="28"/>
        <v>OBJETIVO OPERATIVO 1</v>
      </c>
      <c r="D321" s="20" t="b">
        <f>Ciberseguridad!B29</f>
        <v>0</v>
      </c>
      <c r="E321" s="20" t="str">
        <f>Ciberseguridad!C29</f>
        <v>Baja</v>
      </c>
      <c r="F321" s="21" t="str">
        <f>Ciberseguridad!D29</f>
        <v>2025-I(Todo el ciclo)
2025-II(Todo de ciclo)</v>
      </c>
      <c r="G321" s="20" t="str">
        <f>Ciberseguridad!E29</f>
        <v>Reuniones de carrera  para socialización y toma de decisiones</v>
      </c>
      <c r="H321" s="20" t="str">
        <f>Ciberseguridad!F29</f>
        <v>Director/a carrera - gestor académico</v>
      </c>
      <c r="I321" s="20" t="str">
        <f>Ciberseguridad!G29</f>
        <v>Reuniones de carrera de acuerdo a requerimientos</v>
      </c>
      <c r="J321" s="20" t="str">
        <f>Ciberseguridad!H29</f>
        <v>Convocatorias, actas e informes de reuniones de carrera.</v>
      </c>
      <c r="K321" s="62">
        <f>Ciberseguridad!I29</f>
        <v>1</v>
      </c>
      <c r="L321" s="160">
        <f>Ciberseguridad!J29</f>
        <v>0</v>
      </c>
      <c r="M321" s="20">
        <f>Ciberseguridad!K29</f>
        <v>0</v>
      </c>
      <c r="N321" s="20">
        <f>Ciberseguridad!L29</f>
        <v>0</v>
      </c>
      <c r="O321" s="20">
        <f>Ciberseguridad!M29</f>
        <v>0</v>
      </c>
      <c r="P321" s="20">
        <v>2025</v>
      </c>
    </row>
    <row r="322" spans="1:16" ht="14.25" customHeight="1">
      <c r="A322" s="20" t="s">
        <v>486</v>
      </c>
      <c r="B322" s="20" t="str">
        <f t="shared" si="27"/>
        <v>ESTRATEGIA 2</v>
      </c>
      <c r="C322" s="20" t="str">
        <f t="shared" si="28"/>
        <v>OBJETIVO OPERATIVO 1</v>
      </c>
      <c r="D322" s="20" t="b">
        <f>Ciberseguridad!B30</f>
        <v>0</v>
      </c>
      <c r="E322" s="20" t="str">
        <f>Ciberseguridad!C30</f>
        <v>Baja</v>
      </c>
      <c r="F322" s="21">
        <f>Ciberseguridad!D30</f>
        <v>45838</v>
      </c>
      <c r="G322" s="20" t="str">
        <f>Ciberseguridad!E30</f>
        <v>Informe semestral POA 2025</v>
      </c>
      <c r="H322" s="20" t="str">
        <f>Ciberseguridad!F30</f>
        <v>Director/a carrera - gestor académico</v>
      </c>
      <c r="I322" s="20" t="str">
        <f>Ciberseguridad!G30</f>
        <v>Informar sobre el avance del  POA</v>
      </c>
      <c r="J322" s="20" t="str">
        <f>Ciberseguridad!H30</f>
        <v>Informe semestral seguimiento POA 2025</v>
      </c>
      <c r="K322" s="62">
        <f>Ciberseguridad!I30</f>
        <v>1</v>
      </c>
      <c r="L322" s="160">
        <f>Ciberseguridad!J30</f>
        <v>0</v>
      </c>
      <c r="M322" s="20">
        <f>Ciberseguridad!K30</f>
        <v>0</v>
      </c>
      <c r="N322" s="20">
        <f>Ciberseguridad!L30</f>
        <v>0</v>
      </c>
      <c r="O322" s="20">
        <f>Ciberseguridad!M30</f>
        <v>0</v>
      </c>
      <c r="P322" s="20">
        <v>2025</v>
      </c>
    </row>
    <row r="323" spans="1:16" ht="14.25" customHeight="1">
      <c r="A323" s="20" t="s">
        <v>486</v>
      </c>
      <c r="B323" s="20" t="str">
        <f t="shared" si="27"/>
        <v>ESTRATEGIA 2</v>
      </c>
      <c r="C323" s="20" t="str">
        <f t="shared" si="28"/>
        <v>OBJETIVO OPERATIVO 1</v>
      </c>
      <c r="D323" s="20" t="b">
        <f>Ciberseguridad!B31</f>
        <v>0</v>
      </c>
      <c r="E323" s="20" t="str">
        <f>Ciberseguridad!C31</f>
        <v>Baja</v>
      </c>
      <c r="F323" s="21">
        <f>Ciberseguridad!D31</f>
        <v>45991</v>
      </c>
      <c r="G323" s="20" t="str">
        <f>Ciberseguridad!E31</f>
        <v>Informe final POA 2025</v>
      </c>
      <c r="H323" s="20" t="str">
        <f>Ciberseguridad!F31</f>
        <v>Director/a carrera - gestor académico</v>
      </c>
      <c r="I323" s="20" t="str">
        <f>Ciberseguridad!G31</f>
        <v>Informar sobre el alcance final del  POA</v>
      </c>
      <c r="J323" s="20" t="str">
        <f>Ciberseguridad!H31</f>
        <v>Informe final POA 2025</v>
      </c>
      <c r="K323" s="62">
        <f>Ciberseguridad!I31</f>
        <v>1</v>
      </c>
      <c r="L323" s="160">
        <f>Ciberseguridad!J31</f>
        <v>0</v>
      </c>
      <c r="M323" s="20">
        <f>Ciberseguridad!K31</f>
        <v>0</v>
      </c>
      <c r="N323" s="20">
        <f>Ciberseguridad!L31</f>
        <v>0</v>
      </c>
      <c r="O323" s="20">
        <f>Ciberseguridad!M31</f>
        <v>0</v>
      </c>
      <c r="P323" s="20">
        <v>2025</v>
      </c>
    </row>
    <row r="324" spans="1:16" ht="14.25" customHeight="1">
      <c r="A324" s="20" t="s">
        <v>486</v>
      </c>
      <c r="B324" s="20" t="str">
        <f t="shared" si="27"/>
        <v>ESTRATEGIA 2</v>
      </c>
      <c r="C324" s="20" t="str">
        <f t="shared" si="28"/>
        <v>OBJETIVO OPERATIVO 1</v>
      </c>
      <c r="D324" s="20" t="b">
        <f>Ciberseguridad!B32</f>
        <v>0</v>
      </c>
      <c r="E324" s="20" t="str">
        <f>Ciberseguridad!C32</f>
        <v>Baja</v>
      </c>
      <c r="F324" s="21">
        <f>Ciberseguridad!D32</f>
        <v>46011</v>
      </c>
      <c r="G324" s="20" t="str">
        <f>Ciberseguridad!E32</f>
        <v>Elaborar la Planificación Operativa Anual 2025</v>
      </c>
      <c r="H324" s="20" t="str">
        <f>Ciberseguridad!F32</f>
        <v>Director/a carrera - gestor académico</v>
      </c>
      <c r="I324" s="20" t="str">
        <f>Ciberseguridad!G32</f>
        <v>Realizar la planificación para el 2026</v>
      </c>
      <c r="J324" s="20" t="str">
        <f>Ciberseguridad!H32</f>
        <v>POA 2026</v>
      </c>
      <c r="K324" s="62">
        <f>Ciberseguridad!I32</f>
        <v>1</v>
      </c>
      <c r="L324" s="160">
        <f>Ciberseguridad!J32</f>
        <v>0</v>
      </c>
      <c r="M324" s="20">
        <f>Ciberseguridad!K32</f>
        <v>0</v>
      </c>
      <c r="N324" s="20">
        <f>Ciberseguridad!L32</f>
        <v>0</v>
      </c>
      <c r="O324" s="20">
        <f>Ciberseguridad!M32</f>
        <v>0</v>
      </c>
      <c r="P324" s="20">
        <v>2025</v>
      </c>
    </row>
    <row r="325" spans="1:16" ht="14.25" customHeight="1">
      <c r="A325" s="20" t="s">
        <v>486</v>
      </c>
      <c r="B325" s="20" t="str">
        <f t="shared" si="27"/>
        <v>ESTRATEGIA 2</v>
      </c>
      <c r="C325" s="20" t="str">
        <f t="shared" si="28"/>
        <v>OBJETIVO OPERATIVO 1</v>
      </c>
      <c r="D325" s="20" t="b">
        <f>Ciberseguridad!B33</f>
        <v>0</v>
      </c>
      <c r="E325" s="20" t="str">
        <f>Ciberseguridad!C33</f>
        <v>Media</v>
      </c>
      <c r="F325" s="21" t="str">
        <f>Ciberseguridad!D33</f>
        <v>2025-I (inicio de ciclo)
2025-II (inicio de ciclo)</v>
      </c>
      <c r="G325" s="20" t="str">
        <f>Ciberseguridad!E33</f>
        <v>Designación de tutores de curso</v>
      </c>
      <c r="H325" s="20" t="str">
        <f>Ciberseguridad!F33</f>
        <v>Director/a carrera</v>
      </c>
      <c r="I325" s="20" t="str">
        <f>Ciberseguridad!G33</f>
        <v>Realizar las designaciones y evidenciar los responsables y tutores de la carrera</v>
      </c>
      <c r="J325" s="20" t="str">
        <f>Ciberseguridad!H33</f>
        <v>Documento de designación de tutores por parte del director de carrera</v>
      </c>
      <c r="K325" s="62">
        <f>Ciberseguridad!I33</f>
        <v>1</v>
      </c>
      <c r="L325" s="160">
        <f>Ciberseguridad!J33</f>
        <v>0</v>
      </c>
      <c r="M325" s="20">
        <f>Ciberseguridad!K33</f>
        <v>0</v>
      </c>
      <c r="N325" s="20">
        <f>Ciberseguridad!L33</f>
        <v>0</v>
      </c>
      <c r="O325" s="20">
        <f>Ciberseguridad!M33</f>
        <v>0</v>
      </c>
      <c r="P325" s="20">
        <v>2025</v>
      </c>
    </row>
    <row r="326" spans="1:16" ht="14.25" customHeight="1">
      <c r="A326" s="20" t="s">
        <v>486</v>
      </c>
      <c r="B326" s="20" t="str">
        <f t="shared" si="27"/>
        <v>ESTRATEGIA 2</v>
      </c>
      <c r="C326" s="20" t="str">
        <f t="shared" si="28"/>
        <v>OBJETIVO OPERATIVO 1</v>
      </c>
      <c r="D326" s="20" t="b">
        <f>Ciberseguridad!B34</f>
        <v>0</v>
      </c>
      <c r="E326" s="20" t="str">
        <f>Ciberseguridad!C34</f>
        <v>Media</v>
      </c>
      <c r="F326" s="21" t="str">
        <f>Ciberseguridad!D34</f>
        <v>2025-I(Todo el ciclo)
2025-II(Todo el ciclo)</v>
      </c>
      <c r="G326" s="20" t="str">
        <f>Ciberseguridad!E34</f>
        <v>Ejecutar las actividades de la fase de SEGUIMIENTO del modelo metodológico del proceso de Seguimiento Curricular</v>
      </c>
      <c r="H326" s="20" t="str">
        <f>Ciberseguridad!F34</f>
        <v>Director/a de carrera - Gestor/a académico
Tutores de curso</v>
      </c>
      <c r="I326" s="20" t="str">
        <f>Ciberseguridad!G34</f>
        <v>Realizar el Seguimiento del modelo metodológico</v>
      </c>
      <c r="J326" s="20" t="str">
        <f>Ciberseguridad!H34</f>
        <v>Fase SEGUIMIENTO:
INICIO: Socialización de Tutorías Académicas
DURANTE: Registro de Calificaciones del Primer Parcial
FINAL : Registro de Calificación Finales</v>
      </c>
      <c r="K326" s="62">
        <f>Ciberseguridad!I34</f>
        <v>0.75</v>
      </c>
      <c r="L326" s="160">
        <f>Ciberseguridad!J34</f>
        <v>0</v>
      </c>
      <c r="M326" s="20">
        <f>Ciberseguridad!K34</f>
        <v>0</v>
      </c>
      <c r="N326" s="20">
        <f>Ciberseguridad!L34</f>
        <v>0</v>
      </c>
      <c r="O326" s="20" t="str">
        <f>Ciberseguridad!M34</f>
        <v>NO están registradas las notas del Primer Parcial del Ciclo 2025-II</v>
      </c>
      <c r="P326" s="20">
        <v>2025</v>
      </c>
    </row>
    <row r="327" spans="1:16" ht="14.25" customHeight="1">
      <c r="A327" s="20" t="s">
        <v>486</v>
      </c>
      <c r="B327" s="20" t="str">
        <f t="shared" si="27"/>
        <v>ESTRATEGIA 2</v>
      </c>
      <c r="C327" s="20" t="str">
        <f t="shared" si="28"/>
        <v>OBJETIVO OPERATIVO 1</v>
      </c>
      <c r="D327" s="20" t="b">
        <f>Ciberseguridad!B35</f>
        <v>0</v>
      </c>
      <c r="E327" s="20" t="str">
        <f>Ciberseguridad!C35</f>
        <v>Media</v>
      </c>
      <c r="F327" s="21" t="str">
        <f>Ciberseguridad!D35</f>
        <v>2025-I(Todo el ciclo)
2025-II(Todo el ciclo)</v>
      </c>
      <c r="G327" s="20" t="str">
        <f>Ciberseguridad!E35</f>
        <v>Ejecutar las actividades de la fase de CONTROL del modelo metodológico del proceso de Seguimiento Curricular</v>
      </c>
      <c r="H327" s="20" t="str">
        <f>Ciberseguridad!F35</f>
        <v>Director/a de carrera - Gestor/a académico
Tutores de curso</v>
      </c>
      <c r="I327" s="20" t="str">
        <f>Ciberseguridad!G35</f>
        <v>Realizar el Control del modelo metodológico</v>
      </c>
      <c r="J327" s="20" t="str">
        <f>Ciberseguridad!H35</f>
        <v>Fase CONTROL:
INICIO: Matriz consolidada de resultados de Pruebas de Diagnostico
DURANTE: Matriz consolidada de resultados de Calificaciones del Primer Parcial
FINAL : Matriz consolidada de resultados de Calificaciones Finales</v>
      </c>
      <c r="K327" s="62">
        <f>Ciberseguridad!I35</f>
        <v>0.75</v>
      </c>
      <c r="L327" s="160">
        <f>Ciberseguridad!J35</f>
        <v>0</v>
      </c>
      <c r="M327" s="20">
        <f>Ciberseguridad!K35</f>
        <v>0</v>
      </c>
      <c r="N327" s="20">
        <f>Ciberseguridad!L35</f>
        <v>0</v>
      </c>
      <c r="O327" s="20" t="str">
        <f>Ciberseguridad!M35</f>
        <v>NO está subida la matriz consolidada de resultados de calificaciones del Primer Parcial del Ciclo 2025-II</v>
      </c>
      <c r="P327" s="20">
        <v>2025</v>
      </c>
    </row>
    <row r="328" spans="1:16" ht="14.25" customHeight="1">
      <c r="A328" s="20" t="s">
        <v>486</v>
      </c>
      <c r="B328" s="20" t="str">
        <f t="shared" si="27"/>
        <v>ESTRATEGIA 2</v>
      </c>
      <c r="C328" s="20" t="str">
        <f t="shared" si="28"/>
        <v>OBJETIVO OPERATIVO 1</v>
      </c>
      <c r="D328" s="20" t="b">
        <f>Ciberseguridad!B36</f>
        <v>0</v>
      </c>
      <c r="E328" s="20" t="str">
        <f>Ciberseguridad!C36</f>
        <v>Media</v>
      </c>
      <c r="F328" s="21" t="str">
        <f>Ciberseguridad!D36</f>
        <v>2025-I(Todo el ciclo)
2025-II(Todo el ciclo)</v>
      </c>
      <c r="G328" s="20" t="str">
        <f>Ciberseguridad!E36</f>
        <v>Ejecutar las actividades de la fase de EVALUACIÓN del modelo metodológico del proceso de Seguimiento Curricular</v>
      </c>
      <c r="H328" s="20" t="str">
        <f>Ciberseguridad!F36</f>
        <v>Director/a de carrera - Gestor/a académico
Tutores de curso</v>
      </c>
      <c r="I328" s="20" t="str">
        <f>Ciberseguridad!G36</f>
        <v>Realizar la Evaluación del modelo metodológico</v>
      </c>
      <c r="J328" s="20" t="str">
        <f>Ciberseguridad!H36</f>
        <v>Fase EVALAUCIÓN:
INICIO: Acta de reunión de inicio de ciclo estudiantes
DURANTE: Acta de reunión del Primer Parcial Docentes - Estudiantes
FINAL : Acta de reunión Final - Docentes - Estudiantes</v>
      </c>
      <c r="K328" s="62">
        <f>Ciberseguridad!I36</f>
        <v>0.5</v>
      </c>
      <c r="L328" s="160">
        <f>Ciberseguridad!J36</f>
        <v>0</v>
      </c>
      <c r="M328" s="20">
        <f>Ciberseguridad!K36</f>
        <v>0</v>
      </c>
      <c r="N328" s="20">
        <f>Ciberseguridad!L36</f>
        <v>0</v>
      </c>
      <c r="O328" s="20" t="str">
        <f>Ciberseguridad!M36</f>
        <v>NO están subidas las actas de las reuniones de inicio de ciclo y del Primer Parcial del Ciclo 2025-II</v>
      </c>
      <c r="P328" s="20">
        <v>2025</v>
      </c>
    </row>
    <row r="329" spans="1:16" ht="14.25" customHeight="1">
      <c r="A329" s="20" t="s">
        <v>486</v>
      </c>
      <c r="B329" s="20" t="str">
        <f t="shared" si="27"/>
        <v>ESTRATEGIA 2</v>
      </c>
      <c r="C329" s="20" t="str">
        <f t="shared" si="28"/>
        <v>OBJETIVO OPERATIVO 1</v>
      </c>
      <c r="D329" s="20" t="b">
        <f>Ciberseguridad!B37</f>
        <v>0</v>
      </c>
      <c r="E329" s="20" t="str">
        <f>Ciberseguridad!C37</f>
        <v>Baja</v>
      </c>
      <c r="F329" s="21" t="str">
        <f>Ciberseguridad!D37</f>
        <v>2024-II(Fin de ciclo)
2025-I(Fin de Ciclo)</v>
      </c>
      <c r="G329" s="20" t="str">
        <f>Ciberseguridad!E37</f>
        <v>Elaboración del Plan de Mejoramiento del proceso enseñanza aprendizaje</v>
      </c>
      <c r="H329" s="20" t="str">
        <f>Ciberseguridad!F37</f>
        <v>Director/a carrera
Responsable de Seguimiento a graduados de la carrera</v>
      </c>
      <c r="I329" s="20" t="str">
        <f>Ciberseguridad!G37</f>
        <v>De acuerdo a los resultados generar el Plan de Mejoramiento enseñanza aprendizaje</v>
      </c>
      <c r="J329" s="20" t="str">
        <f>Ciberseguridad!H37</f>
        <v>Informe de plan de mejoramiento curricular</v>
      </c>
      <c r="K329" s="62">
        <f>Ciberseguridad!I37</f>
        <v>1</v>
      </c>
      <c r="L329" s="160">
        <f>Ciberseguridad!J37</f>
        <v>0</v>
      </c>
      <c r="M329" s="20">
        <f>Ciberseguridad!K37</f>
        <v>0</v>
      </c>
      <c r="N329" s="20">
        <f>Ciberseguridad!L37</f>
        <v>0</v>
      </c>
      <c r="O329" s="20">
        <f>Ciberseguridad!M37</f>
        <v>0</v>
      </c>
      <c r="P329" s="20">
        <v>2025</v>
      </c>
    </row>
    <row r="330" spans="1:16" ht="14.25" customHeight="1">
      <c r="A330" s="20" t="s">
        <v>486</v>
      </c>
      <c r="B330" s="20" t="str">
        <f t="shared" si="27"/>
        <v>ESTRATEGIA 2</v>
      </c>
      <c r="C330" s="20" t="str">
        <f>Ciberseguridad!E38</f>
        <v>OBJETIVO OPERATIVO 2</v>
      </c>
      <c r="D330" s="20" t="b">
        <f>Ciberseguridad!B39</f>
        <v>1</v>
      </c>
      <c r="E330" s="20" t="str">
        <f>Ciberseguridad!C39</f>
        <v>Media</v>
      </c>
      <c r="F330" s="21" t="str">
        <f>Ciberseguridad!D39</f>
        <v>2025-II(Inicio de ciclo)</v>
      </c>
      <c r="G330" s="20" t="str">
        <f>Ciberseguridad!E39</f>
        <v>Diseñar, gestionar e implementar cursos o programas de inducción y de actualización para docentes y estudiantes.</v>
      </c>
      <c r="H330" s="20" t="str">
        <f>Ciberseguridad!F39</f>
        <v>Director/a carrera - gestor académico</v>
      </c>
      <c r="I330" s="20" t="str">
        <f>Ciberseguridad!G39</f>
        <v>Generar la capacitación docente</v>
      </c>
      <c r="J330" s="20" t="str">
        <f>Ciberseguridad!H39</f>
        <v>Informes de cursos y o programas.</v>
      </c>
      <c r="K330" s="62">
        <f>Ciberseguridad!I39</f>
        <v>1</v>
      </c>
      <c r="L330" s="160">
        <f>Ciberseguridad!J39</f>
        <v>0</v>
      </c>
      <c r="M330" s="20">
        <f>Ciberseguridad!K39</f>
        <v>0</v>
      </c>
      <c r="N330" s="20">
        <f>Ciberseguridad!L39</f>
        <v>0</v>
      </c>
      <c r="O330" s="20">
        <f>Ciberseguridad!M39</f>
        <v>0</v>
      </c>
      <c r="P330" s="20">
        <v>2025</v>
      </c>
    </row>
    <row r="331" spans="1:16" ht="14.25" customHeight="1">
      <c r="A331" s="20" t="s">
        <v>486</v>
      </c>
      <c r="B331" s="20" t="str">
        <f t="shared" si="27"/>
        <v>ESTRATEGIA 2</v>
      </c>
      <c r="C331" s="20" t="str">
        <f>$C$330</f>
        <v>OBJETIVO OPERATIVO 2</v>
      </c>
      <c r="D331" s="20" t="b">
        <f>Ciberseguridad!B40</f>
        <v>1</v>
      </c>
      <c r="E331" s="20" t="str">
        <f>Ciberseguridad!C40</f>
        <v>Media</v>
      </c>
      <c r="F331" s="21" t="str">
        <f>Ciberseguridad!D40</f>
        <v>2025-II(Inicio de ciclo)</v>
      </c>
      <c r="G331" s="20" t="str">
        <f>Ciberseguridad!E40</f>
        <v>Capacitar a los estudiantes sobre la utilización de la Plataforma Moodle.</v>
      </c>
      <c r="H331" s="20" t="str">
        <f>Ciberseguridad!F40</f>
        <v>responsable plataforma Moodle de la carrera</v>
      </c>
      <c r="I331" s="20" t="str">
        <f>Ciberseguridad!G40</f>
        <v>Generar la capacitación estudiantil sobre el Moodle</v>
      </c>
      <c r="J331" s="20" t="str">
        <f>Ciberseguridad!H40</f>
        <v>Informe sobre la capacitación</v>
      </c>
      <c r="K331" s="62">
        <f>Ciberseguridad!I40</f>
        <v>1</v>
      </c>
      <c r="L331" s="160">
        <f>Ciberseguridad!J40</f>
        <v>0</v>
      </c>
      <c r="M331" s="20">
        <f>Ciberseguridad!K40</f>
        <v>0</v>
      </c>
      <c r="N331" s="20">
        <f>Ciberseguridad!L40</f>
        <v>0</v>
      </c>
      <c r="O331" s="20">
        <f>Ciberseguridad!M40</f>
        <v>0</v>
      </c>
      <c r="P331" s="20">
        <v>2025</v>
      </c>
    </row>
    <row r="332" spans="1:16" ht="14.25" customHeight="1">
      <c r="A332" s="20" t="s">
        <v>486</v>
      </c>
      <c r="B332" s="20" t="str">
        <f t="shared" si="27"/>
        <v>ESTRATEGIA 2</v>
      </c>
      <c r="C332" s="20" t="str">
        <f>$C$330</f>
        <v>OBJETIVO OPERATIVO 2</v>
      </c>
      <c r="D332" s="20" t="b">
        <f>Ciberseguridad!B41</f>
        <v>1</v>
      </c>
      <c r="E332" s="20" t="str">
        <f>Ciberseguridad!C41</f>
        <v>Baja</v>
      </c>
      <c r="F332" s="21" t="str">
        <f>Ciberseguridad!D41</f>
        <v>2025-II(Fin de ciclo)</v>
      </c>
      <c r="G332" s="20" t="str">
        <f>Ciberseguridad!E41</f>
        <v>Elaborar y ejecutar la planificación de oferta complementaria.</v>
      </c>
      <c r="H332" s="20" t="str">
        <f>Ciberseguridad!F41</f>
        <v>Docentes de la carrera</v>
      </c>
      <c r="I332" s="20" t="str">
        <f>Ciberseguridad!G41</f>
        <v>Analizar y realizar la oferta complementaria</v>
      </c>
      <c r="J332" s="20" t="str">
        <f>Ciberseguridad!H41</f>
        <v>Informe de ejecución de la oferta complementaria.</v>
      </c>
      <c r="K332" s="62">
        <f>Ciberseguridad!I41</f>
        <v>1</v>
      </c>
      <c r="L332" s="160">
        <f>Ciberseguridad!J41</f>
        <v>0</v>
      </c>
      <c r="M332" s="20">
        <f>Ciberseguridad!K41</f>
        <v>0</v>
      </c>
      <c r="N332" s="20">
        <f>Ciberseguridad!L41</f>
        <v>0</v>
      </c>
      <c r="O332" s="20">
        <f>Ciberseguridad!M41</f>
        <v>0</v>
      </c>
      <c r="P332" s="20">
        <v>2025</v>
      </c>
    </row>
    <row r="333" spans="1:16" ht="14.25" customHeight="1">
      <c r="A333" s="20" t="s">
        <v>486</v>
      </c>
      <c r="B333" s="20" t="str">
        <f t="shared" si="27"/>
        <v>ESTRATEGIA 2</v>
      </c>
      <c r="C333" s="20" t="str">
        <f>Ciberseguridad!E42</f>
        <v>OBJETIVO OPERATIVO 3</v>
      </c>
      <c r="D333" s="20" t="b">
        <f>Ciberseguridad!B43</f>
        <v>1</v>
      </c>
      <c r="E333" s="20" t="str">
        <f>Ciberseguridad!C43</f>
        <v>Alta</v>
      </c>
      <c r="F333" s="21" t="str">
        <f>Ciberseguridad!D43</f>
        <v>2025-I(Inicio de ciclo)</v>
      </c>
      <c r="G333" s="20" t="str">
        <f>Ciberseguridad!E43</f>
        <v>Revisión de requisitos de la opción de titulación de los estudiantes.</v>
      </c>
      <c r="H333" s="20" t="str">
        <f>Ciberseguridad!F43</f>
        <v>Director de carrera / Coordinador de carreras</v>
      </c>
      <c r="I333" s="20" t="str">
        <f>Ciberseguridad!G43</f>
        <v>Realizar el análisis de la opción de titulación para los estudiantes</v>
      </c>
      <c r="J333" s="20" t="str">
        <f>Ciberseguridad!H43</f>
        <v>Recopilar los documentos de los estudiantes de titulación.</v>
      </c>
      <c r="K333" s="62">
        <f>Ciberseguridad!I43</f>
        <v>1</v>
      </c>
      <c r="L333" s="160">
        <f>Ciberseguridad!J43</f>
        <v>0</v>
      </c>
      <c r="M333" s="20">
        <f>Ciberseguridad!K43</f>
        <v>0</v>
      </c>
      <c r="N333" s="20">
        <f>Ciberseguridad!L43</f>
        <v>0</v>
      </c>
      <c r="O333" s="20">
        <f>Ciberseguridad!M43</f>
        <v>0</v>
      </c>
      <c r="P333" s="20">
        <v>2025</v>
      </c>
    </row>
    <row r="334" spans="1:16" ht="14.25" customHeight="1">
      <c r="A334" s="20" t="s">
        <v>486</v>
      </c>
      <c r="B334" s="20" t="str">
        <f t="shared" si="27"/>
        <v>ESTRATEGIA 2</v>
      </c>
      <c r="C334" s="20" t="str">
        <f>$C$333</f>
        <v>OBJETIVO OPERATIVO 3</v>
      </c>
      <c r="D334" s="20" t="b">
        <f>Ciberseguridad!B44</f>
        <v>1</v>
      </c>
      <c r="E334" s="20" t="str">
        <f>Ciberseguridad!C44</f>
        <v>Alta</v>
      </c>
      <c r="F334" s="21" t="str">
        <f>Ciberseguridad!D44</f>
        <v>2025-I(Inicio de ciclo)</v>
      </c>
      <c r="G334" s="20" t="str">
        <f>Ciberseguridad!E44</f>
        <v>Coordinación para aprobación de documentación de la integración curricular.</v>
      </c>
      <c r="H334" s="20" t="str">
        <f>Ciberseguridad!F44</f>
        <v>Director de carrera / Coordinador de carreras</v>
      </c>
      <c r="I334" s="20" t="str">
        <f>Ciberseguridad!G44</f>
        <v>Revisar y coordinar la aprobación de documentos para el ingreso a la unidad de integración curricular</v>
      </c>
      <c r="J334" s="20" t="str">
        <f>Ciberseguridad!H44</f>
        <v>Aprobación de la documentación a titulación.</v>
      </c>
      <c r="K334" s="62">
        <f>Ciberseguridad!I44</f>
        <v>1</v>
      </c>
      <c r="L334" s="160">
        <f>Ciberseguridad!J44</f>
        <v>0</v>
      </c>
      <c r="M334" s="20">
        <f>Ciberseguridad!K44</f>
        <v>0</v>
      </c>
      <c r="N334" s="20">
        <f>Ciberseguridad!L44</f>
        <v>0</v>
      </c>
      <c r="O334" s="20">
        <f>Ciberseguridad!M44</f>
        <v>0</v>
      </c>
      <c r="P334" s="20">
        <v>2025</v>
      </c>
    </row>
    <row r="335" spans="1:16" ht="14.25" customHeight="1">
      <c r="A335" s="20" t="s">
        <v>486</v>
      </c>
      <c r="B335" s="20" t="str">
        <f t="shared" si="27"/>
        <v>ESTRATEGIA 2</v>
      </c>
      <c r="C335" s="20" t="str">
        <f>$C$333</f>
        <v>OBJETIVO OPERATIVO 3</v>
      </c>
      <c r="D335" s="20" t="b">
        <f>Ciberseguridad!B45</f>
        <v>1</v>
      </c>
      <c r="E335" s="20" t="str">
        <f>Ciberseguridad!C45</f>
        <v>Alta</v>
      </c>
      <c r="F335" s="21" t="str">
        <f>Ciberseguridad!D45</f>
        <v>2025-I(Fin de ciclo)</v>
      </c>
      <c r="G335" s="20" t="str">
        <f>Ciberseguridad!E45</f>
        <v>Coordinación del evento de incorporación.</v>
      </c>
      <c r="H335" s="20" t="str">
        <f>Ciberseguridad!F45</f>
        <v>Director de carrera / Coordinador de carreras</v>
      </c>
      <c r="I335" s="20" t="str">
        <f>Ciberseguridad!G45</f>
        <v>Realizar la lista de estudiantes a titularse</v>
      </c>
      <c r="J335" s="20" t="str">
        <f>Ciberseguridad!H45</f>
        <v>Matriz de datos de estudiantes a titularse</v>
      </c>
      <c r="K335" s="62">
        <f>Ciberseguridad!I45</f>
        <v>1</v>
      </c>
      <c r="L335" s="160">
        <f>Ciberseguridad!J45</f>
        <v>0</v>
      </c>
      <c r="M335" s="20">
        <f>Ciberseguridad!K45</f>
        <v>0</v>
      </c>
      <c r="N335" s="20">
        <f>Ciberseguridad!L45</f>
        <v>0</v>
      </c>
      <c r="O335" s="20">
        <f>Ciberseguridad!M45</f>
        <v>0</v>
      </c>
      <c r="P335" s="20">
        <v>2025</v>
      </c>
    </row>
    <row r="336" spans="1:16" ht="14.25" customHeight="1">
      <c r="A336" s="20" t="s">
        <v>486</v>
      </c>
      <c r="B336" s="20" t="str">
        <f>Ciberseguridad!B46</f>
        <v>ESTRATEGIA 3</v>
      </c>
      <c r="C336" s="20" t="str">
        <f>Ciberseguridad!E46</f>
        <v>OBJETIVO OPERATIVO 1</v>
      </c>
      <c r="D336" s="20" t="b">
        <f>Ciberseguridad!B47</f>
        <v>0</v>
      </c>
      <c r="E336" s="20" t="str">
        <f>Ciberseguridad!C47</f>
        <v>Media</v>
      </c>
      <c r="F336" s="21" t="str">
        <f>Ciberseguridad!D47</f>
        <v>2025-I(Todo el ciclo)
2025-II(Todo de ciclo)</v>
      </c>
      <c r="G336" s="20" t="str">
        <f>Ciberseguridad!E47</f>
        <v>Colaborar con la comisión de Vinculación en la construcción de los documentos necesarios para la firma de convenios.</v>
      </c>
      <c r="H336" s="20" t="str">
        <f>Ciberseguridad!F47</f>
        <v>Director/a carrera -responsable de practicas y vinculación</v>
      </c>
      <c r="I336" s="20" t="str">
        <f>Ciberseguridad!G47</f>
        <v>Brindar apoyo y realizar ITV de vinculación de la carrera</v>
      </c>
      <c r="J336" s="20" t="str">
        <f>Ciberseguridad!H47</f>
        <v>ITV  y los convenios.</v>
      </c>
      <c r="K336" s="62">
        <f>Ciberseguridad!I47</f>
        <v>1</v>
      </c>
      <c r="L336" s="160">
        <f>Ciberseguridad!J47</f>
        <v>0</v>
      </c>
      <c r="M336" s="20">
        <f>Ciberseguridad!K47</f>
        <v>0</v>
      </c>
      <c r="N336" s="20">
        <f>Ciberseguridad!L47</f>
        <v>0</v>
      </c>
      <c r="O336" s="20">
        <f>Ciberseguridad!M47</f>
        <v>0</v>
      </c>
      <c r="P336" s="20">
        <v>2025</v>
      </c>
    </row>
    <row r="337" spans="1:16" ht="14.25" customHeight="1">
      <c r="A337" s="20" t="s">
        <v>486</v>
      </c>
      <c r="B337" s="20" t="str">
        <f>$B$336</f>
        <v>ESTRATEGIA 3</v>
      </c>
      <c r="C337" s="20" t="str">
        <f>$C$336</f>
        <v>OBJETIVO OPERATIVO 1</v>
      </c>
      <c r="D337" s="20" t="b">
        <f>Ciberseguridad!B48</f>
        <v>0</v>
      </c>
      <c r="E337" s="20" t="str">
        <f>Ciberseguridad!C48</f>
        <v>Baja</v>
      </c>
      <c r="F337" s="21" t="str">
        <f>Ciberseguridad!D48</f>
        <v>2024-II( fin ciclo)
2025-I( fin ciclo)</v>
      </c>
      <c r="G337" s="20" t="str">
        <f>Ciberseguridad!E48</f>
        <v>Divulgación de los resultados de los proyectos de vinculación, asistiendo a las ferias convocados por diferentes organizaciones.</v>
      </c>
      <c r="H337" s="20" t="str">
        <f>Ciberseguridad!F48</f>
        <v>Director/a carrera -responsable de practicas y vinculación</v>
      </c>
      <c r="I337" s="20" t="str">
        <f>Ciberseguridad!G48</f>
        <v>Realizar la divulgación de los resultados de los proyectos de vinculación</v>
      </c>
      <c r="J337" s="20" t="str">
        <f>Ciberseguridad!H48</f>
        <v>Informe de la divulgación.</v>
      </c>
      <c r="K337" s="62">
        <f>Ciberseguridad!I48</f>
        <v>1</v>
      </c>
      <c r="L337" s="160">
        <f>Ciberseguridad!J48</f>
        <v>0</v>
      </c>
      <c r="M337" s="20">
        <f>Ciberseguridad!K48</f>
        <v>0</v>
      </c>
      <c r="N337" s="20">
        <f>Ciberseguridad!L48</f>
        <v>0</v>
      </c>
      <c r="O337" s="20">
        <f>Ciberseguridad!M48</f>
        <v>0</v>
      </c>
      <c r="P337" s="20">
        <v>2025</v>
      </c>
    </row>
    <row r="338" spans="1:16" ht="14.25" customHeight="1">
      <c r="A338" s="20" t="s">
        <v>486</v>
      </c>
      <c r="B338" s="20" t="str">
        <f>$B$336</f>
        <v>ESTRATEGIA 3</v>
      </c>
      <c r="C338" s="20" t="str">
        <f>$C$336</f>
        <v>OBJETIVO OPERATIVO 1</v>
      </c>
      <c r="D338" s="20" t="b">
        <f>Ciberseguridad!B49</f>
        <v>0</v>
      </c>
      <c r="E338" s="20" t="str">
        <f>Ciberseguridad!C49</f>
        <v>Baja</v>
      </c>
      <c r="F338" s="21" t="str">
        <f>Ciberseguridad!D49</f>
        <v>2025-I (inicio ciclo)
2025-II(inicio ciclo)</v>
      </c>
      <c r="G338" s="20" t="str">
        <f>Ciberseguridad!E49</f>
        <v>Socializar con los estudiantes el reglamento de vinculación</v>
      </c>
      <c r="H338" s="20" t="str">
        <f>Ciberseguridad!F49</f>
        <v>Director/a carrera -responsable de practicas y vinculación</v>
      </c>
      <c r="I338" s="20" t="str">
        <f>Ciberseguridad!G49</f>
        <v>Realizar la socialización del reglamento de vinculación con los estudiantes</v>
      </c>
      <c r="J338" s="20" t="str">
        <f>Ciberseguridad!H49</f>
        <v>Informe de socialización del reglamento.</v>
      </c>
      <c r="K338" s="62">
        <f>Ciberseguridad!I49</f>
        <v>1</v>
      </c>
      <c r="L338" s="160">
        <f>Ciberseguridad!J49</f>
        <v>0</v>
      </c>
      <c r="M338" s="20">
        <f>Ciberseguridad!K49</f>
        <v>0</v>
      </c>
      <c r="N338" s="20">
        <f>Ciberseguridad!L49</f>
        <v>0</v>
      </c>
      <c r="O338" s="20">
        <f>Ciberseguridad!M49</f>
        <v>0</v>
      </c>
      <c r="P338" s="20">
        <v>2025</v>
      </c>
    </row>
    <row r="339" spans="1:16" ht="14.25" customHeight="1">
      <c r="A339" s="20" t="s">
        <v>486</v>
      </c>
      <c r="B339" s="20" t="str">
        <f>$B$336</f>
        <v>ESTRATEGIA 3</v>
      </c>
      <c r="C339" s="20" t="str">
        <f>Ciberseguridad!E50</f>
        <v>OBJETIVO OPERATIVO 2</v>
      </c>
      <c r="D339" s="20" t="b">
        <f>Ciberseguridad!B51</f>
        <v>1</v>
      </c>
      <c r="E339" s="20" t="str">
        <f>Ciberseguridad!C51</f>
        <v>Alta</v>
      </c>
      <c r="F339" s="21" t="str">
        <f>Ciberseguridad!D51</f>
        <v>2025-I (inicio ciclo)
2025-II(inicio ciclo)</v>
      </c>
      <c r="G339" s="20" t="str">
        <f>Ciberseguridad!E51</f>
        <v>Conocer las líneas de investigación de la carrera</v>
      </c>
      <c r="H339" s="20" t="str">
        <f>Ciberseguridad!F51</f>
        <v>Director de carrera</v>
      </c>
      <c r="I339" s="20" t="str">
        <f>Ciberseguridad!G51</f>
        <v>Analizar y realizar las líneas de investigación de la carrera</v>
      </c>
      <c r="J339" s="20" t="str">
        <f>Ciberseguridad!H51</f>
        <v>Informe de socialización de las líneas de investigación de la carrera</v>
      </c>
      <c r="K339" s="62">
        <f>Ciberseguridad!I51</f>
        <v>1</v>
      </c>
      <c r="L339" s="160">
        <f>Ciberseguridad!J51</f>
        <v>0</v>
      </c>
      <c r="M339" s="20">
        <f>Ciberseguridad!K51</f>
        <v>0</v>
      </c>
      <c r="N339" s="20">
        <f>Ciberseguridad!L51</f>
        <v>0</v>
      </c>
      <c r="O339" s="20">
        <f>Ciberseguridad!M51</f>
        <v>0</v>
      </c>
      <c r="P339" s="20">
        <v>2025</v>
      </c>
    </row>
    <row r="340" spans="1:16" ht="14.25" customHeight="1">
      <c r="A340" s="20" t="s">
        <v>486</v>
      </c>
      <c r="B340" s="20" t="str">
        <f>$B$336</f>
        <v>ESTRATEGIA 3</v>
      </c>
      <c r="C340" s="20" t="str">
        <f>$C$339</f>
        <v>OBJETIVO OPERATIVO 2</v>
      </c>
      <c r="D340" s="20" t="b">
        <f>Ciberseguridad!B52</f>
        <v>1</v>
      </c>
      <c r="E340" s="20" t="str">
        <f>Ciberseguridad!C52</f>
        <v>Alta</v>
      </c>
      <c r="F340" s="21" t="str">
        <f>Ciberseguridad!D52</f>
        <v>2025-I(Todo el ciclo)
2025-II(Todo de ciclo)</v>
      </c>
      <c r="G340" s="20" t="str">
        <f>Ciberseguridad!E52</f>
        <v>Desarrollar investigación científica y tecnológica que contribuya con la construcción de soluciones para los problemas del país, en relación con los objetivos del régimen de desarrollo.</v>
      </c>
      <c r="H340" s="20" t="str">
        <f>Ciberseguridad!F52</f>
        <v>Director de Carrera
Docentes de la carrera
Comisión de Investigación</v>
      </c>
      <c r="I340" s="20" t="str">
        <f>Ciberseguridad!G52</f>
        <v>Incentivar y desarrollar la investigación de los docentes de la carrera en base a las líneas de la carrera</v>
      </c>
      <c r="J340" s="20" t="str">
        <f>Ciberseguridad!H52</f>
        <v>Artículos publicados por los docentes de la carrera</v>
      </c>
      <c r="K340" s="62">
        <f>Ciberseguridad!I52</f>
        <v>1</v>
      </c>
      <c r="L340" s="160">
        <f>Ciberseguridad!J52</f>
        <v>0</v>
      </c>
      <c r="M340" s="20">
        <f>Ciberseguridad!K52</f>
        <v>0</v>
      </c>
      <c r="N340" s="20">
        <f>Ciberseguridad!L52</f>
        <v>0</v>
      </c>
      <c r="O340" s="20">
        <f>Ciberseguridad!M52</f>
        <v>0</v>
      </c>
      <c r="P340" s="20">
        <v>2025</v>
      </c>
    </row>
    <row r="341" spans="1:16" ht="14.25" customHeight="1">
      <c r="A341" s="20" t="s">
        <v>486</v>
      </c>
      <c r="B341" s="20" t="str">
        <f>$B$336</f>
        <v>ESTRATEGIA 3</v>
      </c>
      <c r="C341" s="20" t="str">
        <f>Ciberseguridad!E53</f>
        <v>OBJETIVO OPERATIVO 3</v>
      </c>
      <c r="D341" s="20" t="b">
        <f>Ciberseguridad!B54</f>
        <v>1</v>
      </c>
      <c r="E341" s="20" t="str">
        <f>Ciberseguridad!C54</f>
        <v>Baja</v>
      </c>
      <c r="F341" s="21" t="str">
        <f>Ciberseguridad!D54</f>
        <v>2025-I(Todo el ciclo)
2025-II(Todo de ciclo)</v>
      </c>
      <c r="G341" s="20" t="str">
        <f>Ciberseguridad!E54</f>
        <v>Ejecutar la formación en valores y desarrollo de habilidades blandas.</v>
      </c>
      <c r="H341" s="20" t="str">
        <f>Ciberseguridad!F54</f>
        <v>Director de carrera
Gestor académico
Bienestar institucional</v>
      </c>
      <c r="I341" s="20" t="str">
        <f>Ciberseguridad!G54</f>
        <v>Realizar un curso de habilidades blandas que se desarrollara para todo el instituto</v>
      </c>
      <c r="J341" s="20" t="str">
        <f>Ciberseguridad!H54</f>
        <v>Informe de formación en valores y desarrollo de habilidades blandas</v>
      </c>
      <c r="K341" s="62">
        <f>Ciberseguridad!I54</f>
        <v>1</v>
      </c>
      <c r="L341" s="160">
        <f>Ciberseguridad!J54</f>
        <v>0</v>
      </c>
      <c r="M341" s="20">
        <f>Ciberseguridad!K54</f>
        <v>0</v>
      </c>
      <c r="N341" s="20">
        <f>Ciberseguridad!L54</f>
        <v>0</v>
      </c>
      <c r="O341" s="20">
        <f>Ciberseguridad!M54</f>
        <v>0</v>
      </c>
      <c r="P341" s="20">
        <v>2025</v>
      </c>
    </row>
    <row r="342" spans="1:16" ht="14.25" customHeight="1">
      <c r="A342" s="20" t="s">
        <v>486</v>
      </c>
      <c r="B342" s="20" t="str">
        <f>Ciberseguridad!B55</f>
        <v>ESTRATEGIA 4</v>
      </c>
      <c r="C342" s="20" t="str">
        <f>Ciberseguridad!E55</f>
        <v>OBJETIVO OPERATIVO 1</v>
      </c>
      <c r="D342" s="20" t="b">
        <f>Ciberseguridad!B56</f>
        <v>0</v>
      </c>
      <c r="E342" s="20" t="str">
        <f>Ciberseguridad!C56</f>
        <v>Baja</v>
      </c>
      <c r="F342" s="21" t="str">
        <f>Ciberseguridad!D56</f>
        <v>2025-I (fin ciclo)
2025-II(fin ciclo)</v>
      </c>
      <c r="G342" s="20" t="str">
        <f>Ciberseguridad!E56</f>
        <v>Elaboración de matrices de la oferta académica institucional.</v>
      </c>
      <c r="H342" s="20" t="str">
        <f>Ciberseguridad!F56</f>
        <v>Director de Carrera
Gestor Académico</v>
      </c>
      <c r="I342" s="20" t="str">
        <f>Ciberseguridad!G56</f>
        <v>Generación de matrices de oferta académica para la captación de más estudiantes</v>
      </c>
      <c r="J342" s="20" t="str">
        <f>Ciberseguridad!H56</f>
        <v>Matrices de la oferta académica.</v>
      </c>
      <c r="K342" s="62">
        <f>Ciberseguridad!I56</f>
        <v>1</v>
      </c>
      <c r="L342" s="160">
        <f>Ciberseguridad!J56</f>
        <v>0</v>
      </c>
      <c r="M342" s="20">
        <f>Ciberseguridad!K56</f>
        <v>0</v>
      </c>
      <c r="N342" s="20">
        <f>Ciberseguridad!L56</f>
        <v>0</v>
      </c>
      <c r="O342" s="20">
        <f>Ciberseguridad!M56</f>
        <v>0</v>
      </c>
      <c r="P342" s="20">
        <v>2025</v>
      </c>
    </row>
    <row r="343" spans="1:16" ht="14.25" customHeight="1">
      <c r="A343" s="20" t="s">
        <v>486</v>
      </c>
      <c r="B343" s="20" t="str">
        <f>$B$342</f>
        <v>ESTRATEGIA 4</v>
      </c>
      <c r="C343" s="20" t="str">
        <f>$C$342</f>
        <v>OBJETIVO OPERATIVO 1</v>
      </c>
      <c r="D343" s="20" t="b">
        <f>Ciberseguridad!B57</f>
        <v>0</v>
      </c>
      <c r="E343" s="20" t="str">
        <f>Ciberseguridad!C57</f>
        <v>Baja</v>
      </c>
      <c r="F343" s="21" t="str">
        <f>Ciberseguridad!D57</f>
        <v xml:space="preserve">
2025-II(fin ciclo)</v>
      </c>
      <c r="G343" s="20" t="str">
        <f>Ciberseguridad!E57</f>
        <v>Planificación de demanda estudiantil.</v>
      </c>
      <c r="H343" s="20" t="str">
        <f>Ciberseguridad!F57</f>
        <v>Director de Carrera
Gestor Académico</v>
      </c>
      <c r="I343" s="20" t="str">
        <f>Ciberseguridad!G57</f>
        <v>Planificar la demanda institucional en base a históricos de periodos anteriores</v>
      </c>
      <c r="J343" s="20" t="str">
        <f>Ciberseguridad!H57</f>
        <v>Listado certificado  de matriculados de la carrera</v>
      </c>
      <c r="K343" s="62">
        <f>Ciberseguridad!I57</f>
        <v>1</v>
      </c>
      <c r="L343" s="160">
        <f>Ciberseguridad!J57</f>
        <v>0</v>
      </c>
      <c r="M343" s="20">
        <f>Ciberseguridad!K57</f>
        <v>0</v>
      </c>
      <c r="N343" s="20">
        <f>Ciberseguridad!L57</f>
        <v>0</v>
      </c>
      <c r="O343" s="20">
        <f>Ciberseguridad!M57</f>
        <v>0</v>
      </c>
      <c r="P343" s="20">
        <v>2025</v>
      </c>
    </row>
    <row r="344" spans="1:16" ht="14.25" customHeight="1">
      <c r="A344" s="20" t="s">
        <v>486</v>
      </c>
      <c r="B344" s="20" t="str">
        <f>$B$342</f>
        <v>ESTRATEGIA 4</v>
      </c>
      <c r="C344" s="20" t="str">
        <f>$C$342</f>
        <v>OBJETIVO OPERATIVO 1</v>
      </c>
      <c r="D344" s="20" t="b">
        <f>Ciberseguridad!B58</f>
        <v>0</v>
      </c>
      <c r="E344" s="20" t="str">
        <f>Ciberseguridad!C58</f>
        <v>Media</v>
      </c>
      <c r="F344" s="21" t="str">
        <f>Ciberseguridad!D58</f>
        <v>2025-II(fin ciclo)</v>
      </c>
      <c r="G344" s="20" t="str">
        <f>Ciberseguridad!E58</f>
        <v>Análisis de capacidad operativa de la institución.</v>
      </c>
      <c r="H344" s="20" t="str">
        <f>Ciberseguridad!F58</f>
        <v>Director de Carrera
Gestor Académico</v>
      </c>
      <c r="I344" s="20" t="str">
        <f>Ciberseguridad!G58</f>
        <v>Análisis de requerimientos sustantivo y no sustantivo de la carrera</v>
      </c>
      <c r="J344" s="20" t="str">
        <f>Ciberseguridad!H58</f>
        <v>Resolución de aprobación por OCS de Estandarización de Carrera</v>
      </c>
      <c r="K344" s="62">
        <f>Ciberseguridad!I58</f>
        <v>1</v>
      </c>
      <c r="L344" s="160">
        <f>Ciberseguridad!J58</f>
        <v>0</v>
      </c>
      <c r="M344" s="20">
        <f>Ciberseguridad!K58</f>
        <v>0</v>
      </c>
      <c r="N344" s="20">
        <f>Ciberseguridad!L58</f>
        <v>0</v>
      </c>
      <c r="O344" s="20" t="str">
        <f>Ciberseguridad!M58</f>
        <v>La carrera fue estandarizada en el 2025</v>
      </c>
      <c r="P344" s="20">
        <v>2025</v>
      </c>
    </row>
    <row r="345" spans="1:16" ht="14.25" customHeight="1">
      <c r="A345" s="20" t="s">
        <v>487</v>
      </c>
      <c r="B345" s="20" t="str">
        <f>'Desarrollo infantil'!B10</f>
        <v>ESTRATEGIA 1</v>
      </c>
      <c r="C345" s="20" t="str">
        <f>'Desarrollo infantil'!E10</f>
        <v>OBJETIVO OPERATIVO 1</v>
      </c>
      <c r="D345" s="20" t="b">
        <f>'Desarrollo infantil'!B11</f>
        <v>0</v>
      </c>
      <c r="E345" s="20" t="str">
        <f>'Desarrollo infantil'!C11</f>
        <v>Media</v>
      </c>
      <c r="F345" s="20" t="str">
        <f>'Desarrollo infantil'!D11</f>
        <v>2025-I ( Inicio ciclo)</v>
      </c>
      <c r="G345" s="20" t="str">
        <f>'Desarrollo infantil'!E11</f>
        <v>Planificar y estructurar las capacitaciones en el área técnica y didáctica.</v>
      </c>
      <c r="H345" s="20" t="str">
        <f>'Desarrollo infantil'!F11</f>
        <v>Director/a carrera
Docentes</v>
      </c>
      <c r="I345" s="20" t="str">
        <f>'Desarrollo infantil'!G11</f>
        <v>Desarrollo del plan de capacitación docente</v>
      </c>
      <c r="J345" s="20" t="str">
        <f>'Desarrollo infantil'!H11</f>
        <v>Plan de capacitación docente.</v>
      </c>
      <c r="K345" s="62">
        <f>'Desarrollo infantil'!I11</f>
        <v>1</v>
      </c>
      <c r="L345" s="160">
        <f>'Desarrollo infantil'!J11</f>
        <v>0</v>
      </c>
      <c r="M345" s="20">
        <f>'Desarrollo infantil'!K11</f>
        <v>0</v>
      </c>
      <c r="N345" s="20">
        <f>'Desarrollo infantil'!L11</f>
        <v>0</v>
      </c>
      <c r="O345" s="20">
        <f>'Desarrollo infantil'!M11</f>
        <v>0</v>
      </c>
      <c r="P345" s="20">
        <v>2025</v>
      </c>
    </row>
    <row r="346" spans="1:16" ht="14.25" customHeight="1">
      <c r="A346" s="20" t="s">
        <v>487</v>
      </c>
      <c r="B346" s="20" t="str">
        <f t="shared" ref="B346:B355" si="29">$B$345</f>
        <v>ESTRATEGIA 1</v>
      </c>
      <c r="C346" s="20" t="str">
        <f>$C$345</f>
        <v>OBJETIVO OPERATIVO 1</v>
      </c>
      <c r="D346" s="20" t="b">
        <f>'Desarrollo infantil'!B12</f>
        <v>0</v>
      </c>
      <c r="E346" s="20" t="str">
        <f>'Desarrollo infantil'!C12</f>
        <v>Baja</v>
      </c>
      <c r="F346" s="20" t="str">
        <f>'Desarrollo infantil'!D12</f>
        <v>2025-II ( fin ciclo)</v>
      </c>
      <c r="G346" s="20" t="str">
        <f>'Desarrollo infantil'!E12</f>
        <v>Ejecutar las capacitaciones planificadas.</v>
      </c>
      <c r="H346" s="20" t="str">
        <f>'Desarrollo infantil'!F12</f>
        <v>Director/a carrera
Docentes</v>
      </c>
      <c r="I346" s="20" t="str">
        <f>'Desarrollo infantil'!G12</f>
        <v>informar sobre el plan de capacitación docente</v>
      </c>
      <c r="J346" s="20" t="str">
        <f>'Desarrollo infantil'!H12</f>
        <v>Informe de ejecución del plan de capacitación docente.</v>
      </c>
      <c r="K346" s="62">
        <f>'Desarrollo infantil'!I12</f>
        <v>0.5</v>
      </c>
      <c r="L346" s="160">
        <f>'Desarrollo infantil'!J12</f>
        <v>0</v>
      </c>
      <c r="M346" s="20">
        <f>'Desarrollo infantil'!K12</f>
        <v>0</v>
      </c>
      <c r="N346" s="20">
        <f>'Desarrollo infantil'!L12</f>
        <v>0</v>
      </c>
      <c r="O346" s="20">
        <f>'Desarrollo infantil'!M12</f>
        <v>0</v>
      </c>
      <c r="P346" s="20">
        <v>2025</v>
      </c>
    </row>
    <row r="347" spans="1:16" ht="14.25" customHeight="1">
      <c r="A347" s="20" t="s">
        <v>487</v>
      </c>
      <c r="B347" s="20" t="str">
        <f t="shared" si="29"/>
        <v>ESTRATEGIA 1</v>
      </c>
      <c r="C347" s="20" t="str">
        <f>$C$345</f>
        <v>OBJETIVO OPERATIVO 1</v>
      </c>
      <c r="D347" s="20" t="b">
        <f>'Desarrollo infantil'!B13</f>
        <v>0</v>
      </c>
      <c r="E347" s="20" t="str">
        <f>'Desarrollo infantil'!C13</f>
        <v>Media</v>
      </c>
      <c r="F347" s="20" t="str">
        <f>'Desarrollo infantil'!D13</f>
        <v>2024-II( fin ciclo)
2025-I( fin ciclo)</v>
      </c>
      <c r="G347" s="20" t="str">
        <f>'Desarrollo infantil'!E13</f>
        <v>Entregar los resultados de los procesos de Evaluación al desempeño Docente y acciones realizadas.</v>
      </c>
      <c r="H347" s="20" t="str">
        <f>'Desarrollo infantil'!F13</f>
        <v>Director/a carrera
Docentes</v>
      </c>
      <c r="I347" s="20" t="str">
        <f>'Desarrollo infantil'!G13</f>
        <v>Generar una matriz para el registro de entrega de evaluaciones docentes</v>
      </c>
      <c r="J347" s="20" t="str">
        <f>'Desarrollo infantil'!H13</f>
        <v>Registro de entrega de evaluaciones a los docentes</v>
      </c>
      <c r="K347" s="62">
        <f>'Desarrollo infantil'!I13</f>
        <v>0.5</v>
      </c>
      <c r="L347" s="160">
        <f>'Desarrollo infantil'!J13</f>
        <v>0</v>
      </c>
      <c r="M347" s="20">
        <f>'Desarrollo infantil'!K13</f>
        <v>0</v>
      </c>
      <c r="N347" s="20">
        <f>'Desarrollo infantil'!L13</f>
        <v>0</v>
      </c>
      <c r="O347" s="20">
        <f>'Desarrollo infantil'!M13</f>
        <v>0</v>
      </c>
      <c r="P347" s="20">
        <v>2025</v>
      </c>
    </row>
    <row r="348" spans="1:16" ht="14.25" customHeight="1">
      <c r="A348" s="20" t="s">
        <v>487</v>
      </c>
      <c r="B348" s="20" t="str">
        <f t="shared" si="29"/>
        <v>ESTRATEGIA 1</v>
      </c>
      <c r="C348" s="20" t="str">
        <f>'Desarrollo infantil'!E14</f>
        <v>OBJETIVO OPERATIVO 2</v>
      </c>
      <c r="D348" s="20" t="b">
        <f>'Desarrollo infantil'!B15</f>
        <v>0</v>
      </c>
      <c r="E348" s="20" t="str">
        <f>'Desarrollo infantil'!C15</f>
        <v>Baja</v>
      </c>
      <c r="F348" s="20" t="str">
        <f>'Desarrollo infantil'!D15</f>
        <v>2024-II (inicio ciclo)
2025-I(inicio ciclo)</v>
      </c>
      <c r="G348" s="20" t="str">
        <f>'Desarrollo infantil'!E15</f>
        <v>Socializar con los docentes el uso adecuado de la plataforma Moodle.</v>
      </c>
      <c r="H348" s="20" t="str">
        <f>'Desarrollo infantil'!F15</f>
        <v>Responsable de Moodle de la carrera</v>
      </c>
      <c r="I348" s="20" t="str">
        <f>'Desarrollo infantil'!G15</f>
        <v>Realizar la socialización y generar un informe sobre el uso del Moodle</v>
      </c>
      <c r="J348" s="20" t="str">
        <f>'Desarrollo infantil'!H15</f>
        <v>Informe de socialización / inducción a los docentes</v>
      </c>
      <c r="K348" s="62">
        <f>'Desarrollo infantil'!I15</f>
        <v>0.5</v>
      </c>
      <c r="L348" s="160">
        <f>'Desarrollo infantil'!J15</f>
        <v>0</v>
      </c>
      <c r="M348" s="20">
        <f>'Desarrollo infantil'!K15</f>
        <v>0</v>
      </c>
      <c r="N348" s="20">
        <f>'Desarrollo infantil'!L15</f>
        <v>0</v>
      </c>
      <c r="O348" s="20" t="str">
        <f>'Desarrollo infantil'!M15</f>
        <v>Aca de inicio de reunion de inicio</v>
      </c>
      <c r="P348" s="20">
        <v>2025</v>
      </c>
    </row>
    <row r="349" spans="1:16" ht="14.25" customHeight="1">
      <c r="A349" s="20" t="s">
        <v>487</v>
      </c>
      <c r="B349" s="20" t="str">
        <f t="shared" si="29"/>
        <v>ESTRATEGIA 1</v>
      </c>
      <c r="C349" s="20" t="str">
        <f>$C$348</f>
        <v>OBJETIVO OPERATIVO 2</v>
      </c>
      <c r="D349" s="20" t="b">
        <f>'Desarrollo infantil'!B16</f>
        <v>0</v>
      </c>
      <c r="E349" s="20" t="str">
        <f>'Desarrollo infantil'!C16</f>
        <v>Media</v>
      </c>
      <c r="F349" s="20" t="str">
        <f>'Desarrollo infantil'!D16</f>
        <v>2024-II( fin ciclo)
2025-I( fin ciclo)</v>
      </c>
      <c r="G349" s="20" t="str">
        <f>'Desarrollo infantil'!E16</f>
        <v>Revisar el aporte de cada docente en la plataforma Moodle</v>
      </c>
      <c r="H349" s="20" t="str">
        <f>'Desarrollo infantil'!F16</f>
        <v>Responsable de Moodle de la carrera</v>
      </c>
      <c r="I349" s="20" t="str">
        <f>'Desarrollo infantil'!G16</f>
        <v>Controlar el uso adecuado de la plataforma y generar un informe.</v>
      </c>
      <c r="J349" s="20" t="str">
        <f>'Desarrollo infantil'!H16</f>
        <v>Informe de actividades en la plataforma Moodle.</v>
      </c>
      <c r="K349" s="62">
        <f>'Desarrollo infantil'!I16</f>
        <v>0.5</v>
      </c>
      <c r="L349" s="160">
        <f>'Desarrollo infantil'!J16</f>
        <v>0</v>
      </c>
      <c r="M349" s="20">
        <f>'Desarrollo infantil'!K16</f>
        <v>0</v>
      </c>
      <c r="N349" s="20">
        <f>'Desarrollo infantil'!L16</f>
        <v>0</v>
      </c>
      <c r="O349" s="20" t="str">
        <f>'Desarrollo infantil'!M16</f>
        <v>Informe final del 2024 II</v>
      </c>
      <c r="P349" s="20">
        <v>2025</v>
      </c>
    </row>
    <row r="350" spans="1:16" ht="14.25" customHeight="1">
      <c r="A350" s="20" t="s">
        <v>487</v>
      </c>
      <c r="B350" s="20" t="str">
        <f t="shared" si="29"/>
        <v>ESTRATEGIA 1</v>
      </c>
      <c r="C350" s="20" t="str">
        <f>'Desarrollo infantil'!E17</f>
        <v>OBJETIVO OPERATIVO 3</v>
      </c>
      <c r="D350" s="20" t="b">
        <f>'Desarrollo infantil'!B18</f>
        <v>0</v>
      </c>
      <c r="E350" s="20" t="str">
        <f>'Desarrollo infantil'!C18</f>
        <v>Alta</v>
      </c>
      <c r="F350" s="20" t="str">
        <f>'Desarrollo infantil'!D18</f>
        <v>2024-II(inicio ciclo)
2025-I (inicio ciclo)</v>
      </c>
      <c r="G350" s="20" t="str">
        <f>'Desarrollo infantil'!E18</f>
        <v>Planificar y desarrollar una reunión del colectivo académico</v>
      </c>
      <c r="H350" s="20" t="str">
        <f>'Desarrollo infantil'!F18</f>
        <v>Director/a carrera</v>
      </c>
      <c r="I350" s="20" t="str">
        <f>'Desarrollo infantil'!G18</f>
        <v>Realizar y evidenciar los colectivos académicos</v>
      </c>
      <c r="J350" s="20" t="str">
        <f>'Desarrollo infantil'!H18</f>
        <v>Convocatoria al colectivo de académico</v>
      </c>
      <c r="K350" s="62">
        <f>'Desarrollo infantil'!I18</f>
        <v>0.5</v>
      </c>
      <c r="L350" s="160">
        <f>'Desarrollo infantil'!J18</f>
        <v>0</v>
      </c>
      <c r="M350" s="20">
        <f>'Desarrollo infantil'!K18</f>
        <v>0</v>
      </c>
      <c r="N350" s="20">
        <f>'Desarrollo infantil'!L18</f>
        <v>0</v>
      </c>
      <c r="O350" s="20">
        <f>'Desarrollo infantil'!M18</f>
        <v>0</v>
      </c>
      <c r="P350" s="20">
        <v>2025</v>
      </c>
    </row>
    <row r="351" spans="1:16" ht="14.25" customHeight="1">
      <c r="A351" s="20" t="s">
        <v>487</v>
      </c>
      <c r="B351" s="20" t="str">
        <f t="shared" si="29"/>
        <v>ESTRATEGIA 1</v>
      </c>
      <c r="C351" s="20" t="str">
        <f>$C$350</f>
        <v>OBJETIVO OPERATIVO 3</v>
      </c>
      <c r="D351" s="20" t="b">
        <f>'Desarrollo infantil'!B19</f>
        <v>0</v>
      </c>
      <c r="E351" s="20" t="str">
        <f>'Desarrollo infantil'!C19</f>
        <v>Media</v>
      </c>
      <c r="F351" s="20" t="str">
        <f>'Desarrollo infantil'!D19</f>
        <v>2024-II(fin de ciclo)
2025-I(fin de ciclo)</v>
      </c>
      <c r="G351" s="20" t="str">
        <f>'Desarrollo infantil'!E19</f>
        <v>Revisión y actualización de los PEAS</v>
      </c>
      <c r="H351" s="20" t="str">
        <f>'Desarrollo infantil'!F19</f>
        <v>Director/a carrera
Docentes</v>
      </c>
      <c r="I351" s="20" t="str">
        <f>'Desarrollo infantil'!G19</f>
        <v>Revisar si la bibliografía de la carrera es la adecuada en colectivos  según PEAS y Colectivos para el acervo bibliográfico</v>
      </c>
      <c r="J351" s="20" t="str">
        <f>'Desarrollo infantil'!H19</f>
        <v>Acervo bibliográfico de todas las asignaturas de la carrera, Informes de colectivos y PEAS revisados</v>
      </c>
      <c r="K351" s="62">
        <f>'Desarrollo infantil'!I19</f>
        <v>0.5</v>
      </c>
      <c r="L351" s="160">
        <f>'Desarrollo infantil'!J19</f>
        <v>0</v>
      </c>
      <c r="M351" s="20">
        <f>'Desarrollo infantil'!K19</f>
        <v>0</v>
      </c>
      <c r="N351" s="20">
        <f>'Desarrollo infantil'!L19</f>
        <v>0</v>
      </c>
      <c r="O351" s="20" t="str">
        <f>'Desarrollo infantil'!M19</f>
        <v>Sin evidencia</v>
      </c>
      <c r="P351" s="20">
        <v>2025</v>
      </c>
    </row>
    <row r="352" spans="1:16" ht="14.25" customHeight="1">
      <c r="A352" s="20" t="s">
        <v>487</v>
      </c>
      <c r="B352" s="20" t="str">
        <f t="shared" si="29"/>
        <v>ESTRATEGIA 1</v>
      </c>
      <c r="C352" s="20" t="str">
        <f>$C$350</f>
        <v>OBJETIVO OPERATIVO 3</v>
      </c>
      <c r="D352" s="20" t="b">
        <f>'Desarrollo infantil'!B20</f>
        <v>0</v>
      </c>
      <c r="E352" s="20" t="str">
        <f>'Desarrollo infantil'!C20</f>
        <v>Media</v>
      </c>
      <c r="F352" s="20" t="str">
        <f>'Desarrollo infantil'!D20</f>
        <v>2024-II(fin de ciclo)
2025-I(fin de ciclo)</v>
      </c>
      <c r="G352" s="20" t="str">
        <f>'Desarrollo infantil'!E20</f>
        <v>Actas de reunión por colectivo académico</v>
      </c>
      <c r="H352" s="20" t="str">
        <f>'Desarrollo infantil'!F20</f>
        <v>Director/a carrera
Docentes</v>
      </c>
      <c r="I352" s="20" t="str">
        <f>'Desarrollo infantil'!G20</f>
        <v>Evidenciar el trabajo de colectivos</v>
      </c>
      <c r="J352" s="20" t="str">
        <f>'Desarrollo infantil'!H20</f>
        <v>Actas de colectivos</v>
      </c>
      <c r="K352" s="62">
        <f>'Desarrollo infantil'!I20</f>
        <v>0.5</v>
      </c>
      <c r="L352" s="160">
        <f>'Desarrollo infantil'!J20</f>
        <v>0</v>
      </c>
      <c r="M352" s="20">
        <f>'Desarrollo infantil'!K20</f>
        <v>0</v>
      </c>
      <c r="N352" s="20">
        <f>'Desarrollo infantil'!L20</f>
        <v>0</v>
      </c>
      <c r="O352" s="20">
        <f>'Desarrollo infantil'!M20</f>
        <v>0</v>
      </c>
      <c r="P352" s="20">
        <v>2025</v>
      </c>
    </row>
    <row r="353" spans="1:16" ht="14.25" customHeight="1">
      <c r="A353" s="20" t="s">
        <v>487</v>
      </c>
      <c r="B353" s="20" t="str">
        <f t="shared" si="29"/>
        <v>ESTRATEGIA 1</v>
      </c>
      <c r="C353" s="20" t="str">
        <f>'Desarrollo infantil'!E21</f>
        <v>OBJETIVO OPERATIVO 4</v>
      </c>
      <c r="D353" s="20" t="b">
        <f>'Desarrollo infantil'!B22</f>
        <v>0</v>
      </c>
      <c r="E353" s="20" t="str">
        <f>'Desarrollo infantil'!C22</f>
        <v>Baja</v>
      </c>
      <c r="F353" s="20" t="str">
        <f>'Desarrollo infantil'!D22</f>
        <v>2024-II(inicio ciclo)
2025-I (inicio ciclo)</v>
      </c>
      <c r="G353" s="20" t="str">
        <f>'Desarrollo infantil'!E22</f>
        <v>Recopilar las fichas de afinidad de los docentes de acuerdo al nivel de estudio.</v>
      </c>
      <c r="H353" s="20" t="str">
        <f>'Desarrollo infantil'!F22</f>
        <v>Director/a carrera</v>
      </c>
      <c r="I353" s="20" t="str">
        <f>'Desarrollo infantil'!G22</f>
        <v>Mantener actualizadas las fichas de afinidad de los docentes de acuerdo a la pertinencia en la carrera</v>
      </c>
      <c r="J353" s="20" t="str">
        <f>'Desarrollo infantil'!H22</f>
        <v>Fichas de afinidad de los docentes.</v>
      </c>
      <c r="K353" s="62">
        <f>'Desarrollo infantil'!I22</f>
        <v>0.5</v>
      </c>
      <c r="L353" s="160">
        <f>'Desarrollo infantil'!J22</f>
        <v>0</v>
      </c>
      <c r="M353" s="20">
        <f>'Desarrollo infantil'!K22</f>
        <v>0</v>
      </c>
      <c r="N353" s="20">
        <f>'Desarrollo infantil'!L22</f>
        <v>0</v>
      </c>
      <c r="O353" s="20">
        <f>'Desarrollo infantil'!M22</f>
        <v>0</v>
      </c>
      <c r="P353" s="20">
        <v>2025</v>
      </c>
    </row>
    <row r="354" spans="1:16" ht="14.25" customHeight="1">
      <c r="A354" s="20" t="s">
        <v>487</v>
      </c>
      <c r="B354" s="20" t="str">
        <f t="shared" si="29"/>
        <v>ESTRATEGIA 1</v>
      </c>
      <c r="C354" s="20" t="str">
        <f>$C$353</f>
        <v>OBJETIVO OPERATIVO 4</v>
      </c>
      <c r="D354" s="20">
        <f>'Desarrollo infantil'!B23</f>
        <v>0</v>
      </c>
      <c r="E354" s="20" t="str">
        <f>'Desarrollo infantil'!C23</f>
        <v>Alta</v>
      </c>
      <c r="F354" s="20" t="str">
        <f>'Desarrollo infantil'!D23</f>
        <v>2024-II(inicio de ciclo)
2025-I(inicio de ciclo)</v>
      </c>
      <c r="G354" s="20" t="str">
        <f>'Desarrollo infantil'!E23</f>
        <v>Elaboración del distributivo docente de la carrera</v>
      </c>
      <c r="H354" s="20" t="str">
        <f>'Desarrollo infantil'!F23</f>
        <v>Director/a carrera</v>
      </c>
      <c r="I354" s="20" t="str">
        <f>'Desarrollo infantil'!G23</f>
        <v>Evidenciar la carga horaria y distributivos de los docentes</v>
      </c>
      <c r="J354" s="20" t="str">
        <f>'Desarrollo infantil'!H23</f>
        <v>Distributivo docente aprobado.</v>
      </c>
      <c r="K354" s="62">
        <f>'Desarrollo infantil'!I23</f>
        <v>0.5</v>
      </c>
      <c r="L354" s="160">
        <f>'Desarrollo infantil'!J23</f>
        <v>0</v>
      </c>
      <c r="M354" s="20">
        <f>'Desarrollo infantil'!K23</f>
        <v>0</v>
      </c>
      <c r="N354" s="20">
        <f>'Desarrollo infantil'!L23</f>
        <v>0</v>
      </c>
      <c r="O354" s="20">
        <f>'Desarrollo infantil'!M23</f>
        <v>0</v>
      </c>
      <c r="P354" s="20">
        <v>2025</v>
      </c>
    </row>
    <row r="355" spans="1:16" ht="14.25" customHeight="1">
      <c r="A355" s="20" t="s">
        <v>487</v>
      </c>
      <c r="B355" s="20" t="str">
        <f t="shared" si="29"/>
        <v>ESTRATEGIA 1</v>
      </c>
      <c r="C355" s="20" t="str">
        <f>$C$353</f>
        <v>OBJETIVO OPERATIVO 4</v>
      </c>
      <c r="D355" s="20" t="b">
        <f>'Desarrollo infantil'!B24</f>
        <v>0</v>
      </c>
      <c r="E355" s="20" t="str">
        <f>'Desarrollo infantil'!C24</f>
        <v>Media</v>
      </c>
      <c r="F355" s="20" t="str">
        <f>'Desarrollo infantil'!D24</f>
        <v>2024-II(inicio de ciclo)
2025-I(inicio de ciclo)</v>
      </c>
      <c r="G355" s="20" t="str">
        <f>'Desarrollo infantil'!E24</f>
        <v>Designar responsables de la administración de la plataforma, tutorías , prácticas, vinculación , etc.</v>
      </c>
      <c r="H355" s="20" t="str">
        <f>'Desarrollo infantil'!F24</f>
        <v>Director/a carrera</v>
      </c>
      <c r="I355" s="20" t="str">
        <f>'Desarrollo infantil'!G24</f>
        <v>Realizar las designaciones y evidenciar los responsables y tutores de la carrera</v>
      </c>
      <c r="J355" s="20" t="str">
        <f>'Desarrollo infantil'!H24</f>
        <v>Oficios de designaciones de responsables.</v>
      </c>
      <c r="K355" s="62">
        <f>'Desarrollo infantil'!I24</f>
        <v>0.5</v>
      </c>
      <c r="L355" s="160">
        <f>'Desarrollo infantil'!J24</f>
        <v>0</v>
      </c>
      <c r="M355" s="20">
        <f>'Desarrollo infantil'!K24</f>
        <v>0</v>
      </c>
      <c r="N355" s="20">
        <f>'Desarrollo infantil'!L24</f>
        <v>0</v>
      </c>
      <c r="O355" s="20" t="str">
        <f>'Desarrollo infantil'!M24</f>
        <v>Sin evidencia</v>
      </c>
      <c r="P355" s="20">
        <v>2025</v>
      </c>
    </row>
    <row r="356" spans="1:16" ht="14.25" customHeight="1">
      <c r="A356" s="20" t="s">
        <v>487</v>
      </c>
      <c r="B356" s="20" t="str">
        <f>'Desarrollo infantil'!B25</f>
        <v>ESTRATEGIA 2</v>
      </c>
      <c r="C356" s="20" t="str">
        <f>'Desarrollo infantil'!E25</f>
        <v>OBJETIVO OPERATIVO 1</v>
      </c>
      <c r="D356" s="20" t="b">
        <f>'Desarrollo infantil'!B26</f>
        <v>0</v>
      </c>
      <c r="E356" s="20" t="str">
        <f>'Desarrollo infantil'!C26</f>
        <v>Alta</v>
      </c>
      <c r="F356" s="20" t="str">
        <f>'Desarrollo infantil'!D26</f>
        <v>2024-II(Inicio de ciclo)
2025-I(Inicio de ciclo)</v>
      </c>
      <c r="G356" s="20" t="str">
        <f>'Desarrollo infantil'!E26</f>
        <v>Elaborar y presentar el calendario de actividades de la o las carreras, horarios de clases y laboratorios.</v>
      </c>
      <c r="H356" s="20" t="str">
        <f>'Desarrollo infantil'!F26</f>
        <v>Director/a carrera</v>
      </c>
      <c r="I356" s="20" t="str">
        <f>'Desarrollo infantil'!G26</f>
        <v>Realizar los documentos necesarios para el desarrollo de las actividades de cada periodo de la carrera</v>
      </c>
      <c r="J356" s="20" t="str">
        <f>'Desarrollo infantil'!H26</f>
        <v>Calendario y horarios aprobados</v>
      </c>
      <c r="K356" s="62">
        <f>'Desarrollo infantil'!I26</f>
        <v>0.5</v>
      </c>
      <c r="L356" s="160">
        <f>'Desarrollo infantil'!J26</f>
        <v>0</v>
      </c>
      <c r="M356" s="20">
        <f>'Desarrollo infantil'!K26</f>
        <v>0</v>
      </c>
      <c r="N356" s="20">
        <f>'Desarrollo infantil'!L26</f>
        <v>0</v>
      </c>
      <c r="O356" s="20">
        <f>'Desarrollo infantil'!M26</f>
        <v>0</v>
      </c>
      <c r="P356" s="20">
        <v>2025</v>
      </c>
    </row>
    <row r="357" spans="1:16" ht="14.25" customHeight="1">
      <c r="A357" s="20" t="s">
        <v>487</v>
      </c>
      <c r="B357" s="20" t="str">
        <f t="shared" ref="B357:B367" si="30">$B$356</f>
        <v>ESTRATEGIA 2</v>
      </c>
      <c r="C357" s="20" t="str">
        <f t="shared" ref="C357:C367" si="31">$C$356</f>
        <v>OBJETIVO OPERATIVO 1</v>
      </c>
      <c r="D357" s="20" t="b">
        <f>'Desarrollo infantil'!B27</f>
        <v>0</v>
      </c>
      <c r="E357" s="20" t="str">
        <f>'Desarrollo infantil'!C27</f>
        <v>Media</v>
      </c>
      <c r="F357" s="20" t="str">
        <f>'Desarrollo infantil'!D27</f>
        <v>2024-II(Todo el ciclo)
2025-I(Todo de ciclo)</v>
      </c>
      <c r="G357" s="20" t="str">
        <f>'Desarrollo infantil'!E27</f>
        <v>Requerimiento y aprobación de Documentos académicos. (Sílabos, guías practicas e informes de avance de Silabo)</v>
      </c>
      <c r="H357" s="20" t="str">
        <f>'Desarrollo infantil'!F27</f>
        <v>Director/a carrera - gestor académico</v>
      </c>
      <c r="I357" s="20" t="str">
        <f>'Desarrollo infantil'!G27</f>
        <v>Solicitud de documentos académicos por materias</v>
      </c>
      <c r="J357" s="20" t="str">
        <f>'Desarrollo infantil'!H27</f>
        <v>Documentación aprobada.</v>
      </c>
      <c r="K357" s="62">
        <f>'Desarrollo infantil'!I27</f>
        <v>0.5</v>
      </c>
      <c r="L357" s="160">
        <f>'Desarrollo infantil'!J27</f>
        <v>0</v>
      </c>
      <c r="M357" s="20">
        <f>'Desarrollo infantil'!K27</f>
        <v>0</v>
      </c>
      <c r="N357" s="20">
        <f>'Desarrollo infantil'!L27</f>
        <v>0</v>
      </c>
      <c r="O357" s="20">
        <f>'Desarrollo infantil'!M27</f>
        <v>0</v>
      </c>
      <c r="P357" s="20">
        <v>2025</v>
      </c>
    </row>
    <row r="358" spans="1:16" ht="14.25" customHeight="1">
      <c r="A358" s="20" t="s">
        <v>487</v>
      </c>
      <c r="B358" s="20" t="str">
        <f t="shared" si="30"/>
        <v>ESTRATEGIA 2</v>
      </c>
      <c r="C358" s="20" t="str">
        <f t="shared" si="31"/>
        <v>OBJETIVO OPERATIVO 1</v>
      </c>
      <c r="D358" s="20" t="b">
        <f>'Desarrollo infantil'!B28</f>
        <v>0</v>
      </c>
      <c r="E358" s="20" t="str">
        <f>'Desarrollo infantil'!C28</f>
        <v>Media</v>
      </c>
      <c r="F358" s="20" t="str">
        <f>'Desarrollo infantil'!D28</f>
        <v>2024-II(Todo el ciclo)
2025-I(Todo de ciclo)</v>
      </c>
      <c r="G358" s="20" t="str">
        <f>'Desarrollo infantil'!E28</f>
        <v>Seguimiento al cumplimiento de la documentación académica.</v>
      </c>
      <c r="H358" s="20" t="str">
        <f>'Desarrollo infantil'!F28</f>
        <v>Director/a carrera - gestor académico</v>
      </c>
      <c r="I358" s="20" t="str">
        <f>'Desarrollo infantil'!G28</f>
        <v>Revisión de documentos académicos por materias</v>
      </c>
      <c r="J358" s="20" t="str">
        <f>'Desarrollo infantil'!H28</f>
        <v>Informe de carrera sobre la documentación recibida.</v>
      </c>
      <c r="K358" s="62">
        <f>'Desarrollo infantil'!I28</f>
        <v>0.5</v>
      </c>
      <c r="L358" s="160">
        <f>'Desarrollo infantil'!J28</f>
        <v>0</v>
      </c>
      <c r="M358" s="20">
        <f>'Desarrollo infantil'!K28</f>
        <v>0</v>
      </c>
      <c r="N358" s="20">
        <f>'Desarrollo infantil'!L28</f>
        <v>0</v>
      </c>
      <c r="O358" s="20" t="str">
        <f>'Desarrollo infantil'!M28</f>
        <v>Matriz</v>
      </c>
      <c r="P358" s="20">
        <v>2025</v>
      </c>
    </row>
    <row r="359" spans="1:16" ht="14.25" customHeight="1">
      <c r="A359" s="20" t="s">
        <v>487</v>
      </c>
      <c r="B359" s="20" t="str">
        <f t="shared" si="30"/>
        <v>ESTRATEGIA 2</v>
      </c>
      <c r="C359" s="20" t="str">
        <f t="shared" si="31"/>
        <v>OBJETIVO OPERATIVO 1</v>
      </c>
      <c r="D359" s="20" t="b">
        <f>'Desarrollo infantil'!B29</f>
        <v>0</v>
      </c>
      <c r="E359" s="20" t="str">
        <f>'Desarrollo infantil'!C29</f>
        <v>Baja</v>
      </c>
      <c r="F359" s="20" t="str">
        <f>'Desarrollo infantil'!D29</f>
        <v>2024-II(Todo el ciclo)
2025-I(Todo de ciclo)</v>
      </c>
      <c r="G359" s="20" t="str">
        <f>'Desarrollo infantil'!E29</f>
        <v>Reuniones de carrera  para socialización y toma de decisiones</v>
      </c>
      <c r="H359" s="20" t="str">
        <f>'Desarrollo infantil'!F29</f>
        <v>Director/a carrera - gestor académico</v>
      </c>
      <c r="I359" s="20" t="str">
        <f>'Desarrollo infantil'!G29</f>
        <v>Reuniones de carrera de acuerdo a requerimientos</v>
      </c>
      <c r="J359" s="20" t="str">
        <f>'Desarrollo infantil'!H29</f>
        <v>Convocatorias, actas e informes de reuniones de carrera.</v>
      </c>
      <c r="K359" s="62">
        <f>'Desarrollo infantil'!I29</f>
        <v>0.25</v>
      </c>
      <c r="L359" s="160">
        <f>'Desarrollo infantil'!J29</f>
        <v>0</v>
      </c>
      <c r="M359" s="20">
        <f>'Desarrollo infantil'!K29</f>
        <v>0</v>
      </c>
      <c r="N359" s="20">
        <f>'Desarrollo infantil'!L29</f>
        <v>0</v>
      </c>
      <c r="O359" s="20" t="str">
        <f>'Desarrollo infantil'!M29</f>
        <v>Convocatoria</v>
      </c>
      <c r="P359" s="20">
        <v>2025</v>
      </c>
    </row>
    <row r="360" spans="1:16" ht="14.25" customHeight="1">
      <c r="A360" s="20" t="s">
        <v>487</v>
      </c>
      <c r="B360" s="20" t="str">
        <f t="shared" si="30"/>
        <v>ESTRATEGIA 2</v>
      </c>
      <c r="C360" s="20" t="str">
        <f t="shared" si="31"/>
        <v>OBJETIVO OPERATIVO 1</v>
      </c>
      <c r="D360" s="20" t="b">
        <f>'Desarrollo infantil'!B30</f>
        <v>0</v>
      </c>
      <c r="E360" s="20" t="str">
        <f>'Desarrollo infantil'!C30</f>
        <v>Baja</v>
      </c>
      <c r="F360" s="21">
        <f>'Desarrollo infantil'!D30</f>
        <v>45838</v>
      </c>
      <c r="G360" s="20" t="str">
        <f>'Desarrollo infantil'!E30</f>
        <v>Informe semestral POA 2025</v>
      </c>
      <c r="H360" s="20" t="str">
        <f>'Desarrollo infantil'!F30</f>
        <v>Director/a carrera - gestor académico</v>
      </c>
      <c r="I360" s="20" t="str">
        <f>'Desarrollo infantil'!G30</f>
        <v>Informar sobre el avance del  POA</v>
      </c>
      <c r="J360" s="20" t="str">
        <f>'Desarrollo infantil'!H30</f>
        <v>Informe semestral seguimiento POA 2025</v>
      </c>
      <c r="K360" s="62">
        <f>'Desarrollo infantil'!I30</f>
        <v>1</v>
      </c>
      <c r="L360" s="160">
        <f>'Desarrollo infantil'!J30</f>
        <v>0</v>
      </c>
      <c r="M360" s="20">
        <f>'Desarrollo infantil'!K30</f>
        <v>0</v>
      </c>
      <c r="N360" s="20">
        <f>'Desarrollo infantil'!L30</f>
        <v>0</v>
      </c>
      <c r="O360" s="20">
        <f>'Desarrollo infantil'!M30</f>
        <v>0</v>
      </c>
      <c r="P360" s="20">
        <v>2025</v>
      </c>
    </row>
    <row r="361" spans="1:16" ht="14.25" customHeight="1">
      <c r="A361" s="20" t="s">
        <v>487</v>
      </c>
      <c r="B361" s="20" t="str">
        <f t="shared" si="30"/>
        <v>ESTRATEGIA 2</v>
      </c>
      <c r="C361" s="20" t="str">
        <f t="shared" si="31"/>
        <v>OBJETIVO OPERATIVO 1</v>
      </c>
      <c r="D361" s="20" t="b">
        <f>'Desarrollo infantil'!B31</f>
        <v>0</v>
      </c>
      <c r="E361" s="20" t="str">
        <f>'Desarrollo infantil'!C31</f>
        <v>Baja</v>
      </c>
      <c r="F361" s="21">
        <f>'Desarrollo infantil'!D31</f>
        <v>45991</v>
      </c>
      <c r="G361" s="20" t="str">
        <f>'Desarrollo infantil'!E31</f>
        <v>Informe final POA 2025</v>
      </c>
      <c r="H361" s="20" t="str">
        <f>'Desarrollo infantil'!F31</f>
        <v>Director/a carrera - gestor académico</v>
      </c>
      <c r="I361" s="20" t="str">
        <f>'Desarrollo infantil'!G31</f>
        <v>Informar sobre el alcance final del  POA</v>
      </c>
      <c r="J361" s="20" t="str">
        <f>'Desarrollo infantil'!H31</f>
        <v>Informe final POA 2025</v>
      </c>
      <c r="K361" s="62">
        <f>'Desarrollo infantil'!I31</f>
        <v>0</v>
      </c>
      <c r="L361" s="160">
        <f>'Desarrollo infantil'!J31</f>
        <v>0</v>
      </c>
      <c r="M361" s="20">
        <f>'Desarrollo infantil'!K31</f>
        <v>0</v>
      </c>
      <c r="N361" s="20">
        <f>'Desarrollo infantil'!L31</f>
        <v>0</v>
      </c>
      <c r="O361" s="20" t="str">
        <f>'Desarrollo infantil'!M31</f>
        <v>Segundo semestre</v>
      </c>
      <c r="P361" s="20">
        <v>2025</v>
      </c>
    </row>
    <row r="362" spans="1:16" ht="14.25" customHeight="1">
      <c r="A362" s="20" t="s">
        <v>487</v>
      </c>
      <c r="B362" s="20" t="str">
        <f t="shared" si="30"/>
        <v>ESTRATEGIA 2</v>
      </c>
      <c r="C362" s="20" t="str">
        <f t="shared" si="31"/>
        <v>OBJETIVO OPERATIVO 1</v>
      </c>
      <c r="D362" s="20" t="b">
        <f>'Desarrollo infantil'!B32</f>
        <v>0</v>
      </c>
      <c r="E362" s="20" t="str">
        <f>'Desarrollo infantil'!C32</f>
        <v>Baja</v>
      </c>
      <c r="F362" s="21">
        <f>'Desarrollo infantil'!D32</f>
        <v>46011</v>
      </c>
      <c r="G362" s="20" t="str">
        <f>'Desarrollo infantil'!E32</f>
        <v>Elaborar la Planificación Operativa Anual 2026</v>
      </c>
      <c r="H362" s="20" t="str">
        <f>'Desarrollo infantil'!F32</f>
        <v>Director/a carrera - gestor académico</v>
      </c>
      <c r="I362" s="20" t="str">
        <f>'Desarrollo infantil'!G32</f>
        <v>Realizar la planificación para el 2026</v>
      </c>
      <c r="J362" s="20" t="str">
        <f>'Desarrollo infantil'!H32</f>
        <v>POA 2026</v>
      </c>
      <c r="K362" s="62">
        <f>'Desarrollo infantil'!I32</f>
        <v>0</v>
      </c>
      <c r="L362" s="160">
        <f>'Desarrollo infantil'!J32</f>
        <v>0</v>
      </c>
      <c r="M362" s="20">
        <f>'Desarrollo infantil'!K32</f>
        <v>0</v>
      </c>
      <c r="N362" s="20">
        <f>'Desarrollo infantil'!L32</f>
        <v>0</v>
      </c>
      <c r="O362" s="20" t="str">
        <f>'Desarrollo infantil'!M32</f>
        <v>Segundo semestre</v>
      </c>
      <c r="P362" s="20">
        <v>2025</v>
      </c>
    </row>
    <row r="363" spans="1:16" ht="14.25" customHeight="1">
      <c r="A363" s="20" t="s">
        <v>487</v>
      </c>
      <c r="B363" s="20" t="str">
        <f t="shared" si="30"/>
        <v>ESTRATEGIA 2</v>
      </c>
      <c r="C363" s="20" t="str">
        <f t="shared" si="31"/>
        <v>OBJETIVO OPERATIVO 1</v>
      </c>
      <c r="D363" s="20" t="b">
        <f>'Desarrollo infantil'!B33</f>
        <v>0</v>
      </c>
      <c r="E363" s="20" t="str">
        <f>'Desarrollo infantil'!C33</f>
        <v>Media</v>
      </c>
      <c r="F363" s="20" t="str">
        <f>'Desarrollo infantil'!D33</f>
        <v>2024-II (inicio de ciclo)
2025-I (inicio de ciclo)</v>
      </c>
      <c r="G363" s="20" t="str">
        <f>'Desarrollo infantil'!E33</f>
        <v>Designación de tutores de curso</v>
      </c>
      <c r="H363" s="20" t="str">
        <f>'Desarrollo infantil'!F33</f>
        <v>Director/a carrera</v>
      </c>
      <c r="I363" s="20" t="str">
        <f>'Desarrollo infantil'!G33</f>
        <v>Realizar las designaciones y evidenciar los responsables y tutores de la carrera</v>
      </c>
      <c r="J363" s="20" t="str">
        <f>'Desarrollo infantil'!H33</f>
        <v>Documento de designación de tutores por parte del director de carrera</v>
      </c>
      <c r="K363" s="62">
        <f>'Desarrollo infantil'!I33</f>
        <v>0.5</v>
      </c>
      <c r="L363" s="160">
        <f>'Desarrollo infantil'!J33</f>
        <v>0</v>
      </c>
      <c r="M363" s="20">
        <f>'Desarrollo infantil'!K33</f>
        <v>0</v>
      </c>
      <c r="N363" s="20">
        <f>'Desarrollo infantil'!L33</f>
        <v>0</v>
      </c>
      <c r="O363" s="20">
        <f>'Desarrollo infantil'!M33</f>
        <v>0</v>
      </c>
      <c r="P363" s="20">
        <v>2025</v>
      </c>
    </row>
    <row r="364" spans="1:16" ht="14.25" customHeight="1">
      <c r="A364" s="20" t="s">
        <v>487</v>
      </c>
      <c r="B364" s="20" t="str">
        <f t="shared" si="30"/>
        <v>ESTRATEGIA 2</v>
      </c>
      <c r="C364" s="20" t="str">
        <f t="shared" si="31"/>
        <v>OBJETIVO OPERATIVO 1</v>
      </c>
      <c r="D364" s="20" t="b">
        <f>'Desarrollo infantil'!B34</f>
        <v>0</v>
      </c>
      <c r="E364" s="20" t="str">
        <f>'Desarrollo infantil'!C34</f>
        <v>Media</v>
      </c>
      <c r="F364" s="20" t="str">
        <f>'Desarrollo infantil'!D34</f>
        <v>2024-II(Todo el ciclo)
2025-I(Todo el ciclo)</v>
      </c>
      <c r="G364" s="20" t="str">
        <f>'Desarrollo infantil'!E34</f>
        <v>Ejecutar las actividades de la fase de SEGUIMIENTO del modelo metodológico del proceso de Seguimiento Curricular</v>
      </c>
      <c r="H364" s="20" t="str">
        <f>'Desarrollo infantil'!F34</f>
        <v>Director/a de carrera - Gestor/a académico
Tutores de curso</v>
      </c>
      <c r="I364" s="20" t="str">
        <f>'Desarrollo infantil'!G34</f>
        <v>Realizar el Seguimiento del modelo metodológico</v>
      </c>
      <c r="J364" s="20" t="str">
        <f>'Desarrollo infantil'!H34</f>
        <v>Fase SEGUIMIENTO:
INICIO: Socialización de Tutorías Académicas
DURANTE: Registro de Calificaciones del Primer Parcial
FINAL : Registro de Calificación Finales</v>
      </c>
      <c r="K364" s="62">
        <f>'Desarrollo infantil'!I34</f>
        <v>0.5</v>
      </c>
      <c r="L364" s="160">
        <f>'Desarrollo infantil'!J34</f>
        <v>0</v>
      </c>
      <c r="M364" s="20">
        <f>'Desarrollo infantil'!K34</f>
        <v>0</v>
      </c>
      <c r="N364" s="20">
        <f>'Desarrollo infantil'!L34</f>
        <v>0</v>
      </c>
      <c r="O364" s="20" t="str">
        <f>'Desarrollo infantil'!M34</f>
        <v>Sin evidencias</v>
      </c>
      <c r="P364" s="20">
        <v>2025</v>
      </c>
    </row>
    <row r="365" spans="1:16" ht="14.25" customHeight="1">
      <c r="A365" s="20" t="s">
        <v>487</v>
      </c>
      <c r="B365" s="20" t="str">
        <f t="shared" si="30"/>
        <v>ESTRATEGIA 2</v>
      </c>
      <c r="C365" s="20" t="str">
        <f t="shared" si="31"/>
        <v>OBJETIVO OPERATIVO 1</v>
      </c>
      <c r="D365" s="20" t="b">
        <f>'Desarrollo infantil'!B35</f>
        <v>0</v>
      </c>
      <c r="E365" s="20" t="str">
        <f>'Desarrollo infantil'!C35</f>
        <v>Media</v>
      </c>
      <c r="F365" s="20" t="str">
        <f>'Desarrollo infantil'!D35</f>
        <v>2024-II(Todo el ciclo)
2025-I(Todo el ciclo)</v>
      </c>
      <c r="G365" s="20" t="str">
        <f>'Desarrollo infantil'!E35</f>
        <v>Ejecutar las actividades de la fase de CONTROL del modelo metodológico del proceso de Seguimiento Curricular</v>
      </c>
      <c r="H365" s="20" t="str">
        <f>'Desarrollo infantil'!F35</f>
        <v>Director/a de carrera - Gestor/a académico
Tutores de curso</v>
      </c>
      <c r="I365" s="20" t="str">
        <f>'Desarrollo infantil'!G35</f>
        <v>Realizar el Control del modelo metodológico</v>
      </c>
      <c r="J365" s="20" t="str">
        <f>'Desarrollo infantil'!H35</f>
        <v>Fase CONTROL:
INICIO: Matriz consolidada de resultados de Pruebas de Diagnostico
DURANTE: Matriz consolidada de resultados de Calificaciones del Primer Parcial
FINAL : Matriz consolidada de resultados de Calificaciones Finales</v>
      </c>
      <c r="K365" s="62">
        <f>'Desarrollo infantil'!I35</f>
        <v>0.5</v>
      </c>
      <c r="L365" s="160">
        <f>'Desarrollo infantil'!J35</f>
        <v>0</v>
      </c>
      <c r="M365" s="20">
        <f>'Desarrollo infantil'!K35</f>
        <v>0</v>
      </c>
      <c r="N365" s="20">
        <f>'Desarrollo infantil'!L35</f>
        <v>0</v>
      </c>
      <c r="O365" s="20" t="str">
        <f>'Desarrollo infantil'!M35</f>
        <v>Sin evidencias</v>
      </c>
      <c r="P365" s="20">
        <v>2025</v>
      </c>
    </row>
    <row r="366" spans="1:16" ht="14.25" customHeight="1">
      <c r="A366" s="20" t="s">
        <v>487</v>
      </c>
      <c r="B366" s="20" t="str">
        <f t="shared" si="30"/>
        <v>ESTRATEGIA 2</v>
      </c>
      <c r="C366" s="20" t="str">
        <f t="shared" si="31"/>
        <v>OBJETIVO OPERATIVO 1</v>
      </c>
      <c r="D366" s="20" t="b">
        <f>'Desarrollo infantil'!B36</f>
        <v>0</v>
      </c>
      <c r="E366" s="20" t="str">
        <f>'Desarrollo infantil'!C36</f>
        <v>Media</v>
      </c>
      <c r="F366" s="20" t="str">
        <f>'Desarrollo infantil'!D36</f>
        <v>2024-II(Todo el ciclo)
2025-I(Todo el ciclo)</v>
      </c>
      <c r="G366" s="20" t="str">
        <f>'Desarrollo infantil'!E36</f>
        <v>Ejecutar las actividades de la fase de EVALUACIÓN del modelo metodológico del proceso de Seguimiento Curricular</v>
      </c>
      <c r="H366" s="20" t="str">
        <f>'Desarrollo infantil'!F36</f>
        <v>Director/a de carrera - Gestor/a académico
Tutores de curso</v>
      </c>
      <c r="I366" s="20" t="str">
        <f>'Desarrollo infantil'!G36</f>
        <v>Realizar la Evaluación del modelo metodológico</v>
      </c>
      <c r="J366" s="20" t="str">
        <f>'Desarrollo infantil'!H36</f>
        <v>Fase EVALAUCIÓN:
INICIO: Acta de reunión de inicio de ciclo estudiantes
DURANTE: Acta de reunión del Primer Parcial Docentes - Estudiantes
FINAL : Acta de reunión Final - Docentes - Estudiantes</v>
      </c>
      <c r="K366" s="62">
        <f>'Desarrollo infantil'!I36</f>
        <v>0.25</v>
      </c>
      <c r="L366" s="160">
        <f>'Desarrollo infantil'!J36</f>
        <v>0</v>
      </c>
      <c r="M366" s="20">
        <f>'Desarrollo infantil'!K36</f>
        <v>0</v>
      </c>
      <c r="N366" s="20">
        <f>'Desarrollo infantil'!L36</f>
        <v>0</v>
      </c>
      <c r="O366" s="20" t="str">
        <f>'Desarrollo infantil'!M36</f>
        <v>Sin evidencias</v>
      </c>
      <c r="P366" s="20">
        <v>2025</v>
      </c>
    </row>
    <row r="367" spans="1:16" ht="14.25" customHeight="1">
      <c r="A367" s="20" t="s">
        <v>487</v>
      </c>
      <c r="B367" s="20" t="str">
        <f t="shared" si="30"/>
        <v>ESTRATEGIA 2</v>
      </c>
      <c r="C367" s="20" t="str">
        <f t="shared" si="31"/>
        <v>OBJETIVO OPERATIVO 1</v>
      </c>
      <c r="D367" s="20" t="b">
        <f>'Desarrollo infantil'!B37</f>
        <v>0</v>
      </c>
      <c r="E367" s="20" t="str">
        <f>'Desarrollo infantil'!C37</f>
        <v>Baja</v>
      </c>
      <c r="F367" s="20" t="str">
        <f>'Desarrollo infantil'!D37</f>
        <v>2024-II(Fin de ciclo)
2025-I(Fin de Ciclo)</v>
      </c>
      <c r="G367" s="20" t="str">
        <f>'Desarrollo infantil'!E37</f>
        <v>Elaboración del Plan de Mejoramiento del proceso enseñanza aprendizaje</v>
      </c>
      <c r="H367" s="20" t="str">
        <f>'Desarrollo infantil'!F37</f>
        <v>Director/a carrera
Responsable de Seguimiento a graduados de la carrera</v>
      </c>
      <c r="I367" s="20" t="str">
        <f>'Desarrollo infantil'!G37</f>
        <v>De acuerdo a los resultados generar el Plan de Mejoramiento enseñanza aprendizaje</v>
      </c>
      <c r="J367" s="20" t="str">
        <f>'Desarrollo infantil'!H37</f>
        <v>Informe de plan de mejoramiento curricular</v>
      </c>
      <c r="K367" s="62">
        <f>'Desarrollo infantil'!I37</f>
        <v>0</v>
      </c>
      <c r="L367" s="160">
        <f>'Desarrollo infantil'!J37</f>
        <v>0</v>
      </c>
      <c r="M367" s="20">
        <f>'Desarrollo infantil'!K37</f>
        <v>0</v>
      </c>
      <c r="N367" s="20">
        <f>'Desarrollo infantil'!L37</f>
        <v>0</v>
      </c>
      <c r="O367" s="20" t="str">
        <f>'Desarrollo infantil'!M37</f>
        <v>Sin evidencias</v>
      </c>
      <c r="P367" s="20">
        <v>2025</v>
      </c>
    </row>
    <row r="368" spans="1:16" ht="14.25" customHeight="1">
      <c r="A368" s="20" t="s">
        <v>487</v>
      </c>
      <c r="B368" s="20" t="str">
        <f t="shared" ref="B368:B373" si="32">$B$367</f>
        <v>ESTRATEGIA 2</v>
      </c>
      <c r="C368" s="20" t="str">
        <f>'Desarrollo infantil'!E38</f>
        <v>OBJETIVO OPERATIVO 2</v>
      </c>
      <c r="D368" s="20" t="b">
        <f>'Desarrollo infantil'!B39</f>
        <v>1</v>
      </c>
      <c r="E368" s="20" t="str">
        <f>'Desarrollo infantil'!C39</f>
        <v>Media</v>
      </c>
      <c r="F368" s="20" t="str">
        <f>'Desarrollo infantil'!D39</f>
        <v>2025-II(Inicio de ciclo)</v>
      </c>
      <c r="G368" s="20" t="str">
        <f>'Desarrollo infantil'!E39</f>
        <v>Diseñar, gestionar e implementar cursos o programas de inducción y de actualización para docentes y estudiantes.</v>
      </c>
      <c r="H368" s="20" t="str">
        <f>'Desarrollo infantil'!F39</f>
        <v>Director/a carrera - gestor académico</v>
      </c>
      <c r="I368" s="20" t="str">
        <f>'Desarrollo infantil'!G39</f>
        <v>Generar la capacitación docente</v>
      </c>
      <c r="J368" s="20" t="str">
        <f>'Desarrollo infantil'!H39</f>
        <v>Informes de cursos y o programas.</v>
      </c>
      <c r="K368" s="62">
        <f>'Desarrollo infantil'!I39</f>
        <v>0.5</v>
      </c>
      <c r="L368" s="160">
        <f>'Desarrollo infantil'!J39</f>
        <v>0</v>
      </c>
      <c r="M368" s="20">
        <f>'Desarrollo infantil'!K39</f>
        <v>0</v>
      </c>
      <c r="N368" s="20">
        <f>'Desarrollo infantil'!L39</f>
        <v>0</v>
      </c>
      <c r="O368" s="20">
        <f>'Desarrollo infantil'!M39</f>
        <v>0</v>
      </c>
      <c r="P368" s="20">
        <v>2025</v>
      </c>
    </row>
    <row r="369" spans="1:16" ht="14.25" customHeight="1">
      <c r="A369" s="20" t="s">
        <v>487</v>
      </c>
      <c r="B369" s="20" t="str">
        <f t="shared" si="32"/>
        <v>ESTRATEGIA 2</v>
      </c>
      <c r="C369" s="20" t="str">
        <f>$C$368</f>
        <v>OBJETIVO OPERATIVO 2</v>
      </c>
      <c r="D369" s="20" t="b">
        <f>'Desarrollo infantil'!B40</f>
        <v>1</v>
      </c>
      <c r="E369" s="20" t="str">
        <f>'Desarrollo infantil'!C40</f>
        <v>Media</v>
      </c>
      <c r="F369" s="20" t="str">
        <f>'Desarrollo infantil'!D40</f>
        <v>2025-II(Inicio de ciclo)</v>
      </c>
      <c r="G369" s="20" t="str">
        <f>'Desarrollo infantil'!E40</f>
        <v>Capacitar a los estudiantes sobre la utilización de la Plataforma Moodle.</v>
      </c>
      <c r="H369" s="20" t="str">
        <f>'Desarrollo infantil'!F40</f>
        <v>responsable plataforma Moodle de la carrera</v>
      </c>
      <c r="I369" s="20" t="str">
        <f>'Desarrollo infantil'!G40</f>
        <v>Generar la capacitación estudiantil sobre el Moodle</v>
      </c>
      <c r="J369" s="20" t="str">
        <f>'Desarrollo infantil'!H40</f>
        <v>Informe sobre la capacitación</v>
      </c>
      <c r="K369" s="62">
        <f>'Desarrollo infantil'!I40</f>
        <v>0.5</v>
      </c>
      <c r="L369" s="160">
        <f>'Desarrollo infantil'!J40</f>
        <v>0</v>
      </c>
      <c r="M369" s="20">
        <f>'Desarrollo infantil'!K40</f>
        <v>0</v>
      </c>
      <c r="N369" s="20">
        <f>'Desarrollo infantil'!L40</f>
        <v>0</v>
      </c>
      <c r="O369" s="20" t="str">
        <f>'Desarrollo infantil'!M40</f>
        <v>Segundo semestre</v>
      </c>
      <c r="P369" s="20">
        <v>2025</v>
      </c>
    </row>
    <row r="370" spans="1:16" ht="14.25" customHeight="1">
      <c r="A370" s="20" t="s">
        <v>487</v>
      </c>
      <c r="B370" s="20" t="str">
        <f t="shared" si="32"/>
        <v>ESTRATEGIA 2</v>
      </c>
      <c r="C370" s="20" t="str">
        <f>$C$368</f>
        <v>OBJETIVO OPERATIVO 2</v>
      </c>
      <c r="D370" s="20" t="b">
        <f>'Desarrollo infantil'!B41</f>
        <v>1</v>
      </c>
      <c r="E370" s="20" t="str">
        <f>'Desarrollo infantil'!C41</f>
        <v>Baja</v>
      </c>
      <c r="F370" s="20" t="str">
        <f>'Desarrollo infantil'!D41</f>
        <v>2025-II(Fin de ciclo)</v>
      </c>
      <c r="G370" s="20" t="str">
        <f>'Desarrollo infantil'!E41</f>
        <v>Elaborar y ejecutar la planificación de oferta complementaria.</v>
      </c>
      <c r="H370" s="20" t="str">
        <f>'Desarrollo infantil'!F41</f>
        <v>Docentes de la carrera</v>
      </c>
      <c r="I370" s="20" t="str">
        <f>'Desarrollo infantil'!G41</f>
        <v>Analizar y realizar la oferta complementaria</v>
      </c>
      <c r="J370" s="20" t="str">
        <f>'Desarrollo infantil'!H41</f>
        <v>Informe de ejecución de la oferta complementaria.</v>
      </c>
      <c r="K370" s="62">
        <f>'Desarrollo infantil'!I41</f>
        <v>0</v>
      </c>
      <c r="L370" s="160">
        <f>'Desarrollo infantil'!J41</f>
        <v>0</v>
      </c>
      <c r="M370" s="20">
        <f>'Desarrollo infantil'!K41</f>
        <v>0</v>
      </c>
      <c r="N370" s="20">
        <f>'Desarrollo infantil'!L41</f>
        <v>0</v>
      </c>
      <c r="O370" s="20" t="str">
        <f>'Desarrollo infantil'!M41</f>
        <v>Segundo semestre</v>
      </c>
      <c r="P370" s="20">
        <v>2025</v>
      </c>
    </row>
    <row r="371" spans="1:16" ht="14.25" customHeight="1">
      <c r="A371" s="20" t="s">
        <v>487</v>
      </c>
      <c r="B371" s="20" t="str">
        <f t="shared" si="32"/>
        <v>ESTRATEGIA 2</v>
      </c>
      <c r="C371" s="20" t="str">
        <f>'Desarrollo infantil'!E42</f>
        <v>OBJETIVO OPERATIVO 3</v>
      </c>
      <c r="D371" s="20" t="b">
        <f>'Desarrollo infantil'!B43</f>
        <v>1</v>
      </c>
      <c r="E371" s="20" t="str">
        <f>'Desarrollo infantil'!C43</f>
        <v>Alta</v>
      </c>
      <c r="F371" s="20" t="str">
        <f>'Desarrollo infantil'!D43</f>
        <v>2025-I(Inicio de ciclo)</v>
      </c>
      <c r="G371" s="20" t="str">
        <f>'Desarrollo infantil'!E43</f>
        <v>Revisión de requisitos de la opción de titulación de los estudiantes.</v>
      </c>
      <c r="H371" s="20" t="str">
        <f>'Desarrollo infantil'!F43</f>
        <v>Director de carrera / Coordinador de carreras</v>
      </c>
      <c r="I371" s="20" t="str">
        <f>'Desarrollo infantil'!G43</f>
        <v>Realizar el análisis de la opción de titulación para los estudiantes</v>
      </c>
      <c r="J371" s="20" t="str">
        <f>'Desarrollo infantil'!H43</f>
        <v>Recopilar los documentos de los estudiantes de titulación.</v>
      </c>
      <c r="K371" s="62">
        <f>'Desarrollo infantil'!I43</f>
        <v>0</v>
      </c>
      <c r="L371" s="160">
        <f>'Desarrollo infantil'!J43</f>
        <v>0</v>
      </c>
      <c r="M371" s="20">
        <f>'Desarrollo infantil'!K43</f>
        <v>0</v>
      </c>
      <c r="N371" s="20">
        <f>'Desarrollo infantil'!L43</f>
        <v>0</v>
      </c>
      <c r="O371" s="20" t="str">
        <f>'Desarrollo infantil'!M43</f>
        <v>Segundo semestre</v>
      </c>
      <c r="P371" s="20">
        <v>2025</v>
      </c>
    </row>
    <row r="372" spans="1:16" ht="14.25" customHeight="1">
      <c r="A372" s="20" t="s">
        <v>487</v>
      </c>
      <c r="B372" s="20" t="str">
        <f t="shared" si="32"/>
        <v>ESTRATEGIA 2</v>
      </c>
      <c r="C372" s="20" t="str">
        <f>$C$371</f>
        <v>OBJETIVO OPERATIVO 3</v>
      </c>
      <c r="D372" s="20" t="b">
        <f>'Desarrollo infantil'!B44</f>
        <v>1</v>
      </c>
      <c r="E372" s="20" t="str">
        <f>'Desarrollo infantil'!C44</f>
        <v>Alta</v>
      </c>
      <c r="F372" s="20" t="str">
        <f>'Desarrollo infantil'!D44</f>
        <v>2025-I(Inicio de ciclo)</v>
      </c>
      <c r="G372" s="20" t="str">
        <f>'Desarrollo infantil'!E44</f>
        <v>Coordinación para aprobación de documentación de la integración curricular.</v>
      </c>
      <c r="H372" s="20" t="str">
        <f>'Desarrollo infantil'!F44</f>
        <v>Director de carrera / Coordinador de carreras</v>
      </c>
      <c r="I372" s="20" t="str">
        <f>'Desarrollo infantil'!G44</f>
        <v>Revisar y coordinar la aprobación de documentos para el ingreso a la unidad de integración curricular</v>
      </c>
      <c r="J372" s="20" t="str">
        <f>'Desarrollo infantil'!H44</f>
        <v>Aprobación de la documentación a titulación.</v>
      </c>
      <c r="K372" s="62">
        <f>'Desarrollo infantil'!I44</f>
        <v>0</v>
      </c>
      <c r="L372" s="160">
        <f>'Desarrollo infantil'!J44</f>
        <v>0</v>
      </c>
      <c r="M372" s="20">
        <f>'Desarrollo infantil'!K44</f>
        <v>0</v>
      </c>
      <c r="N372" s="20">
        <f>'Desarrollo infantil'!L44</f>
        <v>0</v>
      </c>
      <c r="O372" s="20" t="str">
        <f>'Desarrollo infantil'!M44</f>
        <v>Segundo semestre</v>
      </c>
      <c r="P372" s="20">
        <v>2025</v>
      </c>
    </row>
    <row r="373" spans="1:16" ht="14.25" customHeight="1">
      <c r="A373" s="20" t="s">
        <v>487</v>
      </c>
      <c r="B373" s="20" t="str">
        <f t="shared" si="32"/>
        <v>ESTRATEGIA 2</v>
      </c>
      <c r="C373" s="20" t="str">
        <f>$C$371</f>
        <v>OBJETIVO OPERATIVO 3</v>
      </c>
      <c r="D373" s="20" t="b">
        <f>'Desarrollo infantil'!B45</f>
        <v>1</v>
      </c>
      <c r="E373" s="20" t="str">
        <f>'Desarrollo infantil'!C45</f>
        <v>Alta</v>
      </c>
      <c r="F373" s="20" t="str">
        <f>'Desarrollo infantil'!D45</f>
        <v>2025-I(Fin de ciclo)</v>
      </c>
      <c r="G373" s="20" t="str">
        <f>'Desarrollo infantil'!E45</f>
        <v>Coordinación del evento de incorporación.</v>
      </c>
      <c r="H373" s="20" t="str">
        <f>'Desarrollo infantil'!F45</f>
        <v>Director de carrera / Coordinador de carreras</v>
      </c>
      <c r="I373" s="20" t="str">
        <f>'Desarrollo infantil'!G45</f>
        <v>Realizar la lista de estudiantes a titularse</v>
      </c>
      <c r="J373" s="20" t="str">
        <f>'Desarrollo infantil'!H45</f>
        <v>Matriz de datos de estudiantes a titularse</v>
      </c>
      <c r="K373" s="62">
        <f>'Desarrollo infantil'!I45</f>
        <v>0</v>
      </c>
      <c r="L373" s="160">
        <f>'Desarrollo infantil'!J45</f>
        <v>0</v>
      </c>
      <c r="M373" s="20">
        <f>'Desarrollo infantil'!K45</f>
        <v>0</v>
      </c>
      <c r="N373" s="20">
        <f>'Desarrollo infantil'!L45</f>
        <v>0</v>
      </c>
      <c r="O373" s="20" t="str">
        <f>'Desarrollo infantil'!M45</f>
        <v>Segundo semestre</v>
      </c>
      <c r="P373" s="20">
        <v>2025</v>
      </c>
    </row>
    <row r="374" spans="1:16" ht="14.25" customHeight="1">
      <c r="A374" s="20" t="s">
        <v>487</v>
      </c>
      <c r="B374" s="20" t="str">
        <f>'Desarrollo infantil'!B46</f>
        <v>ESTRATEGIA 3</v>
      </c>
      <c r="C374" s="20" t="str">
        <f>'Desarrollo infantil'!E46</f>
        <v>OBJETIVO OPERATIVO 1</v>
      </c>
      <c r="D374" s="20" t="b">
        <f>'Desarrollo infantil'!B47</f>
        <v>0</v>
      </c>
      <c r="E374" s="20" t="str">
        <f>'Desarrollo infantil'!C47</f>
        <v>Media</v>
      </c>
      <c r="F374" s="20" t="str">
        <f>'Desarrollo infantil'!D47</f>
        <v>2024-II(Todo el ciclo)
2025-I(Todo de ciclo)</v>
      </c>
      <c r="G374" s="20" t="str">
        <f>'Desarrollo infantil'!E47</f>
        <v>Colaborar con la comisión de Vinculación en la construcción de los documentos necesarios para la firma de convenios.</v>
      </c>
      <c r="H374" s="20" t="str">
        <f>'Desarrollo infantil'!F47</f>
        <v>Director/a carrera -responsable de practicas y vinculación</v>
      </c>
      <c r="I374" s="20" t="str">
        <f>'Desarrollo infantil'!G47</f>
        <v>Brindar apoyo y realizar ITV de vinculación de la carrera</v>
      </c>
      <c r="J374" s="20" t="str">
        <f>'Desarrollo infantil'!H47</f>
        <v>ITV  y los convenios.</v>
      </c>
      <c r="K374" s="62">
        <f>'Desarrollo infantil'!I47</f>
        <v>1</v>
      </c>
      <c r="L374" s="160">
        <f>'Desarrollo infantil'!J47</f>
        <v>0</v>
      </c>
      <c r="M374" s="20">
        <f>'Desarrollo infantil'!K47</f>
        <v>0</v>
      </c>
      <c r="N374" s="20">
        <f>'Desarrollo infantil'!L47</f>
        <v>0</v>
      </c>
      <c r="O374" s="20" t="str">
        <f>'Desarrollo infantil'!M47</f>
        <v>Segundo semestre</v>
      </c>
      <c r="P374" s="20">
        <v>2025</v>
      </c>
    </row>
    <row r="375" spans="1:16" ht="14.25" customHeight="1">
      <c r="A375" s="20" t="s">
        <v>487</v>
      </c>
      <c r="B375" s="20" t="str">
        <f>$B$374</f>
        <v>ESTRATEGIA 3</v>
      </c>
      <c r="C375" s="20" t="str">
        <f>$C$374</f>
        <v>OBJETIVO OPERATIVO 1</v>
      </c>
      <c r="D375" s="20" t="b">
        <f>'Desarrollo infantil'!B48</f>
        <v>0</v>
      </c>
      <c r="E375" s="20" t="str">
        <f>'Desarrollo infantil'!C48</f>
        <v>Baja</v>
      </c>
      <c r="F375" s="20" t="str">
        <f>'Desarrollo infantil'!D48</f>
        <v>2024-I( fin ciclo)
2025-I( fin ciclo)</v>
      </c>
      <c r="G375" s="20" t="str">
        <f>'Desarrollo infantil'!E48</f>
        <v>Divulgación de los resultados de los proyectos de vinculación, asistiendo a las ferias convocados por diferentes organizaciones.</v>
      </c>
      <c r="H375" s="20" t="str">
        <f>'Desarrollo infantil'!F48</f>
        <v>Director/a carrera -responsable de practicas y vinculación</v>
      </c>
      <c r="I375" s="20" t="str">
        <f>'Desarrollo infantil'!G48</f>
        <v>Realizar la divulgación de los resultados de los proyectos de vinculación</v>
      </c>
      <c r="J375" s="20" t="str">
        <f>'Desarrollo infantil'!H48</f>
        <v>Informe de la divulgación.</v>
      </c>
      <c r="K375" s="62">
        <f>'Desarrollo infantil'!I48</f>
        <v>1</v>
      </c>
      <c r="L375" s="160">
        <f>'Desarrollo infantil'!J48</f>
        <v>0</v>
      </c>
      <c r="M375" s="20">
        <f>'Desarrollo infantil'!K48</f>
        <v>0</v>
      </c>
      <c r="N375" s="20">
        <f>'Desarrollo infantil'!L48</f>
        <v>0</v>
      </c>
      <c r="O375" s="20" t="str">
        <f>'Desarrollo infantil'!M48</f>
        <v>Segundo semestre</v>
      </c>
      <c r="P375" s="20">
        <v>2025</v>
      </c>
    </row>
    <row r="376" spans="1:16" ht="14.25" customHeight="1">
      <c r="A376" s="20" t="s">
        <v>487</v>
      </c>
      <c r="B376" s="20" t="str">
        <f>$B$374</f>
        <v>ESTRATEGIA 3</v>
      </c>
      <c r="C376" s="20" t="str">
        <f>$C$374</f>
        <v>OBJETIVO OPERATIVO 1</v>
      </c>
      <c r="D376" s="20" t="b">
        <f>'Desarrollo infantil'!B49</f>
        <v>0</v>
      </c>
      <c r="E376" s="20" t="str">
        <f>'Desarrollo infantil'!C49</f>
        <v>Baja</v>
      </c>
      <c r="F376" s="20" t="str">
        <f>'Desarrollo infantil'!D49</f>
        <v>2024-II (inicio ciclo)
2025-I(inicio ciclo)</v>
      </c>
      <c r="G376" s="20" t="str">
        <f>'Desarrollo infantil'!E49</f>
        <v>Socializar con los estudiantes el reglamento de vinculación</v>
      </c>
      <c r="H376" s="20" t="str">
        <f>'Desarrollo infantil'!F49</f>
        <v>Director/a carrera -responsable de practicas y vinculación</v>
      </c>
      <c r="I376" s="20" t="str">
        <f>'Desarrollo infantil'!G49</f>
        <v>Realizar la socialización del reglamento de vinculación con los estudiantes</v>
      </c>
      <c r="J376" s="20" t="str">
        <f>'Desarrollo infantil'!H49</f>
        <v>Informe de socialización del reglamento.</v>
      </c>
      <c r="K376" s="62">
        <f>'Desarrollo infantil'!I49</f>
        <v>0.5</v>
      </c>
      <c r="L376" s="160">
        <f>'Desarrollo infantil'!J49</f>
        <v>0</v>
      </c>
      <c r="M376" s="20">
        <f>'Desarrollo infantil'!K49</f>
        <v>0</v>
      </c>
      <c r="N376" s="20">
        <f>'Desarrollo infantil'!L49</f>
        <v>0</v>
      </c>
      <c r="O376" s="20" t="str">
        <f>'Desarrollo infantil'!M49</f>
        <v>Informe</v>
      </c>
      <c r="P376" s="20">
        <v>2025</v>
      </c>
    </row>
    <row r="377" spans="1:16" ht="14.25" customHeight="1">
      <c r="A377" s="20" t="s">
        <v>487</v>
      </c>
      <c r="B377" s="20" t="str">
        <f>$B$376</f>
        <v>ESTRATEGIA 3</v>
      </c>
      <c r="C377" s="20" t="str">
        <f>'Desarrollo infantil'!E50</f>
        <v>OBJETIVO OPERATIVO 2</v>
      </c>
      <c r="D377" s="20" t="b">
        <f>'Desarrollo infantil'!B51</f>
        <v>1</v>
      </c>
      <c r="E377" s="20" t="str">
        <f>'Desarrollo infantil'!C51</f>
        <v>Alta</v>
      </c>
      <c r="F377" s="20" t="str">
        <f>'Desarrollo infantil'!D51</f>
        <v>2024-II (inicio ciclo)
2025-I(inicio ciclo)</v>
      </c>
      <c r="G377" s="20" t="str">
        <f>'Desarrollo infantil'!E51</f>
        <v>Conocer las líneas de investigación de la carrera</v>
      </c>
      <c r="H377" s="20" t="str">
        <f>'Desarrollo infantil'!F51</f>
        <v>Director de carrera</v>
      </c>
      <c r="I377" s="20" t="str">
        <f>'Desarrollo infantil'!G51</f>
        <v>Analizar y realizar las líneas de investigación de la carrera</v>
      </c>
      <c r="J377" s="20" t="str">
        <f>'Desarrollo infantil'!H51</f>
        <v>Informe de socialización de las líneas de investigación de la carrera</v>
      </c>
      <c r="K377" s="62">
        <f>'Desarrollo infantil'!I51</f>
        <v>0</v>
      </c>
      <c r="L377" s="160">
        <f>'Desarrollo infantil'!J51</f>
        <v>0</v>
      </c>
      <c r="M377" s="20">
        <f>'Desarrollo infantil'!K51</f>
        <v>0</v>
      </c>
      <c r="N377" s="20">
        <f>'Desarrollo infantil'!L51</f>
        <v>0</v>
      </c>
      <c r="O377" s="20" t="str">
        <f>'Desarrollo infantil'!M51</f>
        <v>Lineas  de investigación</v>
      </c>
      <c r="P377" s="20">
        <v>2025</v>
      </c>
    </row>
    <row r="378" spans="1:16" ht="14.25" customHeight="1">
      <c r="A378" s="20" t="s">
        <v>487</v>
      </c>
      <c r="B378" s="20" t="str">
        <f>$B$376</f>
        <v>ESTRATEGIA 3</v>
      </c>
      <c r="C378" s="20" t="str">
        <f>$C$377</f>
        <v>OBJETIVO OPERATIVO 2</v>
      </c>
      <c r="D378" s="20" t="b">
        <f>'Desarrollo infantil'!B52</f>
        <v>1</v>
      </c>
      <c r="E378" s="20" t="str">
        <f>'Desarrollo infantil'!C52</f>
        <v>Alta</v>
      </c>
      <c r="F378" s="20" t="str">
        <f>'Desarrollo infantil'!D52</f>
        <v>2024-II(Todo el ciclo)
2025-I(Todo de ciclo)</v>
      </c>
      <c r="G378" s="20" t="str">
        <f>'Desarrollo infantil'!E52</f>
        <v>Desarrollar investigación científica y tecnológica que contribuya con la construcción de soluciones para los problemas del país, en relación con los objetivos del régimen de desarrollo.</v>
      </c>
      <c r="H378" s="20" t="str">
        <f>'Desarrollo infantil'!F52</f>
        <v>Director de Carrera
Docentes de la carrera
Comisión de Investigación</v>
      </c>
      <c r="I378" s="20" t="str">
        <f>'Desarrollo infantil'!G52</f>
        <v>Incentivar y desarrollar la investigación de los docentes de la carrera en base a las líneas de la carrera</v>
      </c>
      <c r="J378" s="20" t="str">
        <f>'Desarrollo infantil'!H52</f>
        <v>Artículos publicados por los docentes de la carrera</v>
      </c>
      <c r="K378" s="62">
        <f>'Desarrollo infantil'!I52</f>
        <v>0</v>
      </c>
      <c r="L378" s="160">
        <f>'Desarrollo infantil'!J52</f>
        <v>0</v>
      </c>
      <c r="M378" s="20">
        <f>'Desarrollo infantil'!K52</f>
        <v>0</v>
      </c>
      <c r="N378" s="20">
        <f>'Desarrollo infantil'!L52</f>
        <v>0</v>
      </c>
      <c r="O378" s="20" t="str">
        <f>'Desarrollo infantil'!M52</f>
        <v>Segundo semestre</v>
      </c>
      <c r="P378" s="20">
        <v>2025</v>
      </c>
    </row>
    <row r="379" spans="1:16" ht="14.25" customHeight="1">
      <c r="A379" s="20" t="s">
        <v>487</v>
      </c>
      <c r="B379" s="20" t="str">
        <f>$B$378</f>
        <v>ESTRATEGIA 3</v>
      </c>
      <c r="C379" s="20" t="str">
        <f>'Desarrollo infantil'!E53</f>
        <v>OBJETIVO OPERATIVO 3</v>
      </c>
      <c r="D379" s="20" t="b">
        <f>'Desarrollo infantil'!B54</f>
        <v>1</v>
      </c>
      <c r="E379" s="20" t="str">
        <f>'Desarrollo infantil'!C54</f>
        <v>Baja</v>
      </c>
      <c r="F379" s="20" t="str">
        <f>'Desarrollo infantil'!D54</f>
        <v>2024-II(Todo el ciclo)
2025-I(Todo de ciclo)</v>
      </c>
      <c r="G379" s="20" t="str">
        <f>'Desarrollo infantil'!E54</f>
        <v>Ejecutar la formación en valores y desarrollo de habilidades blandas.</v>
      </c>
      <c r="H379" s="20" t="str">
        <f>'Desarrollo infantil'!F54</f>
        <v>Director de carrera
Gestor académico
Bienestar institucional</v>
      </c>
      <c r="I379" s="20" t="str">
        <f>'Desarrollo infantil'!G54</f>
        <v>Realizar un curso de habilidades blandas que se desarrollara para todo el instituto</v>
      </c>
      <c r="J379" s="20" t="str">
        <f>'Desarrollo infantil'!H54</f>
        <v>Informe de formación en valores y desarrollo de habilidades blandas</v>
      </c>
      <c r="K379" s="62">
        <f>'Desarrollo infantil'!I54</f>
        <v>0.5</v>
      </c>
      <c r="L379" s="160">
        <f>'Desarrollo infantil'!J54</f>
        <v>0</v>
      </c>
      <c r="M379" s="20">
        <f>'Desarrollo infantil'!K54</f>
        <v>0</v>
      </c>
      <c r="N379" s="20">
        <f>'Desarrollo infantil'!L54</f>
        <v>0</v>
      </c>
      <c r="O379" s="20" t="str">
        <f>'Desarrollo infantil'!M54</f>
        <v>Informe</v>
      </c>
      <c r="P379" s="20">
        <v>2025</v>
      </c>
    </row>
    <row r="380" spans="1:16" ht="14.25" customHeight="1">
      <c r="A380" s="20" t="s">
        <v>487</v>
      </c>
      <c r="B380" s="20" t="str">
        <f>'Desarrollo infantil'!B55</f>
        <v>ESTRATEGIA 4</v>
      </c>
      <c r="C380" s="20" t="str">
        <f>'Desarrollo infantil'!E55</f>
        <v>OBJETIVO OPERATIVO 1</v>
      </c>
      <c r="D380" s="20" t="b">
        <f>'Desarrollo infantil'!B56</f>
        <v>0</v>
      </c>
      <c r="E380" s="20" t="str">
        <f>'Desarrollo infantil'!C56</f>
        <v>Baja</v>
      </c>
      <c r="F380" s="20" t="str">
        <f>'Desarrollo infantil'!D56</f>
        <v>2024-II (fin ciclo)
2025-I(fin ciclo)</v>
      </c>
      <c r="G380" s="20" t="str">
        <f>'Desarrollo infantil'!E56</f>
        <v>Elaboración de matrices de la oferta académica institucional.</v>
      </c>
      <c r="H380" s="20" t="str">
        <f>'Desarrollo infantil'!F56</f>
        <v>Director de Carrera
Gestor Académico</v>
      </c>
      <c r="I380" s="20" t="str">
        <f>'Desarrollo infantil'!G56</f>
        <v>Generación de matrices de oferta académica para la captación de más estudiantes</v>
      </c>
      <c r="J380" s="20" t="str">
        <f>'Desarrollo infantil'!H56</f>
        <v>Matrices de la oferta académica.</v>
      </c>
      <c r="K380" s="62">
        <f>'Desarrollo infantil'!I56</f>
        <v>1</v>
      </c>
      <c r="L380" s="160">
        <f>'Desarrollo infantil'!J56</f>
        <v>0</v>
      </c>
      <c r="M380" s="20">
        <f>'Desarrollo infantil'!K56</f>
        <v>0</v>
      </c>
      <c r="N380" s="20">
        <f>'Desarrollo infantil'!L56</f>
        <v>0</v>
      </c>
      <c r="O380" s="20" t="str">
        <f>'Desarrollo infantil'!M56</f>
        <v>No se aperturó este periodo</v>
      </c>
      <c r="P380" s="20">
        <v>2025</v>
      </c>
    </row>
    <row r="381" spans="1:16" ht="14.25" customHeight="1">
      <c r="A381" s="20" t="s">
        <v>487</v>
      </c>
      <c r="B381" s="20" t="str">
        <f>$B$380</f>
        <v>ESTRATEGIA 4</v>
      </c>
      <c r="C381" s="20" t="str">
        <f>$C$380</f>
        <v>OBJETIVO OPERATIVO 1</v>
      </c>
      <c r="D381" s="20" t="b">
        <f>'Desarrollo infantil'!B57</f>
        <v>0</v>
      </c>
      <c r="E381" s="20" t="str">
        <f>'Desarrollo infantil'!C57</f>
        <v>Baja</v>
      </c>
      <c r="F381" s="20" t="str">
        <f>'Desarrollo infantil'!D57</f>
        <v xml:space="preserve">
2025-II(fin ciclo)</v>
      </c>
      <c r="G381" s="20" t="str">
        <f>'Desarrollo infantil'!E57</f>
        <v>Planificación de demanda estudiantil.</v>
      </c>
      <c r="H381" s="20" t="str">
        <f>'Desarrollo infantil'!F57</f>
        <v>Director de Carrera
Gestor Académico</v>
      </c>
      <c r="I381" s="20" t="str">
        <f>'Desarrollo infantil'!G57</f>
        <v>Planificar la demanda institucional en base a históricos de periodos anteriores</v>
      </c>
      <c r="J381" s="20" t="str">
        <f>'Desarrollo infantil'!H57</f>
        <v>Listado certificado  de matriculados de la carrera</v>
      </c>
      <c r="K381" s="62">
        <f>'Desarrollo infantil'!I57</f>
        <v>0.5</v>
      </c>
      <c r="L381" s="160">
        <f>'Desarrollo infantil'!J57</f>
        <v>0</v>
      </c>
      <c r="M381" s="20">
        <f>'Desarrollo infantil'!K57</f>
        <v>0</v>
      </c>
      <c r="N381" s="20">
        <f>'Desarrollo infantil'!L57</f>
        <v>0</v>
      </c>
      <c r="O381" s="20" t="str">
        <f>'Desarrollo infantil'!M57</f>
        <v>Sin evidencias</v>
      </c>
      <c r="P381" s="20">
        <v>2025</v>
      </c>
    </row>
    <row r="382" spans="1:16" ht="14.25" customHeight="1">
      <c r="A382" s="20" t="s">
        <v>487</v>
      </c>
      <c r="B382" s="20" t="str">
        <f>$B$380</f>
        <v>ESTRATEGIA 4</v>
      </c>
      <c r="C382" s="20" t="str">
        <f>$C$380</f>
        <v>OBJETIVO OPERATIVO 1</v>
      </c>
      <c r="D382" s="20" t="b">
        <f>'Desarrollo infantil'!B58</f>
        <v>0</v>
      </c>
      <c r="E382" s="20" t="str">
        <f>'Desarrollo infantil'!C58</f>
        <v>Media</v>
      </c>
      <c r="F382" s="20" t="str">
        <f>'Desarrollo infantil'!D58</f>
        <v>2025-II(fin ciclo)</v>
      </c>
      <c r="G382" s="20" t="str">
        <f>'Desarrollo infantil'!E58</f>
        <v>Análisis de capacidad operativa de la institución.</v>
      </c>
      <c r="H382" s="20" t="str">
        <f>'Desarrollo infantil'!F58</f>
        <v>Director de Carrera
Gestor Académico</v>
      </c>
      <c r="I382" s="20" t="str">
        <f>'Desarrollo infantil'!G58</f>
        <v>Análisis de requerimientos sustantivo y no sustantivo de la carrera</v>
      </c>
      <c r="J382" s="20" t="str">
        <f>'Desarrollo infantil'!H58</f>
        <v>Resolución de aprobación por OCS de Estandarización de Carrera</v>
      </c>
      <c r="K382" s="62">
        <f>'Desarrollo infantil'!I58</f>
        <v>1</v>
      </c>
      <c r="L382" s="160">
        <f>'Desarrollo infantil'!J58</f>
        <v>0</v>
      </c>
      <c r="M382" s="20">
        <f>'Desarrollo infantil'!K58</f>
        <v>0</v>
      </c>
      <c r="N382" s="20">
        <f>'Desarrollo infantil'!L58</f>
        <v>0</v>
      </c>
      <c r="O382" s="20" t="str">
        <f>'Desarrollo infantil'!M58</f>
        <v>Sin evidencias</v>
      </c>
      <c r="P382" s="20">
        <v>2025</v>
      </c>
    </row>
    <row r="383" spans="1:16" ht="14.25" customHeight="1">
      <c r="A383" s="20" t="s">
        <v>488</v>
      </c>
      <c r="B383" s="20" t="str">
        <f>Patrimonio!B10</f>
        <v>ESTRATEGIA 1</v>
      </c>
      <c r="C383" s="20" t="str">
        <f>Patrimonio!E10</f>
        <v>OBJETIVO OPERATIVO 1</v>
      </c>
      <c r="D383" s="20" t="b">
        <f>Patrimonio!B11</f>
        <v>0</v>
      </c>
      <c r="E383" s="20" t="str">
        <f>Patrimonio!C11</f>
        <v>Media</v>
      </c>
      <c r="F383" s="21" t="str">
        <f>Patrimonio!D11</f>
        <v>2025-I ( Inicio ciclo)</v>
      </c>
      <c r="G383" s="20" t="str">
        <f>Patrimonio!E11</f>
        <v>Planificar y estructurar las capacitaciones en el área técnica y didáctica.</v>
      </c>
      <c r="H383" s="20" t="str">
        <f>Patrimonio!F11</f>
        <v>Director/a carrera
Docentes</v>
      </c>
      <c r="I383" s="20" t="str">
        <f>Patrimonio!G11</f>
        <v>Desarrollo del plan de capacitación docente</v>
      </c>
      <c r="J383" s="20" t="str">
        <f>Patrimonio!H11</f>
        <v>Plan de capacitación docente.</v>
      </c>
      <c r="K383" s="62">
        <f>Patrimonio!I11</f>
        <v>0</v>
      </c>
      <c r="L383" s="160">
        <f>Patrimonio!J11</f>
        <v>0</v>
      </c>
      <c r="M383" s="20">
        <f>Patrimonio!K11</f>
        <v>0</v>
      </c>
      <c r="N383" s="20">
        <f>Patrimonio!L11</f>
        <v>0</v>
      </c>
      <c r="O383" s="20" t="str">
        <f>Patrimonio!M11</f>
        <v>carpetas vacias, no hay archivos</v>
      </c>
      <c r="P383" s="20">
        <v>2025</v>
      </c>
    </row>
    <row r="384" spans="1:16" ht="14.25" customHeight="1">
      <c r="A384" s="20" t="s">
        <v>488</v>
      </c>
      <c r="B384" s="20" t="str">
        <f t="shared" ref="B384:B393" si="33">$B$383</f>
        <v>ESTRATEGIA 1</v>
      </c>
      <c r="C384" s="20" t="str">
        <f>$C$383</f>
        <v>OBJETIVO OPERATIVO 1</v>
      </c>
      <c r="D384" s="20" t="b">
        <f>Patrimonio!B12</f>
        <v>0</v>
      </c>
      <c r="E384" s="20" t="str">
        <f>Patrimonio!C12</f>
        <v>Baja</v>
      </c>
      <c r="F384" s="21" t="str">
        <f>Patrimonio!D12</f>
        <v>2025-II ( fin ciclo)</v>
      </c>
      <c r="G384" s="20" t="str">
        <f>Patrimonio!E12</f>
        <v>Ejecutar las capacitaciones planificadas.</v>
      </c>
      <c r="H384" s="20" t="str">
        <f>Patrimonio!F12</f>
        <v>Director/a carrera
Docentes</v>
      </c>
      <c r="I384" s="20" t="str">
        <f>Patrimonio!G12</f>
        <v>informar sobre el plan de capacitación docente</v>
      </c>
      <c r="J384" s="20" t="str">
        <f>Patrimonio!H12</f>
        <v>Informe de ejecución del plan de capacitación docente.</v>
      </c>
      <c r="K384" s="62">
        <f>Patrimonio!I12</f>
        <v>0.5</v>
      </c>
      <c r="L384" s="160">
        <f>Patrimonio!J12</f>
        <v>0</v>
      </c>
      <c r="M384" s="20">
        <f>Patrimonio!K12</f>
        <v>0</v>
      </c>
      <c r="N384" s="20">
        <f>Patrimonio!L12</f>
        <v>0</v>
      </c>
      <c r="O384" s="20" t="str">
        <f>Patrimonio!M12</f>
        <v>NO consta el informe final del ciclo académico 2025-II</v>
      </c>
      <c r="P384" s="20">
        <v>2025</v>
      </c>
    </row>
    <row r="385" spans="1:16" ht="14.25" customHeight="1">
      <c r="A385" s="20" t="s">
        <v>488</v>
      </c>
      <c r="B385" s="20" t="str">
        <f t="shared" si="33"/>
        <v>ESTRATEGIA 1</v>
      </c>
      <c r="C385" s="20" t="str">
        <f>$C$383</f>
        <v>OBJETIVO OPERATIVO 1</v>
      </c>
      <c r="D385" s="20" t="b">
        <f>Patrimonio!B13</f>
        <v>0</v>
      </c>
      <c r="E385" s="20" t="str">
        <f>Patrimonio!C13</f>
        <v>Media</v>
      </c>
      <c r="F385" s="21" t="str">
        <f>Patrimonio!D13</f>
        <v>2024-II( fin ciclo)
2025-I( fin ciclo)</v>
      </c>
      <c r="G385" s="20" t="str">
        <f>Patrimonio!E13</f>
        <v>Entregar los resultados de los procesos de Evaluación al desempeño Docente y acciones realizadas.</v>
      </c>
      <c r="H385" s="20" t="str">
        <f>Patrimonio!F13</f>
        <v>Director/a carrera
Docentes</v>
      </c>
      <c r="I385" s="20" t="str">
        <f>Patrimonio!G13</f>
        <v>Generar una matriz para el registro de entrega de evaluaciones docentes</v>
      </c>
      <c r="J385" s="20" t="str">
        <f>Patrimonio!H13</f>
        <v>Registro de entrega de evaluaciones a los docentes</v>
      </c>
      <c r="K385" s="62">
        <f>Patrimonio!I13</f>
        <v>0.5</v>
      </c>
      <c r="L385" s="160">
        <f>Patrimonio!J13</f>
        <v>0</v>
      </c>
      <c r="M385" s="20">
        <f>Patrimonio!K13</f>
        <v>0</v>
      </c>
      <c r="N385" s="20">
        <f>Patrimonio!L13</f>
        <v>0</v>
      </c>
      <c r="O385" s="20" t="str">
        <f>Patrimonio!M13</f>
        <v>NO consta el registro de entrega de las evaluaciones docentes del ciclo académico 2025-II</v>
      </c>
      <c r="P385" s="20">
        <v>2025</v>
      </c>
    </row>
    <row r="386" spans="1:16" ht="14.25" customHeight="1">
      <c r="A386" s="20" t="s">
        <v>488</v>
      </c>
      <c r="B386" s="20" t="str">
        <f t="shared" si="33"/>
        <v>ESTRATEGIA 1</v>
      </c>
      <c r="C386" s="20" t="str">
        <f>Patrimonio!E14</f>
        <v>OBJETIVO OPERATIVO 2</v>
      </c>
      <c r="D386" s="20" t="b">
        <f>Patrimonio!B15</f>
        <v>0</v>
      </c>
      <c r="E386" s="20" t="str">
        <f>Patrimonio!C15</f>
        <v>Baja</v>
      </c>
      <c r="F386" s="21" t="str">
        <f>Patrimonio!D15</f>
        <v>2025-I (inicio ciclo)
2025-II(inicio ciclo)</v>
      </c>
      <c r="G386" s="20" t="str">
        <f>Patrimonio!E15</f>
        <v>Socializar con los docentes el uso adecuado de la plataforma Moodle.</v>
      </c>
      <c r="H386" s="20" t="str">
        <f>Patrimonio!F15</f>
        <v>Responsable de Moodle de la carrera</v>
      </c>
      <c r="I386" s="20" t="str">
        <f>Patrimonio!G15</f>
        <v>Realizar la socialización y generar un informe sobre el uso del Moodle</v>
      </c>
      <c r="J386" s="20" t="str">
        <f>Patrimonio!H15</f>
        <v>Informe de socialización / inducción a los docentes</v>
      </c>
      <c r="K386" s="62">
        <f>Patrimonio!I15</f>
        <v>0.5</v>
      </c>
      <c r="L386" s="160">
        <f>Patrimonio!J15</f>
        <v>0</v>
      </c>
      <c r="M386" s="20">
        <f>Patrimonio!K15</f>
        <v>0</v>
      </c>
      <c r="N386" s="20">
        <f>Patrimonio!L15</f>
        <v>0</v>
      </c>
      <c r="O386" s="20" t="str">
        <f>Patrimonio!M15</f>
        <v>NO consta el informe del ciclo académico 2025-II</v>
      </c>
      <c r="P386" s="20">
        <v>2025</v>
      </c>
    </row>
    <row r="387" spans="1:16" ht="14.25" customHeight="1">
      <c r="A387" s="20" t="s">
        <v>488</v>
      </c>
      <c r="B387" s="20" t="str">
        <f t="shared" si="33"/>
        <v>ESTRATEGIA 1</v>
      </c>
      <c r="C387" s="20" t="str">
        <f>$C$386</f>
        <v>OBJETIVO OPERATIVO 2</v>
      </c>
      <c r="D387" s="20" t="b">
        <f>Patrimonio!B16</f>
        <v>0</v>
      </c>
      <c r="E387" s="20" t="str">
        <f>Patrimonio!C16</f>
        <v>Media</v>
      </c>
      <c r="F387" s="21" t="str">
        <f>Patrimonio!D16</f>
        <v>2024-II( fin ciclo)
2025-I( fin ciclo)</v>
      </c>
      <c r="G387" s="20" t="str">
        <f>Patrimonio!E16</f>
        <v>Revisar el aporte de cada docente en la plataforma Moodle</v>
      </c>
      <c r="H387" s="20" t="str">
        <f>Patrimonio!F16</f>
        <v>Responsable de Moodle de la carrera</v>
      </c>
      <c r="I387" s="20" t="str">
        <f>Patrimonio!G16</f>
        <v>Controlar el uso adecuado de la plataforma y generar un informe.</v>
      </c>
      <c r="J387" s="20" t="str">
        <f>Patrimonio!H16</f>
        <v>Informe de actividades en la plataforma Moodle.</v>
      </c>
      <c r="K387" s="62">
        <f>Patrimonio!I16</f>
        <v>0.5</v>
      </c>
      <c r="L387" s="160">
        <f>Patrimonio!J16</f>
        <v>0</v>
      </c>
      <c r="M387" s="20">
        <f>Patrimonio!K16</f>
        <v>0</v>
      </c>
      <c r="N387" s="20">
        <f>Patrimonio!L16</f>
        <v>0</v>
      </c>
      <c r="O387" s="20" t="str">
        <f>Patrimonio!M16</f>
        <v>NO consta el informe del ciclo académico 2025-II</v>
      </c>
      <c r="P387" s="20">
        <v>2025</v>
      </c>
    </row>
    <row r="388" spans="1:16" ht="14.25" customHeight="1">
      <c r="A388" s="20" t="s">
        <v>488</v>
      </c>
      <c r="B388" s="20" t="str">
        <f t="shared" si="33"/>
        <v>ESTRATEGIA 1</v>
      </c>
      <c r="C388" s="20" t="str">
        <f>Patrimonio!E17</f>
        <v>OBJETIVO OPERATIVO 3</v>
      </c>
      <c r="D388" s="20" t="b">
        <f>Patrimonio!B18</f>
        <v>0</v>
      </c>
      <c r="E388" s="20" t="str">
        <f>Patrimonio!C18</f>
        <v>Alta</v>
      </c>
      <c r="F388" s="21" t="str">
        <f>Patrimonio!D18</f>
        <v>2025-I(inicio ciclo)
2025-II (inicio ciclo)</v>
      </c>
      <c r="G388" s="20" t="str">
        <f>Patrimonio!E18</f>
        <v>Planificar y desarrollar una reunión del colectivo académico</v>
      </c>
      <c r="H388" s="20" t="str">
        <f>Patrimonio!F18</f>
        <v>Director/a carrera</v>
      </c>
      <c r="I388" s="20" t="str">
        <f>Patrimonio!G18</f>
        <v>Realizar y evidenciar los colectivos académicos</v>
      </c>
      <c r="J388" s="20" t="str">
        <f>Patrimonio!H18</f>
        <v>Convocatoria al colectivo de académico</v>
      </c>
      <c r="K388" s="62">
        <f>Patrimonio!I18</f>
        <v>0.5</v>
      </c>
      <c r="L388" s="160">
        <f>Patrimonio!J18</f>
        <v>0</v>
      </c>
      <c r="M388" s="20">
        <f>Patrimonio!K18</f>
        <v>0</v>
      </c>
      <c r="N388" s="20">
        <f>Patrimonio!L18</f>
        <v>0</v>
      </c>
      <c r="O388" s="20" t="str">
        <f>Patrimonio!M18</f>
        <v>NO consta la convocatoria del ciclo académico 2025-II</v>
      </c>
      <c r="P388" s="20">
        <v>2025</v>
      </c>
    </row>
    <row r="389" spans="1:16" ht="14.25" customHeight="1">
      <c r="A389" s="20" t="s">
        <v>488</v>
      </c>
      <c r="B389" s="20" t="str">
        <f t="shared" si="33"/>
        <v>ESTRATEGIA 1</v>
      </c>
      <c r="C389" s="20" t="str">
        <f>$C$388</f>
        <v>OBJETIVO OPERATIVO 3</v>
      </c>
      <c r="D389" s="20" t="b">
        <f>Patrimonio!B19</f>
        <v>0</v>
      </c>
      <c r="E389" s="20" t="str">
        <f>Patrimonio!C19</f>
        <v>Media</v>
      </c>
      <c r="F389" s="21" t="str">
        <f>Patrimonio!D19</f>
        <v>2024-II(fin de ciclo)
2025-I(fin de ciclo)</v>
      </c>
      <c r="G389" s="20" t="str">
        <f>Patrimonio!E19</f>
        <v>Revisión y actualización de los PEAS</v>
      </c>
      <c r="H389" s="20" t="str">
        <f>Patrimonio!F19</f>
        <v>Director/a carrera
Docentes</v>
      </c>
      <c r="I389" s="20" t="str">
        <f>Patrimonio!G19</f>
        <v>Revisar si la bibliografía de la carrera es la adecuada en colectivos  según PEAS y Colectivos para el acervo bibliográfico</v>
      </c>
      <c r="J389" s="20" t="str">
        <f>Patrimonio!H19</f>
        <v>Acervo bibliográfico de todas las asignaturas de la carrera, Informes de colectivos y PEAS revisados</v>
      </c>
      <c r="K389" s="62">
        <f>Patrimonio!I19</f>
        <v>0.5</v>
      </c>
      <c r="L389" s="160">
        <f>Patrimonio!J19</f>
        <v>0</v>
      </c>
      <c r="M389" s="20">
        <f>Patrimonio!K19</f>
        <v>0</v>
      </c>
      <c r="N389" s="20">
        <f>Patrimonio!L19</f>
        <v>0</v>
      </c>
      <c r="O389" s="20" t="str">
        <f>Patrimonio!M19</f>
        <v>NO constan el acervo bibliográfico y los PEAS del ciclo académico 2025-II</v>
      </c>
      <c r="P389" s="20">
        <v>2025</v>
      </c>
    </row>
    <row r="390" spans="1:16" ht="14.25" customHeight="1">
      <c r="A390" s="20" t="s">
        <v>488</v>
      </c>
      <c r="B390" s="20" t="str">
        <f t="shared" si="33"/>
        <v>ESTRATEGIA 1</v>
      </c>
      <c r="C390" s="20" t="str">
        <f>$C$388</f>
        <v>OBJETIVO OPERATIVO 3</v>
      </c>
      <c r="D390" s="20" t="b">
        <f>Patrimonio!B20</f>
        <v>0</v>
      </c>
      <c r="E390" s="20" t="str">
        <f>Patrimonio!C20</f>
        <v>Media</v>
      </c>
      <c r="F390" s="21" t="str">
        <f>Patrimonio!D20</f>
        <v>2024-II(fin de ciclo)
2025-I(fin de ciclo)</v>
      </c>
      <c r="G390" s="20" t="str">
        <f>Patrimonio!E20</f>
        <v>Actas de reunión por colectivo académico</v>
      </c>
      <c r="H390" s="20" t="str">
        <f>Patrimonio!F20</f>
        <v>Director/a carrera
Docentes</v>
      </c>
      <c r="I390" s="20" t="str">
        <f>Patrimonio!G20</f>
        <v>Evidenciar el trabajo de colectivos</v>
      </c>
      <c r="J390" s="20" t="str">
        <f>Patrimonio!H20</f>
        <v>Actas de colectivos</v>
      </c>
      <c r="K390" s="62">
        <f>Patrimonio!I20</f>
        <v>0.5</v>
      </c>
      <c r="L390" s="160">
        <f>Patrimonio!J20</f>
        <v>0</v>
      </c>
      <c r="M390" s="20">
        <f>Patrimonio!K20</f>
        <v>0</v>
      </c>
      <c r="N390" s="20">
        <f>Patrimonio!L20</f>
        <v>0</v>
      </c>
      <c r="O390" s="20" t="str">
        <f>Patrimonio!M20</f>
        <v>NO constan las actas de colectivos del ciclo académico 2025-II</v>
      </c>
      <c r="P390" s="20">
        <v>2025</v>
      </c>
    </row>
    <row r="391" spans="1:16" ht="14.25" customHeight="1">
      <c r="A391" s="20" t="s">
        <v>488</v>
      </c>
      <c r="B391" s="20" t="str">
        <f t="shared" si="33"/>
        <v>ESTRATEGIA 1</v>
      </c>
      <c r="C391" s="20" t="str">
        <f>Patrimonio!E21</f>
        <v>OBJETIVO OPERATIVO 4</v>
      </c>
      <c r="D391" s="20" t="b">
        <f>Patrimonio!B22</f>
        <v>0</v>
      </c>
      <c r="E391" s="20" t="str">
        <f>Patrimonio!C22</f>
        <v>Baja</v>
      </c>
      <c r="F391" s="21" t="str">
        <f>Patrimonio!D22</f>
        <v>2025-I(inicio ciclo)
2025-II (inicio ciclo)</v>
      </c>
      <c r="G391" s="20" t="str">
        <f>Patrimonio!E22</f>
        <v>Recopilar las fichas de afinidad de los docentes de acuerdo al nivel de estudio.</v>
      </c>
      <c r="H391" s="20" t="str">
        <f>Patrimonio!F22</f>
        <v>Director/a carrera</v>
      </c>
      <c r="I391" s="20" t="str">
        <f>Patrimonio!G22</f>
        <v>Mantener actualizadas las fichas de afinidad de los docentes de acuerdo a la pertinencia en la carrera</v>
      </c>
      <c r="J391" s="20" t="str">
        <f>Patrimonio!H22</f>
        <v>Fichas de afinidad de los docentes.</v>
      </c>
      <c r="K391" s="62">
        <f>Patrimonio!I22</f>
        <v>0.5</v>
      </c>
      <c r="L391" s="160">
        <f>Patrimonio!J22</f>
        <v>0</v>
      </c>
      <c r="M391" s="20">
        <f>Patrimonio!K22</f>
        <v>0</v>
      </c>
      <c r="N391" s="20">
        <f>Patrimonio!L22</f>
        <v>0</v>
      </c>
      <c r="O391" s="20" t="str">
        <f>Patrimonio!M22</f>
        <v>NO constan las fichas de afinidad del ciclo académico 2025-II</v>
      </c>
      <c r="P391" s="20">
        <v>2025</v>
      </c>
    </row>
    <row r="392" spans="1:16" ht="14.25" customHeight="1">
      <c r="A392" s="20" t="s">
        <v>488</v>
      </c>
      <c r="B392" s="20" t="str">
        <f t="shared" si="33"/>
        <v>ESTRATEGIA 1</v>
      </c>
      <c r="C392" s="20" t="str">
        <f>$C$391</f>
        <v>OBJETIVO OPERATIVO 4</v>
      </c>
      <c r="D392" s="20">
        <f>Patrimonio!B23</f>
        <v>0</v>
      </c>
      <c r="E392" s="20" t="str">
        <f>Patrimonio!C23</f>
        <v>Alta</v>
      </c>
      <c r="F392" s="21" t="str">
        <f>Patrimonio!D23</f>
        <v>2025-I(inicio de ciclo)
2025-II(inicio de ciclo)</v>
      </c>
      <c r="G392" s="20" t="str">
        <f>Patrimonio!E23</f>
        <v>Elaboración del distributivo docente de la carrera</v>
      </c>
      <c r="H392" s="20" t="str">
        <f>Patrimonio!F23</f>
        <v>Director/a carrera</v>
      </c>
      <c r="I392" s="20" t="str">
        <f>Patrimonio!G23</f>
        <v>Evidenciar la carga horaria y distributivos de los docentes</v>
      </c>
      <c r="J392" s="20" t="str">
        <f>Patrimonio!H23</f>
        <v>Distributivo docente aprobado.</v>
      </c>
      <c r="K392" s="62">
        <f>Patrimonio!I23</f>
        <v>0.5</v>
      </c>
      <c r="L392" s="160">
        <f>Patrimonio!J23</f>
        <v>0</v>
      </c>
      <c r="M392" s="20">
        <f>Patrimonio!K23</f>
        <v>0</v>
      </c>
      <c r="N392" s="20">
        <f>Patrimonio!L23</f>
        <v>0</v>
      </c>
      <c r="O392" s="20" t="str">
        <f>Patrimonio!M23</f>
        <v>NO consta el distributivo docente del ciclo académico 2025-II</v>
      </c>
      <c r="P392" s="20">
        <v>2025</v>
      </c>
    </row>
    <row r="393" spans="1:16" ht="14.25" customHeight="1">
      <c r="A393" s="20" t="s">
        <v>488</v>
      </c>
      <c r="B393" s="20" t="str">
        <f t="shared" si="33"/>
        <v>ESTRATEGIA 1</v>
      </c>
      <c r="C393" s="20" t="str">
        <f>$C$391</f>
        <v>OBJETIVO OPERATIVO 4</v>
      </c>
      <c r="D393" s="20" t="b">
        <f>Patrimonio!B24</f>
        <v>0</v>
      </c>
      <c r="E393" s="20" t="str">
        <f>Patrimonio!C24</f>
        <v>Media</v>
      </c>
      <c r="F393" s="21" t="str">
        <f>Patrimonio!D24</f>
        <v>2025-I(inicio de ciclo)
2025-II(inicio de ciclo)</v>
      </c>
      <c r="G393" s="20" t="str">
        <f>Patrimonio!E24</f>
        <v>Designar responsables de la administración de la plataforma, tutorías , prácticas, vinculación , etc.</v>
      </c>
      <c r="H393" s="20" t="str">
        <f>Patrimonio!F24</f>
        <v>Director/a carrera</v>
      </c>
      <c r="I393" s="20" t="str">
        <f>Patrimonio!G24</f>
        <v>Realizar las designaciones y evidenciar los responsables y tutores de la carrera</v>
      </c>
      <c r="J393" s="20" t="str">
        <f>Patrimonio!H24</f>
        <v>Oficios de designaciones de responsables.</v>
      </c>
      <c r="K393" s="62">
        <f>Patrimonio!I24</f>
        <v>0.5</v>
      </c>
      <c r="L393" s="160">
        <f>Patrimonio!J24</f>
        <v>0</v>
      </c>
      <c r="M393" s="20">
        <f>Patrimonio!K24</f>
        <v>0</v>
      </c>
      <c r="N393" s="20">
        <f>Patrimonio!L24</f>
        <v>0</v>
      </c>
      <c r="O393" s="20" t="str">
        <f>Patrimonio!M24</f>
        <v>NO constan las designaciones de responsables del ciclo académico 2025-II</v>
      </c>
      <c r="P393" s="20">
        <v>2025</v>
      </c>
    </row>
    <row r="394" spans="1:16" ht="14.25" customHeight="1">
      <c r="A394" s="20" t="s">
        <v>488</v>
      </c>
      <c r="B394" s="20" t="str">
        <f>Patrimonio!B25</f>
        <v>ESTRATEGIA 2</v>
      </c>
      <c r="C394" s="20" t="str">
        <f>Patrimonio!E25</f>
        <v>OBJETIVO OPERATIVO 1</v>
      </c>
      <c r="D394" s="20" t="b">
        <f>Patrimonio!B26</f>
        <v>0</v>
      </c>
      <c r="E394" s="20" t="str">
        <f>Patrimonio!C26</f>
        <v>Alta</v>
      </c>
      <c r="F394" s="21" t="str">
        <f>Patrimonio!D26</f>
        <v>2025-I(Inicio de ciclo)
2025-II(Inicio de ciclo)</v>
      </c>
      <c r="G394" s="20" t="str">
        <f>Patrimonio!E26</f>
        <v>Elaborar y presentar el calendario de actividades de la o las carreras, horarios de clases y laboratorios.</v>
      </c>
      <c r="H394" s="20" t="str">
        <f>Patrimonio!F26</f>
        <v>Director/a carrera</v>
      </c>
      <c r="I394" s="20" t="str">
        <f>Patrimonio!G26</f>
        <v>Realizar los documentos necesarios para el desarrollo de las actividades de cada periodo de la carrera</v>
      </c>
      <c r="J394" s="20" t="str">
        <f>Patrimonio!H26</f>
        <v>Calendario y horarios aprobados</v>
      </c>
      <c r="K394" s="62">
        <f>Patrimonio!I26</f>
        <v>0.5</v>
      </c>
      <c r="L394" s="160">
        <f>Patrimonio!J26</f>
        <v>0</v>
      </c>
      <c r="M394" s="20">
        <f>Patrimonio!K26</f>
        <v>0</v>
      </c>
      <c r="N394" s="20">
        <f>Patrimonio!L26</f>
        <v>0</v>
      </c>
      <c r="O394" s="20" t="str">
        <f>Patrimonio!M26</f>
        <v>NO consta la documentación correspondiente al ciclo 2025-II</v>
      </c>
      <c r="P394" s="20">
        <v>2025</v>
      </c>
    </row>
    <row r="395" spans="1:16" ht="14.25" customHeight="1">
      <c r="A395" s="20" t="s">
        <v>488</v>
      </c>
      <c r="B395" s="20" t="str">
        <f t="shared" ref="B395:B406" si="34">$B$394</f>
        <v>ESTRATEGIA 2</v>
      </c>
      <c r="C395" s="20" t="str">
        <f t="shared" ref="C395:C405" si="35">$C$394</f>
        <v>OBJETIVO OPERATIVO 1</v>
      </c>
      <c r="D395" s="20" t="b">
        <f>Patrimonio!B27</f>
        <v>0</v>
      </c>
      <c r="E395" s="20" t="str">
        <f>Patrimonio!C27</f>
        <v>Media</v>
      </c>
      <c r="F395" s="21" t="str">
        <f>Patrimonio!D27</f>
        <v>2025-I(Todo el ciclo)
2025-II(Todo de ciclo)</v>
      </c>
      <c r="G395" s="20" t="str">
        <f>Patrimonio!E27</f>
        <v>Requerimiento y aprobación de Documentos académicos. (Sílabos, guías practicas e informes de avance de Silabo)</v>
      </c>
      <c r="H395" s="20" t="str">
        <f>Patrimonio!F27</f>
        <v>Director/a carrera - gestor académico</v>
      </c>
      <c r="I395" s="20" t="str">
        <f>Patrimonio!G27</f>
        <v>Solicitud de documentos académicos por materias</v>
      </c>
      <c r="J395" s="20" t="str">
        <f>Patrimonio!H27</f>
        <v>Documentación aprobada.</v>
      </c>
      <c r="K395" s="62">
        <f>Patrimonio!I27</f>
        <v>0.1</v>
      </c>
      <c r="L395" s="160">
        <f>Patrimonio!J27</f>
        <v>0</v>
      </c>
      <c r="M395" s="20">
        <f>Patrimonio!K27</f>
        <v>0</v>
      </c>
      <c r="N395" s="20">
        <f>Patrimonio!L27</f>
        <v>0</v>
      </c>
      <c r="O395" s="20" t="str">
        <f>Patrimonio!M27</f>
        <v>Falta Guias y avances</v>
      </c>
      <c r="P395" s="20">
        <v>2025</v>
      </c>
    </row>
    <row r="396" spans="1:16" ht="14.25" customHeight="1">
      <c r="A396" s="20" t="s">
        <v>488</v>
      </c>
      <c r="B396" s="20" t="str">
        <f t="shared" si="34"/>
        <v>ESTRATEGIA 2</v>
      </c>
      <c r="C396" s="20" t="str">
        <f t="shared" si="35"/>
        <v>OBJETIVO OPERATIVO 1</v>
      </c>
      <c r="D396" s="20" t="b">
        <f>Patrimonio!B28</f>
        <v>0</v>
      </c>
      <c r="E396" s="20" t="str">
        <f>Patrimonio!C28</f>
        <v>Media</v>
      </c>
      <c r="F396" s="21" t="str">
        <f>Patrimonio!D28</f>
        <v>2025-I(Todo el ciclo)
2025-II(Todo de ciclo)</v>
      </c>
      <c r="G396" s="20" t="str">
        <f>Patrimonio!E28</f>
        <v>Seguimiento al cumplimiento de la documentación académica.</v>
      </c>
      <c r="H396" s="20" t="str">
        <f>Patrimonio!F28</f>
        <v>Director/a carrera - gestor académico</v>
      </c>
      <c r="I396" s="20" t="str">
        <f>Patrimonio!G28</f>
        <v>Revisión de documentos académicos por materias</v>
      </c>
      <c r="J396" s="20" t="str">
        <f>Patrimonio!H28</f>
        <v>Informe de carrera sobre la documentación recibida.</v>
      </c>
      <c r="K396" s="62">
        <f>Patrimonio!I28</f>
        <v>0.5</v>
      </c>
      <c r="L396" s="160">
        <f>Patrimonio!J28</f>
        <v>0</v>
      </c>
      <c r="M396" s="20">
        <f>Patrimonio!K28</f>
        <v>0</v>
      </c>
      <c r="N396" s="20">
        <f>Patrimonio!L28</f>
        <v>0</v>
      </c>
      <c r="O396" s="20" t="str">
        <f>Patrimonio!M28</f>
        <v>NO consta el informe correspondiente al ciclo 2025-II</v>
      </c>
      <c r="P396" s="20">
        <v>2025</v>
      </c>
    </row>
    <row r="397" spans="1:16" ht="14.25" customHeight="1">
      <c r="A397" s="20" t="s">
        <v>488</v>
      </c>
      <c r="B397" s="20" t="str">
        <f t="shared" si="34"/>
        <v>ESTRATEGIA 2</v>
      </c>
      <c r="C397" s="20" t="str">
        <f t="shared" si="35"/>
        <v>OBJETIVO OPERATIVO 1</v>
      </c>
      <c r="D397" s="20" t="b">
        <f>Patrimonio!B29</f>
        <v>0</v>
      </c>
      <c r="E397" s="20" t="str">
        <f>Patrimonio!C29</f>
        <v>Baja</v>
      </c>
      <c r="F397" s="21" t="str">
        <f>Patrimonio!D29</f>
        <v>2025-I(Todo el ciclo)
2025-II(Todo de ciclo)</v>
      </c>
      <c r="G397" s="20" t="str">
        <f>Patrimonio!E29</f>
        <v>Reuniones de carrera  para socialización y toma de decisiones</v>
      </c>
      <c r="H397" s="20" t="str">
        <f>Patrimonio!F29</f>
        <v>Director/a carrera - gestor académico</v>
      </c>
      <c r="I397" s="20" t="str">
        <f>Patrimonio!G29</f>
        <v>Reuniones de carrera de acuerdo a requerimientos</v>
      </c>
      <c r="J397" s="20" t="str">
        <f>Patrimonio!H29</f>
        <v>Convocatorias, actas e informes de reuniones de carrera.</v>
      </c>
      <c r="K397" s="62">
        <f>Patrimonio!I29</f>
        <v>0.5</v>
      </c>
      <c r="L397" s="160">
        <f>Patrimonio!J29</f>
        <v>0</v>
      </c>
      <c r="M397" s="20">
        <f>Patrimonio!K29</f>
        <v>0</v>
      </c>
      <c r="N397" s="20">
        <f>Patrimonio!L29</f>
        <v>0</v>
      </c>
      <c r="O397" s="20" t="str">
        <f>Patrimonio!M29</f>
        <v>NO consta la documentación correspondiente al ciclo 2025-II</v>
      </c>
      <c r="P397" s="20">
        <v>2025</v>
      </c>
    </row>
    <row r="398" spans="1:16" ht="14.25" customHeight="1">
      <c r="A398" s="20" t="s">
        <v>488</v>
      </c>
      <c r="B398" s="20" t="str">
        <f t="shared" si="34"/>
        <v>ESTRATEGIA 2</v>
      </c>
      <c r="C398" s="20" t="str">
        <f t="shared" si="35"/>
        <v>OBJETIVO OPERATIVO 1</v>
      </c>
      <c r="D398" s="20" t="b">
        <f>Patrimonio!B30</f>
        <v>0</v>
      </c>
      <c r="E398" s="20" t="str">
        <f>Patrimonio!C30</f>
        <v>Baja</v>
      </c>
      <c r="F398" s="21">
        <f>Patrimonio!D30</f>
        <v>45838</v>
      </c>
      <c r="G398" s="20" t="str">
        <f>Patrimonio!E30</f>
        <v>Informe semestral POA 2025</v>
      </c>
      <c r="H398" s="20" t="str">
        <f>Patrimonio!F30</f>
        <v>Director/a carrera - gestor académico</v>
      </c>
      <c r="I398" s="20" t="str">
        <f>Patrimonio!G30</f>
        <v>Informar sobre el avance del  POA</v>
      </c>
      <c r="J398" s="20" t="str">
        <f>Patrimonio!H30</f>
        <v>Informe semestral seguimiento POA 2025</v>
      </c>
      <c r="K398" s="62">
        <f>Patrimonio!I30</f>
        <v>1</v>
      </c>
      <c r="L398" s="160">
        <f>Patrimonio!J30</f>
        <v>0</v>
      </c>
      <c r="M398" s="20">
        <f>Patrimonio!K30</f>
        <v>0</v>
      </c>
      <c r="N398" s="20">
        <f>Patrimonio!L30</f>
        <v>0</v>
      </c>
      <c r="O398" s="20">
        <f>Patrimonio!M30</f>
        <v>0</v>
      </c>
      <c r="P398" s="20">
        <v>2025</v>
      </c>
    </row>
    <row r="399" spans="1:16" ht="14.25" customHeight="1">
      <c r="A399" s="20" t="s">
        <v>488</v>
      </c>
      <c r="B399" s="20" t="str">
        <f t="shared" si="34"/>
        <v>ESTRATEGIA 2</v>
      </c>
      <c r="C399" s="20" t="str">
        <f t="shared" si="35"/>
        <v>OBJETIVO OPERATIVO 1</v>
      </c>
      <c r="D399" s="20" t="b">
        <f>Patrimonio!B31</f>
        <v>0</v>
      </c>
      <c r="E399" s="20" t="str">
        <f>Patrimonio!C31</f>
        <v>Baja</v>
      </c>
      <c r="F399" s="21">
        <f>Patrimonio!D31</f>
        <v>45991</v>
      </c>
      <c r="G399" s="20" t="str">
        <f>Patrimonio!E31</f>
        <v>Informe final POA 2025</v>
      </c>
      <c r="H399" s="20" t="str">
        <f>Patrimonio!F31</f>
        <v>Director/a carrera - gestor académico</v>
      </c>
      <c r="I399" s="20" t="str">
        <f>Patrimonio!G31</f>
        <v>Informar sobre el alcance final del  POA</v>
      </c>
      <c r="J399" s="20" t="str">
        <f>Patrimonio!H31</f>
        <v>Informe final POA 2025</v>
      </c>
      <c r="K399" s="62">
        <f>Patrimonio!I31</f>
        <v>1</v>
      </c>
      <c r="L399" s="160">
        <f>Patrimonio!J31</f>
        <v>0</v>
      </c>
      <c r="M399" s="20">
        <f>Patrimonio!K31</f>
        <v>0</v>
      </c>
      <c r="N399" s="20">
        <f>Patrimonio!L31</f>
        <v>0</v>
      </c>
      <c r="O399" s="20">
        <f>Patrimonio!M31</f>
        <v>0</v>
      </c>
      <c r="P399" s="20">
        <v>2025</v>
      </c>
    </row>
    <row r="400" spans="1:16" ht="14.25" customHeight="1">
      <c r="A400" s="20" t="s">
        <v>488</v>
      </c>
      <c r="B400" s="20" t="str">
        <f t="shared" si="34"/>
        <v>ESTRATEGIA 2</v>
      </c>
      <c r="C400" s="20" t="str">
        <f t="shared" si="35"/>
        <v>OBJETIVO OPERATIVO 1</v>
      </c>
      <c r="D400" s="20" t="b">
        <f>Patrimonio!B32</f>
        <v>0</v>
      </c>
      <c r="E400" s="20" t="str">
        <f>Patrimonio!C32</f>
        <v>Baja</v>
      </c>
      <c r="F400" s="21">
        <f>Patrimonio!D32</f>
        <v>46011</v>
      </c>
      <c r="G400" s="20" t="str">
        <f>Patrimonio!E32</f>
        <v>Elaborar la Planificación Operativa Anual 2025</v>
      </c>
      <c r="H400" s="20" t="str">
        <f>Patrimonio!F32</f>
        <v>Director/a carrera - gestor académico</v>
      </c>
      <c r="I400" s="20" t="str">
        <f>Patrimonio!G32</f>
        <v>Realizar la planificación para el 2026</v>
      </c>
      <c r="J400" s="20" t="str">
        <f>Patrimonio!H32</f>
        <v>POA 2026</v>
      </c>
      <c r="K400" s="62">
        <f>Patrimonio!I32</f>
        <v>1</v>
      </c>
      <c r="L400" s="160">
        <f>Patrimonio!J32</f>
        <v>0</v>
      </c>
      <c r="M400" s="20">
        <f>Patrimonio!K32</f>
        <v>0</v>
      </c>
      <c r="N400" s="20">
        <f>Patrimonio!L32</f>
        <v>0</v>
      </c>
      <c r="O400" s="20">
        <f>Patrimonio!M32</f>
        <v>0</v>
      </c>
      <c r="P400" s="20">
        <v>2025</v>
      </c>
    </row>
    <row r="401" spans="1:16" ht="14.25" customHeight="1">
      <c r="A401" s="20" t="s">
        <v>488</v>
      </c>
      <c r="B401" s="20" t="str">
        <f t="shared" si="34"/>
        <v>ESTRATEGIA 2</v>
      </c>
      <c r="C401" s="20" t="str">
        <f t="shared" si="35"/>
        <v>OBJETIVO OPERATIVO 1</v>
      </c>
      <c r="D401" s="20" t="b">
        <f>Patrimonio!B33</f>
        <v>0</v>
      </c>
      <c r="E401" s="20" t="str">
        <f>Patrimonio!C33</f>
        <v>Media</v>
      </c>
      <c r="F401" s="21" t="str">
        <f>Patrimonio!D33</f>
        <v>2025-I (inicio de ciclo)
2025-II (inicio de ciclo)</v>
      </c>
      <c r="G401" s="20" t="str">
        <f>Patrimonio!E33</f>
        <v>Designación de tutores de curso</v>
      </c>
      <c r="H401" s="20" t="str">
        <f>Patrimonio!F33</f>
        <v>Director/a carrera</v>
      </c>
      <c r="I401" s="20" t="str">
        <f>Patrimonio!G33</f>
        <v>Realizar las designaciones y evidenciar los responsables y tutores de la carrera</v>
      </c>
      <c r="J401" s="20" t="str">
        <f>Patrimonio!H33</f>
        <v>Documento de designación de tutores por parte del director de carrera</v>
      </c>
      <c r="K401" s="62">
        <f>Patrimonio!I33</f>
        <v>0.5</v>
      </c>
      <c r="L401" s="160">
        <f>Patrimonio!J33</f>
        <v>0</v>
      </c>
      <c r="M401" s="20">
        <f>Patrimonio!K33</f>
        <v>0</v>
      </c>
      <c r="N401" s="20">
        <f>Patrimonio!L33</f>
        <v>0</v>
      </c>
      <c r="O401" s="20" t="str">
        <f>Patrimonio!M33</f>
        <v>NO consta la documentación correspondiente al ciclo 2025-II</v>
      </c>
      <c r="P401" s="20">
        <v>2025</v>
      </c>
    </row>
    <row r="402" spans="1:16" ht="14.25" customHeight="1">
      <c r="A402" s="20" t="s">
        <v>488</v>
      </c>
      <c r="B402" s="20" t="str">
        <f t="shared" si="34"/>
        <v>ESTRATEGIA 2</v>
      </c>
      <c r="C402" s="20" t="str">
        <f t="shared" si="35"/>
        <v>OBJETIVO OPERATIVO 1</v>
      </c>
      <c r="D402" s="20" t="b">
        <f>Patrimonio!B34</f>
        <v>0</v>
      </c>
      <c r="E402" s="20" t="str">
        <f>Patrimonio!C34</f>
        <v>Media</v>
      </c>
      <c r="F402" s="21" t="str">
        <f>Patrimonio!D34</f>
        <v>2025-I(Todo el ciclo)
2025-II(Todo el ciclo)</v>
      </c>
      <c r="G402" s="20" t="str">
        <f>Patrimonio!E34</f>
        <v>Ejecutar las actividades de la fase de SEGUIMIENTO del modelo metodológico del proceso de Seguimiento Curricular</v>
      </c>
      <c r="H402" s="20" t="str">
        <f>Patrimonio!F34</f>
        <v>Director/a de carrera - Gestor/a académico
Tutores de curso</v>
      </c>
      <c r="I402" s="20" t="str">
        <f>Patrimonio!G34</f>
        <v>Realizar el Seguimiento del modelo metodológico</v>
      </c>
      <c r="J402" s="20" t="str">
        <f>Patrimonio!H34</f>
        <v>Fase SEGUIMIENTO:
INICIO: Socialización de Tutorías Académicas
DURANTE: Registro de Calificaciones del Primer Parcial
FINAL : Registro de Calificación Finales</v>
      </c>
      <c r="K402" s="62">
        <f>Patrimonio!I34</f>
        <v>0</v>
      </c>
      <c r="L402" s="160">
        <f>Patrimonio!J34</f>
        <v>0</v>
      </c>
      <c r="M402" s="20">
        <f>Patrimonio!K34</f>
        <v>0</v>
      </c>
      <c r="N402" s="20">
        <f>Patrimonio!L34</f>
        <v>0</v>
      </c>
      <c r="O402" s="20" t="str">
        <f>Patrimonio!M34</f>
        <v>Debe de ser del 2025 I</v>
      </c>
      <c r="P402" s="20">
        <v>2025</v>
      </c>
    </row>
    <row r="403" spans="1:16" ht="14.25" customHeight="1">
      <c r="A403" s="20" t="s">
        <v>488</v>
      </c>
      <c r="B403" s="20" t="str">
        <f t="shared" si="34"/>
        <v>ESTRATEGIA 2</v>
      </c>
      <c r="C403" s="20" t="str">
        <f t="shared" si="35"/>
        <v>OBJETIVO OPERATIVO 1</v>
      </c>
      <c r="D403" s="20" t="b">
        <f>Patrimonio!B35</f>
        <v>0</v>
      </c>
      <c r="E403" s="20" t="str">
        <f>Patrimonio!C35</f>
        <v>Media</v>
      </c>
      <c r="F403" s="21" t="str">
        <f>Patrimonio!D35</f>
        <v>2025-I(Todo el ciclo)
2025-II(Todo el ciclo)</v>
      </c>
      <c r="G403" s="20" t="str">
        <f>Patrimonio!E35</f>
        <v>Ejecutar las actividades de la fase de CONTROL del modelo metodológico del proceso de Seguimiento Curricular</v>
      </c>
      <c r="H403" s="20" t="str">
        <f>Patrimonio!F35</f>
        <v>Director/a de carrera - Gestor/a académico
Tutores de curso</v>
      </c>
      <c r="I403" s="20" t="str">
        <f>Patrimonio!G35</f>
        <v>Realizar el Control del modelo metodológico</v>
      </c>
      <c r="J403" s="20" t="str">
        <f>Patrimonio!H35</f>
        <v>Fase CONTROL:
INICIO: Matriz consolidada de resultados de Pruebas de Diagnostico
DURANTE: Matriz consolidada de resultados de Calificaciones del Primer Parcial
FINAL : Matriz consolidada de resultados de Calificaciones Finales</v>
      </c>
      <c r="K403" s="62">
        <f>Patrimonio!I35</f>
        <v>0</v>
      </c>
      <c r="L403" s="160">
        <f>Patrimonio!J35</f>
        <v>0</v>
      </c>
      <c r="M403" s="20">
        <f>Patrimonio!K35</f>
        <v>0</v>
      </c>
      <c r="N403" s="20">
        <f>Patrimonio!L35</f>
        <v>0</v>
      </c>
      <c r="O403" s="20" t="str">
        <f>Patrimonio!M35</f>
        <v>Debe de ser del 2025 I</v>
      </c>
      <c r="P403" s="20">
        <v>2025</v>
      </c>
    </row>
    <row r="404" spans="1:16" ht="14.25" customHeight="1">
      <c r="A404" s="20" t="s">
        <v>488</v>
      </c>
      <c r="B404" s="20" t="str">
        <f t="shared" si="34"/>
        <v>ESTRATEGIA 2</v>
      </c>
      <c r="C404" s="20" t="str">
        <f t="shared" si="35"/>
        <v>OBJETIVO OPERATIVO 1</v>
      </c>
      <c r="D404" s="20" t="b">
        <f>Patrimonio!B36</f>
        <v>0</v>
      </c>
      <c r="E404" s="20" t="str">
        <f>Patrimonio!C36</f>
        <v>Media</v>
      </c>
      <c r="F404" s="21" t="str">
        <f>Patrimonio!D36</f>
        <v>2025-I(Todo el ciclo)
2025-II(Todo el ciclo)</v>
      </c>
      <c r="G404" s="20" t="str">
        <f>Patrimonio!E36</f>
        <v>Ejecutar las actividades de la fase de EVALUACIÓN del modelo metodológico del proceso de Seguimiento Curricular</v>
      </c>
      <c r="H404" s="20" t="str">
        <f>Patrimonio!F36</f>
        <v>Director/a de carrera - Gestor/a académico
Tutores de curso</v>
      </c>
      <c r="I404" s="20" t="str">
        <f>Patrimonio!G36</f>
        <v>Realizar la Evaluación del modelo metodológico</v>
      </c>
      <c r="J404" s="20" t="str">
        <f>Patrimonio!H36</f>
        <v>Fase EVALAUCIÓN:
INICIO: Acta de reunión de inicio de ciclo estudiantes
DURANTE: Acta de reunión del Primer Parcial Docentes - Estudiantes
FINAL : Acta de reunión Final - Docentes - Estudiantes</v>
      </c>
      <c r="K404" s="62">
        <f>Patrimonio!I36</f>
        <v>0</v>
      </c>
      <c r="L404" s="160">
        <f>Patrimonio!J36</f>
        <v>0</v>
      </c>
      <c r="M404" s="20">
        <f>Patrimonio!K36</f>
        <v>0</v>
      </c>
      <c r="N404" s="20">
        <f>Patrimonio!L36</f>
        <v>0</v>
      </c>
      <c r="O404" s="20" t="str">
        <f>Patrimonio!M36</f>
        <v>Debe de ser del 2025 I</v>
      </c>
      <c r="P404" s="20">
        <v>2025</v>
      </c>
    </row>
    <row r="405" spans="1:16" ht="14.25" customHeight="1">
      <c r="A405" s="20" t="s">
        <v>488</v>
      </c>
      <c r="B405" s="20" t="str">
        <f t="shared" si="34"/>
        <v>ESTRATEGIA 2</v>
      </c>
      <c r="C405" s="20" t="str">
        <f t="shared" si="35"/>
        <v>OBJETIVO OPERATIVO 1</v>
      </c>
      <c r="D405" s="20" t="b">
        <f>Patrimonio!B37</f>
        <v>0</v>
      </c>
      <c r="E405" s="20" t="str">
        <f>Patrimonio!C37</f>
        <v>Baja</v>
      </c>
      <c r="F405" s="21" t="str">
        <f>Patrimonio!D37</f>
        <v>2024-II(Fin de ciclo)
2025-I(Fin de Ciclo)</v>
      </c>
      <c r="G405" s="20" t="str">
        <f>Patrimonio!E37</f>
        <v>Elaboración del Plan de Mejoramiento del proceso enseñanza aprendizaje</v>
      </c>
      <c r="H405" s="20" t="str">
        <f>Patrimonio!F37</f>
        <v>Director/a carrera
Responsable de Seguimiento a graduados de la carrera</v>
      </c>
      <c r="I405" s="20" t="str">
        <f>Patrimonio!G37</f>
        <v>De acuerdo a los resultados generar el Plan de Mejoramiento enseñanza aprendizaje</v>
      </c>
      <c r="J405" s="20" t="str">
        <f>Patrimonio!H37</f>
        <v>Informe de plan de mejoramiento curricular</v>
      </c>
      <c r="K405" s="62">
        <f>Patrimonio!I37</f>
        <v>0.5</v>
      </c>
      <c r="L405" s="160">
        <f>Patrimonio!J37</f>
        <v>0</v>
      </c>
      <c r="M405" s="20">
        <f>Patrimonio!K37</f>
        <v>0</v>
      </c>
      <c r="N405" s="20">
        <f>Patrimonio!L37</f>
        <v>0</v>
      </c>
      <c r="O405" s="20" t="str">
        <f>Patrimonio!M37</f>
        <v>NO consta el informe de plan de mejoramiento curricular del ciclo académico 2025-I</v>
      </c>
      <c r="P405" s="20">
        <v>2025</v>
      </c>
    </row>
    <row r="406" spans="1:16" ht="14.25" customHeight="1">
      <c r="A406" s="20" t="s">
        <v>488</v>
      </c>
      <c r="B406" s="20" t="str">
        <f t="shared" si="34"/>
        <v>ESTRATEGIA 2</v>
      </c>
      <c r="C406" s="20" t="str">
        <f>Patrimonio!E38</f>
        <v>OBJETIVO OPERATIVO 2</v>
      </c>
      <c r="D406" s="20" t="b">
        <f>Patrimonio!B39</f>
        <v>1</v>
      </c>
      <c r="E406" s="20" t="str">
        <f>Patrimonio!C39</f>
        <v>Media</v>
      </c>
      <c r="F406" s="21" t="str">
        <f>Patrimonio!D39</f>
        <v>2025-II(Inicio de ciclo)</v>
      </c>
      <c r="G406" s="20" t="str">
        <f>Patrimonio!E39</f>
        <v>Diseñar, gestionar e implementar cursos o programas de inducción y de actualización para docentes y estudiantes.</v>
      </c>
      <c r="H406" s="20" t="str">
        <f>Patrimonio!F39</f>
        <v>Director/a carrera - gestor académico</v>
      </c>
      <c r="I406" s="20" t="str">
        <f>Patrimonio!G39</f>
        <v>Generar la capacitación docente</v>
      </c>
      <c r="J406" s="20" t="str">
        <f>Patrimonio!H39</f>
        <v>Informes de cursos y o programas.</v>
      </c>
      <c r="K406" s="62">
        <f>Patrimonio!I39</f>
        <v>0.5</v>
      </c>
      <c r="L406" s="160">
        <f>Patrimonio!J39</f>
        <v>0</v>
      </c>
      <c r="M406" s="20">
        <f>Patrimonio!K39</f>
        <v>0</v>
      </c>
      <c r="N406" s="20">
        <f>Patrimonio!L39</f>
        <v>0</v>
      </c>
      <c r="O406" s="20" t="str">
        <f>Patrimonio!M39</f>
        <v>NO consta el informe del ciclo académico 2025-II</v>
      </c>
      <c r="P406" s="20">
        <v>2025</v>
      </c>
    </row>
    <row r="407" spans="1:16" ht="14.25" customHeight="1">
      <c r="A407" s="20" t="s">
        <v>488</v>
      </c>
      <c r="B407" s="20" t="str">
        <f>$B$406</f>
        <v>ESTRATEGIA 2</v>
      </c>
      <c r="C407" s="20" t="str">
        <f>$C$406</f>
        <v>OBJETIVO OPERATIVO 2</v>
      </c>
      <c r="D407" s="20" t="b">
        <f>Patrimonio!B40</f>
        <v>1</v>
      </c>
      <c r="E407" s="20" t="str">
        <f>Patrimonio!C40</f>
        <v>Media</v>
      </c>
      <c r="F407" s="21" t="str">
        <f>Patrimonio!D40</f>
        <v>2025-II(Inicio de ciclo)</v>
      </c>
      <c r="G407" s="20" t="str">
        <f>Patrimonio!E40</f>
        <v>Capacitar a los estudiantes sobre la utilización de la Plataforma Moodle.</v>
      </c>
      <c r="H407" s="20" t="str">
        <f>Patrimonio!F40</f>
        <v>responsable plataforma Moodle de la carrera</v>
      </c>
      <c r="I407" s="20" t="str">
        <f>Patrimonio!G40</f>
        <v>Generar la capacitación estudiantil sobre el Moodle</v>
      </c>
      <c r="J407" s="20" t="str">
        <f>Patrimonio!H40</f>
        <v>Informe sobre la capacitación</v>
      </c>
      <c r="K407" s="62">
        <f>Patrimonio!I40</f>
        <v>0</v>
      </c>
      <c r="L407" s="160">
        <f>Patrimonio!J40</f>
        <v>0</v>
      </c>
      <c r="M407" s="20">
        <f>Patrimonio!K40</f>
        <v>0</v>
      </c>
      <c r="N407" s="20">
        <f>Patrimonio!L40</f>
        <v>0</v>
      </c>
      <c r="O407" s="20" t="str">
        <f>Patrimonio!M40</f>
        <v>NO consta el informe sobre la capacitación.</v>
      </c>
      <c r="P407" s="20">
        <v>2025</v>
      </c>
    </row>
    <row r="408" spans="1:16" ht="14.25" customHeight="1">
      <c r="A408" s="20" t="s">
        <v>488</v>
      </c>
      <c r="B408" s="20" t="str">
        <f>$B$406</f>
        <v>ESTRATEGIA 2</v>
      </c>
      <c r="C408" s="20" t="str">
        <f>$C$406</f>
        <v>OBJETIVO OPERATIVO 2</v>
      </c>
      <c r="D408" s="20" t="b">
        <f>Patrimonio!B41</f>
        <v>1</v>
      </c>
      <c r="E408" s="20" t="str">
        <f>Patrimonio!C41</f>
        <v>Baja</v>
      </c>
      <c r="F408" s="21" t="str">
        <f>Patrimonio!D41</f>
        <v>2025-II(Fin de ciclo)</v>
      </c>
      <c r="G408" s="20" t="str">
        <f>Patrimonio!E41</f>
        <v>Elaborar y ejecutar la planificación de oferta complementaria.</v>
      </c>
      <c r="H408" s="20" t="str">
        <f>Patrimonio!F41</f>
        <v>Docentes de la carrera</v>
      </c>
      <c r="I408" s="20" t="str">
        <f>Patrimonio!G41</f>
        <v>Analizar y realizar la oferta complementaria</v>
      </c>
      <c r="J408" s="20" t="str">
        <f>Patrimonio!H41</f>
        <v>Informe de ejecución de la oferta complementaria.</v>
      </c>
      <c r="K408" s="62">
        <f>Patrimonio!I41</f>
        <v>0</v>
      </c>
      <c r="L408" s="160">
        <f>Patrimonio!J41</f>
        <v>0</v>
      </c>
      <c r="M408" s="20">
        <f>Patrimonio!K41</f>
        <v>0</v>
      </c>
      <c r="N408" s="20">
        <f>Patrimonio!L41</f>
        <v>0</v>
      </c>
      <c r="O408" s="20" t="str">
        <f>Patrimonio!M41</f>
        <v>NO consta el informe de ejecución de la oferta complementaria.</v>
      </c>
      <c r="P408" s="20">
        <v>2025</v>
      </c>
    </row>
    <row r="409" spans="1:16" ht="14.25" customHeight="1">
      <c r="A409" s="20" t="s">
        <v>488</v>
      </c>
      <c r="B409" s="20" t="str">
        <f>$B$408</f>
        <v>ESTRATEGIA 2</v>
      </c>
      <c r="C409" s="20" t="str">
        <f>Patrimonio!E42</f>
        <v>OBJETIVO OPERATIVO 3</v>
      </c>
      <c r="D409" s="20" t="b">
        <f>Patrimonio!B43</f>
        <v>1</v>
      </c>
      <c r="E409" s="20" t="str">
        <f>Patrimonio!C43</f>
        <v>Alta</v>
      </c>
      <c r="F409" s="21" t="str">
        <f>Patrimonio!D43</f>
        <v>2025-I(Inicio de ciclo)</v>
      </c>
      <c r="G409" s="20" t="str">
        <f>Patrimonio!E43</f>
        <v>Revisión de requisitos de la opción de titulación de los estudiantes.</v>
      </c>
      <c r="H409" s="20" t="str">
        <f>Patrimonio!F43</f>
        <v>Director de carrera / Coordinador de carreras</v>
      </c>
      <c r="I409" s="20" t="str">
        <f>Patrimonio!G43</f>
        <v>Realizar el análisis de la opción de titulación para los estudiantes</v>
      </c>
      <c r="J409" s="20" t="str">
        <f>Patrimonio!H43</f>
        <v>Recopilar los documentos de los estudiantes de titulación.</v>
      </c>
      <c r="K409" s="62">
        <f>Patrimonio!I43</f>
        <v>0.5</v>
      </c>
      <c r="L409" s="160">
        <f>Patrimonio!J43</f>
        <v>0</v>
      </c>
      <c r="M409" s="20">
        <f>Patrimonio!K43</f>
        <v>0</v>
      </c>
      <c r="N409" s="20">
        <f>Patrimonio!L43</f>
        <v>0</v>
      </c>
      <c r="O409" s="20" t="str">
        <f>Patrimonio!M43</f>
        <v>NO consta la documentación del 2025-I</v>
      </c>
      <c r="P409" s="20">
        <v>2025</v>
      </c>
    </row>
    <row r="410" spans="1:16" ht="14.25" customHeight="1">
      <c r="A410" s="20" t="s">
        <v>488</v>
      </c>
      <c r="B410" s="20" t="str">
        <f>$B$408</f>
        <v>ESTRATEGIA 2</v>
      </c>
      <c r="C410" s="20" t="str">
        <f>$C$409</f>
        <v>OBJETIVO OPERATIVO 3</v>
      </c>
      <c r="D410" s="20" t="b">
        <f>Patrimonio!B44</f>
        <v>1</v>
      </c>
      <c r="E410" s="20" t="str">
        <f>Patrimonio!C44</f>
        <v>Alta</v>
      </c>
      <c r="F410" s="21" t="str">
        <f>Patrimonio!D44</f>
        <v>2025-I(Inicio de ciclo)</v>
      </c>
      <c r="G410" s="20" t="str">
        <f>Patrimonio!E44</f>
        <v>Coordinación para aprobación de documentación de la integración curricular.</v>
      </c>
      <c r="H410" s="20" t="str">
        <f>Patrimonio!F44</f>
        <v>Director de carrera / Coordinador de carreras</v>
      </c>
      <c r="I410" s="20" t="str">
        <f>Patrimonio!G44</f>
        <v>Revisar y coordinar la aprobación de documentos para el ingreso a la unidad de integración curricular</v>
      </c>
      <c r="J410" s="20" t="str">
        <f>Patrimonio!H44</f>
        <v>Aprobación de la documentación a titulación.</v>
      </c>
      <c r="K410" s="62">
        <f>Patrimonio!I44</f>
        <v>0.5</v>
      </c>
      <c r="L410" s="160">
        <f>Patrimonio!J44</f>
        <v>0</v>
      </c>
      <c r="M410" s="20">
        <f>Patrimonio!K44</f>
        <v>0</v>
      </c>
      <c r="N410" s="20">
        <f>Patrimonio!L44</f>
        <v>0</v>
      </c>
      <c r="O410" s="20" t="str">
        <f>Patrimonio!M44</f>
        <v>NO consta la documentación del 2025-I</v>
      </c>
      <c r="P410" s="20">
        <v>2025</v>
      </c>
    </row>
    <row r="411" spans="1:16" ht="14.25" customHeight="1">
      <c r="A411" s="20" t="s">
        <v>488</v>
      </c>
      <c r="B411" s="20" t="str">
        <f>$B$410</f>
        <v>ESTRATEGIA 2</v>
      </c>
      <c r="C411" s="20" t="str">
        <f>$C$409</f>
        <v>OBJETIVO OPERATIVO 3</v>
      </c>
      <c r="D411" s="20" t="b">
        <f>Patrimonio!B45</f>
        <v>1</v>
      </c>
      <c r="E411" s="20" t="str">
        <f>Patrimonio!C45</f>
        <v>Alta</v>
      </c>
      <c r="F411" s="21" t="str">
        <f>Patrimonio!D45</f>
        <v>2025-I(Fin de ciclo)</v>
      </c>
      <c r="G411" s="20" t="str">
        <f>Patrimonio!E45</f>
        <v>Coordinación del evento de incorporación.</v>
      </c>
      <c r="H411" s="20" t="str">
        <f>Patrimonio!F45</f>
        <v>Director de carrera / Coordinador de carreras</v>
      </c>
      <c r="I411" s="20" t="str">
        <f>Patrimonio!G45</f>
        <v>Realizar la lista de estudiantes a titularse</v>
      </c>
      <c r="J411" s="20" t="str">
        <f>Patrimonio!H45</f>
        <v>Matriz de datos de estudiantes a titularse</v>
      </c>
      <c r="K411" s="62">
        <f>Patrimonio!I45</f>
        <v>0.5</v>
      </c>
      <c r="L411" s="160">
        <f>Patrimonio!J45</f>
        <v>0</v>
      </c>
      <c r="M411" s="20">
        <f>Patrimonio!K45</f>
        <v>0</v>
      </c>
      <c r="N411" s="20">
        <f>Patrimonio!L45</f>
        <v>0</v>
      </c>
      <c r="O411" s="20" t="str">
        <f>Patrimonio!M45</f>
        <v>NO consta la documentación del 2025-I</v>
      </c>
      <c r="P411" s="20">
        <v>2025</v>
      </c>
    </row>
    <row r="412" spans="1:16" ht="14.25" customHeight="1">
      <c r="A412" s="20" t="s">
        <v>488</v>
      </c>
      <c r="B412" s="20" t="str">
        <f>Patrimonio!B46</f>
        <v>ESTRATEGIA 3</v>
      </c>
      <c r="C412" s="20" t="str">
        <f>Patrimonio!E46</f>
        <v>OBJETIVO OPERATIVO 1</v>
      </c>
      <c r="D412" s="20" t="b">
        <f>Patrimonio!B47</f>
        <v>0</v>
      </c>
      <c r="E412" s="20" t="str">
        <f>Patrimonio!C47</f>
        <v>Media</v>
      </c>
      <c r="F412" s="21" t="str">
        <f>Patrimonio!D47</f>
        <v>2025-I(Todo el ciclo)
2025-II(Todo de ciclo)</v>
      </c>
      <c r="G412" s="20" t="str">
        <f>Patrimonio!E47</f>
        <v>Colaborar con la comisión de Vinculación en la construcción de los documentos necesarios para la firma de convenios.</v>
      </c>
      <c r="H412" s="20" t="str">
        <f>Patrimonio!F47</f>
        <v>Director/a carrera -responsable de practicas y vinculación</v>
      </c>
      <c r="I412" s="20" t="str">
        <f>Patrimonio!G47</f>
        <v>Brindar apoyo y realizar ITV de vinculación de la carrera</v>
      </c>
      <c r="J412" s="20" t="str">
        <f>Patrimonio!H47</f>
        <v>ITV  y los convenios.</v>
      </c>
      <c r="K412" s="62">
        <f>Patrimonio!I47</f>
        <v>0</v>
      </c>
      <c r="L412" s="160">
        <f>Patrimonio!J47</f>
        <v>0</v>
      </c>
      <c r="M412" s="20">
        <f>Patrimonio!K47</f>
        <v>0</v>
      </c>
      <c r="N412" s="20">
        <f>Patrimonio!L47</f>
        <v>0</v>
      </c>
      <c r="O412" s="20" t="str">
        <f>Patrimonio!M47</f>
        <v>NO constan ITVs o Convenios</v>
      </c>
      <c r="P412" s="20">
        <v>2025</v>
      </c>
    </row>
    <row r="413" spans="1:16" ht="14.25" customHeight="1">
      <c r="A413" s="20" t="s">
        <v>488</v>
      </c>
      <c r="B413" s="20" t="str">
        <f>$B$412</f>
        <v>ESTRATEGIA 3</v>
      </c>
      <c r="C413" s="20" t="str">
        <f>$C$412</f>
        <v>OBJETIVO OPERATIVO 1</v>
      </c>
      <c r="D413" s="20" t="b">
        <f>Patrimonio!B48</f>
        <v>0</v>
      </c>
      <c r="E413" s="20" t="str">
        <f>Patrimonio!C48</f>
        <v>Baja</v>
      </c>
      <c r="F413" s="21" t="str">
        <f>Patrimonio!D48</f>
        <v>2024-II( fin ciclo)
2025-I( fin ciclo)</v>
      </c>
      <c r="G413" s="20" t="str">
        <f>Patrimonio!E48</f>
        <v>Divulgación de los resultados de los proyectos de vinculación, asistiendo a las ferias convocados por diferentes organizaciones.</v>
      </c>
      <c r="H413" s="20" t="str">
        <f>Patrimonio!F48</f>
        <v>Director/a carrera -responsable de practicas y vinculación</v>
      </c>
      <c r="I413" s="20" t="str">
        <f>Patrimonio!G48</f>
        <v>Realizar la divulgación de los resultados de los proyectos de vinculación</v>
      </c>
      <c r="J413" s="20" t="str">
        <f>Patrimonio!H48</f>
        <v>Informe de la divulgación.</v>
      </c>
      <c r="K413" s="62">
        <f>Patrimonio!I48</f>
        <v>0</v>
      </c>
      <c r="L413" s="160">
        <f>Patrimonio!J48</f>
        <v>0</v>
      </c>
      <c r="M413" s="20">
        <f>Patrimonio!K48</f>
        <v>0</v>
      </c>
      <c r="N413" s="20">
        <f>Patrimonio!L48</f>
        <v>0</v>
      </c>
      <c r="O413" s="20" t="str">
        <f>Patrimonio!M48</f>
        <v>NO consta el informe de divulgación</v>
      </c>
      <c r="P413" s="20">
        <v>2025</v>
      </c>
    </row>
    <row r="414" spans="1:16" ht="14.25" customHeight="1">
      <c r="A414" s="20" t="s">
        <v>488</v>
      </c>
      <c r="B414" s="20" t="str">
        <f>$B$412</f>
        <v>ESTRATEGIA 3</v>
      </c>
      <c r="C414" s="20" t="str">
        <f>$C$412</f>
        <v>OBJETIVO OPERATIVO 1</v>
      </c>
      <c r="D414" s="20" t="b">
        <f>Patrimonio!B49</f>
        <v>0</v>
      </c>
      <c r="E414" s="20" t="str">
        <f>Patrimonio!C49</f>
        <v>Baja</v>
      </c>
      <c r="F414" s="21" t="str">
        <f>Patrimonio!D49</f>
        <v>2025-I (inicio ciclo)
2025-II(inicio ciclo)</v>
      </c>
      <c r="G414" s="20" t="str">
        <f>Patrimonio!E49</f>
        <v>Socializar con los estudiantes el reglamento de vinculación</v>
      </c>
      <c r="H414" s="20" t="str">
        <f>Patrimonio!F49</f>
        <v>Director/a carrera -responsable de practicas y vinculación</v>
      </c>
      <c r="I414" s="20" t="str">
        <f>Patrimonio!G49</f>
        <v>Realizar la socialización del reglamento de vinculación con los estudiantes</v>
      </c>
      <c r="J414" s="20" t="str">
        <f>Patrimonio!H49</f>
        <v>Informe de socialización del reglamento.</v>
      </c>
      <c r="K414" s="62">
        <f>Patrimonio!I49</f>
        <v>0</v>
      </c>
      <c r="L414" s="160">
        <f>Patrimonio!J49</f>
        <v>0</v>
      </c>
      <c r="M414" s="20">
        <f>Patrimonio!K49</f>
        <v>0</v>
      </c>
      <c r="N414" s="20">
        <f>Patrimonio!L49</f>
        <v>0</v>
      </c>
      <c r="O414" s="20" t="e">
        <f>patrimonio #REF!</f>
        <v>#NAME?</v>
      </c>
      <c r="P414" s="20">
        <v>2025</v>
      </c>
    </row>
    <row r="415" spans="1:16" ht="14.25" customHeight="1">
      <c r="A415" s="20" t="s">
        <v>488</v>
      </c>
      <c r="B415" s="20" t="str">
        <f>$B$412</f>
        <v>ESTRATEGIA 3</v>
      </c>
      <c r="C415" s="20" t="str">
        <f>Patrimonio!E50</f>
        <v>OBJETIVO OPERATIVO 2</v>
      </c>
      <c r="D415" s="20" t="b">
        <f>Patrimonio!B51</f>
        <v>1</v>
      </c>
      <c r="E415" s="20" t="str">
        <f>Patrimonio!C51</f>
        <v>Alta</v>
      </c>
      <c r="F415" s="21" t="str">
        <f>Patrimonio!D51</f>
        <v>2025-I (inicio ciclo)
2025-II(inicio ciclo)</v>
      </c>
      <c r="G415" s="20" t="str">
        <f>Patrimonio!E51</f>
        <v>Conocer las líneas de investigación de la carrera</v>
      </c>
      <c r="H415" s="20" t="str">
        <f>Patrimonio!F51</f>
        <v>Director de carrera</v>
      </c>
      <c r="I415" s="20" t="str">
        <f>Patrimonio!G51</f>
        <v>Analizar y realizar las líneas de investigación de la carrera</v>
      </c>
      <c r="J415" s="20" t="str">
        <f>Patrimonio!H51</f>
        <v>Informe de socialización de las líneas de investigación de la carrera</v>
      </c>
      <c r="K415" s="62">
        <f>Patrimonio!I51</f>
        <v>0.5</v>
      </c>
      <c r="L415" s="160">
        <f>Patrimonio!J51</f>
        <v>0</v>
      </c>
      <c r="M415" s="20">
        <f>Patrimonio!K51</f>
        <v>0</v>
      </c>
      <c r="N415" s="20">
        <f>Patrimonio!L51</f>
        <v>0</v>
      </c>
      <c r="O415" s="20" t="str">
        <f>Patrimonio!M51</f>
        <v>NO consta el informe de socialización del ciclo académico 2025-II</v>
      </c>
      <c r="P415" s="20">
        <v>2025</v>
      </c>
    </row>
    <row r="416" spans="1:16" ht="14.25" customHeight="1">
      <c r="A416" s="20" t="s">
        <v>488</v>
      </c>
      <c r="B416" s="20" t="str">
        <f>$B$412</f>
        <v>ESTRATEGIA 3</v>
      </c>
      <c r="C416" s="20" t="str">
        <f>$C$415</f>
        <v>OBJETIVO OPERATIVO 2</v>
      </c>
      <c r="D416" s="20" t="b">
        <f>Patrimonio!B52</f>
        <v>1</v>
      </c>
      <c r="E416" s="20" t="str">
        <f>Patrimonio!C52</f>
        <v>Alta</v>
      </c>
      <c r="F416" s="21" t="str">
        <f>Patrimonio!D52</f>
        <v>2025-I(Todo el ciclo)
2025-II(Todo de ciclo)</v>
      </c>
      <c r="G416" s="20" t="str">
        <f>Patrimonio!E52</f>
        <v>Desarrollar investigación científica y tecnológica que contribuya con la construcción de soluciones para los problemas del país, en relación con los objetivos del régimen de desarrollo.</v>
      </c>
      <c r="H416" s="20" t="str">
        <f>Patrimonio!F52</f>
        <v>Director de Carrera
Docentes de la carrera
Comisión de Investigación</v>
      </c>
      <c r="I416" s="20" t="str">
        <f>Patrimonio!G52</f>
        <v>Incentivar y desarrollar la investigación de los docentes de la carrera en base a las líneas de la carrera</v>
      </c>
      <c r="J416" s="20" t="str">
        <f>Patrimonio!H52</f>
        <v>Artículos publicados por los docentes de la carrera</v>
      </c>
      <c r="K416" s="62">
        <f>Patrimonio!I52</f>
        <v>0</v>
      </c>
      <c r="L416" s="160">
        <f>Patrimonio!J52</f>
        <v>0</v>
      </c>
      <c r="M416" s="20">
        <f>Patrimonio!K52</f>
        <v>0</v>
      </c>
      <c r="N416" s="20">
        <f>Patrimonio!L52</f>
        <v>0</v>
      </c>
      <c r="O416" s="20" t="str">
        <f>Patrimonio!M52</f>
        <v>Sin evidencias</v>
      </c>
      <c r="P416" s="20">
        <v>2025</v>
      </c>
    </row>
    <row r="417" spans="1:16" ht="14.25" customHeight="1">
      <c r="A417" s="20" t="s">
        <v>488</v>
      </c>
      <c r="B417" s="20" t="str">
        <f>$B$416</f>
        <v>ESTRATEGIA 3</v>
      </c>
      <c r="C417" s="20" t="str">
        <f>Patrimonio!E53</f>
        <v>OBJETIVO OPERATIVO 3</v>
      </c>
      <c r="D417" s="20" t="b">
        <f>Patrimonio!B54</f>
        <v>1</v>
      </c>
      <c r="E417" s="20" t="str">
        <f>Patrimonio!C54</f>
        <v>Baja</v>
      </c>
      <c r="F417" s="21" t="str">
        <f>Patrimonio!D54</f>
        <v>2025-I(Todo el ciclo)
2025-II(Todo de ciclo)</v>
      </c>
      <c r="G417" s="20" t="str">
        <f>Patrimonio!E54</f>
        <v>Ejecutar la formación en valores y desarrollo de habilidades blandas.</v>
      </c>
      <c r="H417" s="20" t="str">
        <f>Patrimonio!F54</f>
        <v>Director de carrera
Gestor académico
Bienestar institucional</v>
      </c>
      <c r="I417" s="20" t="str">
        <f>Patrimonio!G54</f>
        <v>Realizar un curso de habilidades blandas que se desarrollara para todo el instituto</v>
      </c>
      <c r="J417" s="20" t="str">
        <f>Patrimonio!H54</f>
        <v>Informe de formación en valores y desarrollo de habilidades blandas</v>
      </c>
      <c r="K417" s="62">
        <f>Patrimonio!I54</f>
        <v>1</v>
      </c>
      <c r="L417" s="160">
        <f>Patrimonio!J54</f>
        <v>0</v>
      </c>
      <c r="M417" s="20">
        <f>Patrimonio!K54</f>
        <v>0</v>
      </c>
      <c r="N417" s="20">
        <f>Patrimonio!L54</f>
        <v>0</v>
      </c>
      <c r="O417" s="20">
        <f>Patrimonio!M54</f>
        <v>0</v>
      </c>
      <c r="P417" s="20">
        <v>2025</v>
      </c>
    </row>
    <row r="418" spans="1:16" ht="14.25" customHeight="1">
      <c r="A418" s="20" t="s">
        <v>488</v>
      </c>
      <c r="B418" s="20" t="str">
        <f>Patrimonio!B55</f>
        <v>ESTRATEGIA 4</v>
      </c>
      <c r="C418" s="20" t="str">
        <f>Patrimonio!E55</f>
        <v>OBJETIVO OPERATIVO 1</v>
      </c>
      <c r="D418" s="20" t="b">
        <f>Patrimonio!B56</f>
        <v>0</v>
      </c>
      <c r="E418" s="20" t="str">
        <f>Patrimonio!C56</f>
        <v>Baja</v>
      </c>
      <c r="F418" s="21" t="str">
        <f>Patrimonio!D56</f>
        <v>2025-I (fin ciclo)
2025-II(fin ciclo)</v>
      </c>
      <c r="G418" s="20" t="str">
        <f>Patrimonio!E56</f>
        <v>Elaboración de matrices de la oferta académica institucional.</v>
      </c>
      <c r="H418" s="20" t="str">
        <f>Patrimonio!F56</f>
        <v>Director de Carrera
Gestor Académico</v>
      </c>
      <c r="I418" s="20" t="str">
        <f>Patrimonio!G56</f>
        <v>Generación de matrices de oferta académica para la captación de más estudiantes</v>
      </c>
      <c r="J418" s="20" t="str">
        <f>Patrimonio!H56</f>
        <v>Matrices de la oferta académica.</v>
      </c>
      <c r="K418" s="62">
        <f>Patrimonio!I56</f>
        <v>1</v>
      </c>
      <c r="L418" s="160">
        <f>Patrimonio!J56</f>
        <v>0</v>
      </c>
      <c r="M418" s="20">
        <f>Patrimonio!K56</f>
        <v>0</v>
      </c>
      <c r="N418" s="20">
        <f>Patrimonio!L56</f>
        <v>0</v>
      </c>
      <c r="O418" s="20">
        <f>Patrimonio!M56</f>
        <v>0</v>
      </c>
      <c r="P418" s="20">
        <v>2025</v>
      </c>
    </row>
    <row r="419" spans="1:16" ht="14.25" customHeight="1">
      <c r="A419" s="20" t="s">
        <v>488</v>
      </c>
      <c r="B419" s="20" t="str">
        <f>$B$418</f>
        <v>ESTRATEGIA 4</v>
      </c>
      <c r="C419" s="20" t="str">
        <f>$C$418</f>
        <v>OBJETIVO OPERATIVO 1</v>
      </c>
      <c r="D419" s="20" t="b">
        <f>Patrimonio!B57</f>
        <v>0</v>
      </c>
      <c r="E419" s="20" t="str">
        <f>Patrimonio!C57</f>
        <v>Baja</v>
      </c>
      <c r="F419" s="21" t="str">
        <f>Patrimonio!D57</f>
        <v xml:space="preserve">
2025-II(fin ciclo)</v>
      </c>
      <c r="G419" s="20" t="str">
        <f>Patrimonio!E57</f>
        <v>Planificación de demanda estudiantil.</v>
      </c>
      <c r="H419" s="20" t="str">
        <f>Patrimonio!F57</f>
        <v>Director de Carrera
Gestor Académico</v>
      </c>
      <c r="I419" s="20" t="str">
        <f>Patrimonio!G57</f>
        <v>Planificar la demanda institucional en base a históricos de periodos anteriores</v>
      </c>
      <c r="J419" s="20" t="str">
        <f>Patrimonio!H57</f>
        <v>Listado certificado  de matriculados de la carrera</v>
      </c>
      <c r="K419" s="62">
        <f>Patrimonio!I57</f>
        <v>0.5</v>
      </c>
      <c r="L419" s="160">
        <f>Patrimonio!J57</f>
        <v>0</v>
      </c>
      <c r="M419" s="20">
        <f>Patrimonio!K57</f>
        <v>0</v>
      </c>
      <c r="N419" s="20">
        <f>Patrimonio!L57</f>
        <v>0</v>
      </c>
      <c r="O419" s="20" t="str">
        <f>Patrimonio!M57</f>
        <v>NO consta el listado certificado del ciclo 2025-II</v>
      </c>
      <c r="P419" s="20">
        <v>2025</v>
      </c>
    </row>
    <row r="420" spans="1:16" ht="14.25" customHeight="1">
      <c r="A420" s="20" t="s">
        <v>488</v>
      </c>
      <c r="B420" s="20" t="str">
        <f>$B$418</f>
        <v>ESTRATEGIA 4</v>
      </c>
      <c r="C420" s="20" t="str">
        <f>$C$418</f>
        <v>OBJETIVO OPERATIVO 1</v>
      </c>
      <c r="D420" s="20" t="b">
        <f>Patrimonio!B58</f>
        <v>0</v>
      </c>
      <c r="E420" s="20" t="str">
        <f>Patrimonio!C58</f>
        <v>Media</v>
      </c>
      <c r="F420" s="21" t="str">
        <f>Patrimonio!D58</f>
        <v>2025-II(fin ciclo)</v>
      </c>
      <c r="G420" s="20" t="str">
        <f>Patrimonio!E58</f>
        <v>Análisis de capacidad operativa de la institución.</v>
      </c>
      <c r="H420" s="20" t="str">
        <f>Patrimonio!F58</f>
        <v>Director de Carrera
Gestor Académico</v>
      </c>
      <c r="I420" s="20" t="str">
        <f>Patrimonio!G58</f>
        <v>Análisis de requerimientos sustantivo y no sustantivo de la carrera</v>
      </c>
      <c r="J420" s="20" t="str">
        <f>Patrimonio!H58</f>
        <v>Resolución de aprobación por OCS de Estandarización de Carrera</v>
      </c>
      <c r="K420" s="62">
        <f>Patrimonio!I58</f>
        <v>1</v>
      </c>
      <c r="L420" s="160">
        <f>Patrimonio!J58</f>
        <v>0</v>
      </c>
      <c r="M420" s="20">
        <f>Patrimonio!K58</f>
        <v>0</v>
      </c>
      <c r="N420" s="20">
        <f>Patrimonio!L58</f>
        <v>0</v>
      </c>
      <c r="O420" s="20" t="str">
        <f>Patrimonio!M58</f>
        <v>Subir en pdf firmado no word</v>
      </c>
      <c r="P420" s="20">
        <v>2025</v>
      </c>
    </row>
    <row r="421" spans="1:16" ht="14.25" customHeight="1">
      <c r="A421" s="20" t="s">
        <v>489</v>
      </c>
      <c r="B421" s="20" t="str">
        <f>'Mantenimiento eléctrico'!B10</f>
        <v>ESTRATEGIA 1</v>
      </c>
      <c r="C421" s="20" t="str">
        <f>'Mantenimiento eléctrico'!E10</f>
        <v>OBJETIVO OPERATIVO 1</v>
      </c>
      <c r="D421" s="20" t="b">
        <f>'Mantenimiento eléctrico'!B11</f>
        <v>0</v>
      </c>
      <c r="E421" s="20" t="str">
        <f>'Mantenimiento eléctrico'!C11</f>
        <v>Media</v>
      </c>
      <c r="F421" s="21" t="str">
        <f>'Mantenimiento eléctrico'!D11</f>
        <v>2025-I ( Inicio ciclo)</v>
      </c>
      <c r="G421" s="20" t="str">
        <f>'Mantenimiento eléctrico'!E11</f>
        <v>Planificar y estructurar las capacitaciones en el área técnica y didáctica.</v>
      </c>
      <c r="H421" s="20" t="str">
        <f>'Mantenimiento eléctrico'!F11</f>
        <v>Director/a carrera
Docentes</v>
      </c>
      <c r="I421" s="20" t="str">
        <f>'Mantenimiento eléctrico'!G11</f>
        <v>Desarrollo del plan de capacitación docente</v>
      </c>
      <c r="J421" s="20" t="str">
        <f>'Mantenimiento eléctrico'!H11</f>
        <v>Plan de capacitación docente.</v>
      </c>
      <c r="K421" s="62">
        <f>'Mantenimiento eléctrico'!I11</f>
        <v>1</v>
      </c>
      <c r="L421" s="160">
        <f>'Mantenimiento eléctrico'!J11</f>
        <v>0</v>
      </c>
      <c r="M421" s="20">
        <f>'Mantenimiento eléctrico'!K11</f>
        <v>0</v>
      </c>
      <c r="N421" s="20">
        <f>'Mantenimiento eléctrico'!L11</f>
        <v>0</v>
      </c>
      <c r="O421" s="20">
        <f>'Mantenimiento eléctrico'!M11</f>
        <v>0</v>
      </c>
      <c r="P421" s="20">
        <v>2025</v>
      </c>
    </row>
    <row r="422" spans="1:16" ht="14.25" customHeight="1">
      <c r="A422" s="20" t="s">
        <v>489</v>
      </c>
      <c r="B422" s="20" t="str">
        <f>$B$421</f>
        <v>ESTRATEGIA 1</v>
      </c>
      <c r="C422" s="20" t="str">
        <f>$C$421</f>
        <v>OBJETIVO OPERATIVO 1</v>
      </c>
      <c r="D422" s="20" t="b">
        <f>'Mantenimiento eléctrico'!B12</f>
        <v>0</v>
      </c>
      <c r="E422" s="20" t="str">
        <f>'Mantenimiento eléctrico'!C12</f>
        <v>Baja</v>
      </c>
      <c r="F422" s="21" t="str">
        <f>'Mantenimiento eléctrico'!D12</f>
        <v>2025-II ( fin ciclo)</v>
      </c>
      <c r="G422" s="20" t="str">
        <f>'Mantenimiento eléctrico'!E12</f>
        <v>Ejecutar las capacitaciones planificadas.</v>
      </c>
      <c r="H422" s="20" t="str">
        <f>'Mantenimiento eléctrico'!F12</f>
        <v>Director/a carrera
Docentes</v>
      </c>
      <c r="I422" s="20" t="str">
        <f>'Mantenimiento eléctrico'!G12</f>
        <v>informar sobre el plan de capacitación docente</v>
      </c>
      <c r="J422" s="20" t="str">
        <f>'Mantenimiento eléctrico'!H12</f>
        <v>Informe de ejecución del plan de capacitación docente.</v>
      </c>
      <c r="K422" s="62">
        <f>'Mantenimiento eléctrico'!I12</f>
        <v>1</v>
      </c>
      <c r="L422" s="160">
        <f>'Mantenimiento eléctrico'!J12</f>
        <v>0</v>
      </c>
      <c r="M422" s="20">
        <f>'Mantenimiento eléctrico'!K12</f>
        <v>0</v>
      </c>
      <c r="N422" s="20">
        <f>'Mantenimiento eléctrico'!L12</f>
        <v>0</v>
      </c>
      <c r="O422" s="20">
        <f>'Mantenimiento eléctrico'!M12</f>
        <v>0</v>
      </c>
      <c r="P422" s="20">
        <v>2025</v>
      </c>
    </row>
    <row r="423" spans="1:16" ht="14.25" customHeight="1">
      <c r="A423" s="20" t="s">
        <v>489</v>
      </c>
      <c r="B423" s="20" t="str">
        <f>$B$421</f>
        <v>ESTRATEGIA 1</v>
      </c>
      <c r="C423" s="20" t="str">
        <f>$C$421</f>
        <v>OBJETIVO OPERATIVO 1</v>
      </c>
      <c r="D423" s="20" t="b">
        <f>'Mantenimiento eléctrico'!B13</f>
        <v>0</v>
      </c>
      <c r="E423" s="20" t="str">
        <f>'Mantenimiento eléctrico'!C13</f>
        <v>Media</v>
      </c>
      <c r="F423" s="21" t="str">
        <f>'Mantenimiento eléctrico'!D13</f>
        <v>2024-II( fin ciclo)
2025-I( fin ciclo)</v>
      </c>
      <c r="G423" s="20" t="str">
        <f>'Mantenimiento eléctrico'!E13</f>
        <v>Entregar los resultados de los procesos de Evaluación al desempeño Docente y acciones realizadas.</v>
      </c>
      <c r="H423" s="20" t="str">
        <f>'Mantenimiento eléctrico'!F13</f>
        <v>Director/a carrera
Docentes</v>
      </c>
      <c r="I423" s="20" t="str">
        <f>'Mantenimiento eléctrico'!G13</f>
        <v>Generar una matriz para el registro de entrega de evaluaciones docentes</v>
      </c>
      <c r="J423" s="20" t="str">
        <f>'Mantenimiento eléctrico'!H13</f>
        <v>Registro de entrega de evaluaciones a los docentes</v>
      </c>
      <c r="K423" s="62">
        <f>'Mantenimiento eléctrico'!I13</f>
        <v>1</v>
      </c>
      <c r="L423" s="160">
        <f>'Mantenimiento eléctrico'!J13</f>
        <v>0</v>
      </c>
      <c r="M423" s="20">
        <f>'Mantenimiento eléctrico'!K13</f>
        <v>0</v>
      </c>
      <c r="N423" s="20">
        <f>'Mantenimiento eléctrico'!L13</f>
        <v>0</v>
      </c>
      <c r="O423" s="20">
        <f>'Mantenimiento eléctrico'!M13</f>
        <v>0</v>
      </c>
      <c r="P423" s="20">
        <v>2025</v>
      </c>
    </row>
    <row r="424" spans="1:16" ht="14.25" customHeight="1">
      <c r="A424" s="20" t="s">
        <v>489</v>
      </c>
      <c r="B424" s="20" t="str">
        <f t="shared" ref="B424:B431" si="36">$B$423</f>
        <v>ESTRATEGIA 1</v>
      </c>
      <c r="C424" s="20" t="str">
        <f>'Mantenimiento eléctrico'!E14</f>
        <v>OBJETIVO OPERATIVO 2</v>
      </c>
      <c r="D424" s="20" t="b">
        <f>'Mantenimiento eléctrico'!B15</f>
        <v>0</v>
      </c>
      <c r="E424" s="20" t="str">
        <f>'Mantenimiento eléctrico'!C15</f>
        <v>Baja</v>
      </c>
      <c r="F424" s="21" t="str">
        <f>'Mantenimiento eléctrico'!D15</f>
        <v>2025-I (inicio ciclo)
2025-II(inicio ciclo)</v>
      </c>
      <c r="G424" s="20" t="str">
        <f>'Mantenimiento eléctrico'!E15</f>
        <v>Socializar con los docentes el uso adecuado de la plataforma Moodle.</v>
      </c>
      <c r="H424" s="20" t="str">
        <f>'Mantenimiento eléctrico'!F15</f>
        <v>Responsable de Moodle de la carrera</v>
      </c>
      <c r="I424" s="20" t="str">
        <f>'Mantenimiento eléctrico'!G15</f>
        <v>Realizar la socialización y generar un informe sobre el uso del Moodle</v>
      </c>
      <c r="J424" s="20" t="str">
        <f>'Mantenimiento eléctrico'!H15</f>
        <v>Informe de socialización / inducción a los docentes</v>
      </c>
      <c r="K424" s="62">
        <f>'Mantenimiento eléctrico'!I15</f>
        <v>1</v>
      </c>
      <c r="L424" s="160">
        <f>'Mantenimiento eléctrico'!J15</f>
        <v>0</v>
      </c>
      <c r="M424" s="20">
        <f>'Mantenimiento eléctrico'!K15</f>
        <v>0</v>
      </c>
      <c r="N424" s="20">
        <f>'Mantenimiento eléctrico'!L15</f>
        <v>0</v>
      </c>
      <c r="O424" s="20">
        <f>'Mantenimiento eléctrico'!M15</f>
        <v>0</v>
      </c>
      <c r="P424" s="20">
        <v>2025</v>
      </c>
    </row>
    <row r="425" spans="1:16" ht="14.25" customHeight="1">
      <c r="A425" s="20" t="s">
        <v>489</v>
      </c>
      <c r="B425" s="20" t="str">
        <f t="shared" si="36"/>
        <v>ESTRATEGIA 1</v>
      </c>
      <c r="C425" s="20" t="str">
        <f>$C$424</f>
        <v>OBJETIVO OPERATIVO 2</v>
      </c>
      <c r="D425" s="20" t="b">
        <f>'Mantenimiento eléctrico'!B16</f>
        <v>0</v>
      </c>
      <c r="E425" s="20" t="str">
        <f>'Mantenimiento eléctrico'!C16</f>
        <v>Media</v>
      </c>
      <c r="F425" s="21" t="str">
        <f>'Mantenimiento eléctrico'!D16</f>
        <v>2024-II( fin ciclo)
2025-I( fin ciclo)</v>
      </c>
      <c r="G425" s="20" t="str">
        <f>'Mantenimiento eléctrico'!E16</f>
        <v>Revisar el aporte de cada docente en la plataforma Moodle</v>
      </c>
      <c r="H425" s="20" t="str">
        <f>'Mantenimiento eléctrico'!F16</f>
        <v>Responsable de Moodle de la carrera</v>
      </c>
      <c r="I425" s="20" t="str">
        <f>'Mantenimiento eléctrico'!G16</f>
        <v>Controlar el uso adecuado de la plataforma y generar un informe.</v>
      </c>
      <c r="J425" s="20" t="str">
        <f>'Mantenimiento eléctrico'!H16</f>
        <v>Informe de actividades en la plataforma Moodle.</v>
      </c>
      <c r="K425" s="62">
        <f>'Mantenimiento eléctrico'!I16</f>
        <v>1</v>
      </c>
      <c r="L425" s="160">
        <f>'Mantenimiento eléctrico'!J16</f>
        <v>0</v>
      </c>
      <c r="M425" s="20">
        <f>'Mantenimiento eléctrico'!K16</f>
        <v>0</v>
      </c>
      <c r="N425" s="20">
        <f>'Mantenimiento eléctrico'!L16</f>
        <v>0</v>
      </c>
      <c r="O425" s="20">
        <f>'Mantenimiento eléctrico'!M16</f>
        <v>0</v>
      </c>
      <c r="P425" s="20">
        <v>2025</v>
      </c>
    </row>
    <row r="426" spans="1:16" ht="14.25" customHeight="1">
      <c r="A426" s="20" t="s">
        <v>489</v>
      </c>
      <c r="B426" s="20" t="str">
        <f t="shared" si="36"/>
        <v>ESTRATEGIA 1</v>
      </c>
      <c r="C426" s="20" t="str">
        <f>'Mantenimiento eléctrico'!E17</f>
        <v>OBJETIVO OPERATIVO 3</v>
      </c>
      <c r="D426" s="20" t="b">
        <f>'Mantenimiento eléctrico'!B18</f>
        <v>0</v>
      </c>
      <c r="E426" s="20" t="str">
        <f>'Mantenimiento eléctrico'!C18</f>
        <v>Alta</v>
      </c>
      <c r="F426" s="21" t="str">
        <f>'Mantenimiento eléctrico'!D18</f>
        <v>2025-I(inicio ciclo)
2025-II (inicio ciclo)</v>
      </c>
      <c r="G426" s="20" t="str">
        <f>'Mantenimiento eléctrico'!E18</f>
        <v>Planificar y desarrollar una reunión del colectivo académico</v>
      </c>
      <c r="H426" s="20" t="str">
        <f>'Mantenimiento eléctrico'!F18</f>
        <v>Director/a carrera</v>
      </c>
      <c r="I426" s="20" t="str">
        <f>'Mantenimiento eléctrico'!G18</f>
        <v>Realizar y evidenciar los colectivos académicos</v>
      </c>
      <c r="J426" s="20" t="str">
        <f>'Mantenimiento eléctrico'!H18</f>
        <v>Convocatoria al colectivo de académico</v>
      </c>
      <c r="K426" s="62">
        <f>'Mantenimiento eléctrico'!I18</f>
        <v>1</v>
      </c>
      <c r="L426" s="160">
        <f>'Mantenimiento eléctrico'!J18</f>
        <v>0</v>
      </c>
      <c r="M426" s="20">
        <f>'Mantenimiento eléctrico'!K18</f>
        <v>0</v>
      </c>
      <c r="N426" s="20">
        <f>'Mantenimiento eléctrico'!L18</f>
        <v>0</v>
      </c>
      <c r="O426" s="20">
        <f>'Mantenimiento eléctrico'!M18</f>
        <v>0</v>
      </c>
      <c r="P426" s="20">
        <v>2025</v>
      </c>
    </row>
    <row r="427" spans="1:16" ht="14.25" customHeight="1">
      <c r="A427" s="20" t="s">
        <v>489</v>
      </c>
      <c r="B427" s="20" t="str">
        <f t="shared" si="36"/>
        <v>ESTRATEGIA 1</v>
      </c>
      <c r="C427" s="20" t="str">
        <f>$C$426</f>
        <v>OBJETIVO OPERATIVO 3</v>
      </c>
      <c r="D427" s="20" t="b">
        <f>'Mantenimiento eléctrico'!B19</f>
        <v>0</v>
      </c>
      <c r="E427" s="20" t="str">
        <f>'Mantenimiento eléctrico'!C19</f>
        <v>Media</v>
      </c>
      <c r="F427" s="21" t="str">
        <f>'Mantenimiento eléctrico'!D19</f>
        <v>2024-II(fin de ciclo)
2025-I(fin de ciclo)</v>
      </c>
      <c r="G427" s="20" t="str">
        <f>'Mantenimiento eléctrico'!E19</f>
        <v>Revisión y actualización de los PEAS</v>
      </c>
      <c r="H427" s="20" t="str">
        <f>'Mantenimiento eléctrico'!F19</f>
        <v>Director/a carrera
Docentes</v>
      </c>
      <c r="I427" s="20" t="str">
        <f>'Mantenimiento eléctrico'!G19</f>
        <v>Revisar si la bibliografía de la carrera es la adecuada en colectivos  según PEAS y Colectivos para el acervo bibliográfico</v>
      </c>
      <c r="J427" s="20" t="str">
        <f>'Mantenimiento eléctrico'!H19</f>
        <v>Acervo bibliográfico de todas las asignaturas de la carrera, Informes de colectivos y PEAS revisados</v>
      </c>
      <c r="K427" s="62">
        <f>'Mantenimiento eléctrico'!I19</f>
        <v>1</v>
      </c>
      <c r="L427" s="160">
        <f>'Mantenimiento eléctrico'!J19</f>
        <v>0</v>
      </c>
      <c r="M427" s="20">
        <f>'Mantenimiento eléctrico'!K19</f>
        <v>0</v>
      </c>
      <c r="N427" s="20">
        <f>'Mantenimiento eléctrico'!L19</f>
        <v>0</v>
      </c>
      <c r="O427" s="20">
        <f>'Mantenimiento eléctrico'!M19</f>
        <v>0</v>
      </c>
      <c r="P427" s="20">
        <v>2025</v>
      </c>
    </row>
    <row r="428" spans="1:16" ht="14.25" customHeight="1">
      <c r="A428" s="20" t="s">
        <v>489</v>
      </c>
      <c r="B428" s="20" t="str">
        <f t="shared" si="36"/>
        <v>ESTRATEGIA 1</v>
      </c>
      <c r="C428" s="20" t="str">
        <f>$C$426</f>
        <v>OBJETIVO OPERATIVO 3</v>
      </c>
      <c r="D428" s="20" t="b">
        <f>'Mantenimiento eléctrico'!B20</f>
        <v>0</v>
      </c>
      <c r="E428" s="20" t="str">
        <f>'Mantenimiento eléctrico'!C20</f>
        <v>Media</v>
      </c>
      <c r="F428" s="21" t="str">
        <f>'Mantenimiento eléctrico'!D20</f>
        <v>2024-II(fin de ciclo)
2025-I(fin de ciclo)</v>
      </c>
      <c r="G428" s="20" t="str">
        <f>'Mantenimiento eléctrico'!E20</f>
        <v>Actas de reunión por colectivo académico</v>
      </c>
      <c r="H428" s="20" t="str">
        <f>'Mantenimiento eléctrico'!F20</f>
        <v>Director/a carrera
Docentes</v>
      </c>
      <c r="I428" s="20" t="str">
        <f>'Mantenimiento eléctrico'!G20</f>
        <v>Evidenciar el trabajo de colectivos</v>
      </c>
      <c r="J428" s="20" t="str">
        <f>'Mantenimiento eléctrico'!H20</f>
        <v>Actas de colectivos</v>
      </c>
      <c r="K428" s="62">
        <f>'Mantenimiento eléctrico'!I20</f>
        <v>1</v>
      </c>
      <c r="L428" s="160">
        <f>'Mantenimiento eléctrico'!J20</f>
        <v>0</v>
      </c>
      <c r="M428" s="20">
        <f>'Mantenimiento eléctrico'!K20</f>
        <v>0</v>
      </c>
      <c r="N428" s="20">
        <f>'Mantenimiento eléctrico'!L20</f>
        <v>0</v>
      </c>
      <c r="O428" s="20">
        <f>'Mantenimiento eléctrico'!M20</f>
        <v>0</v>
      </c>
      <c r="P428" s="20">
        <v>2025</v>
      </c>
    </row>
    <row r="429" spans="1:16" ht="14.25" customHeight="1">
      <c r="A429" s="20" t="s">
        <v>489</v>
      </c>
      <c r="B429" s="20" t="str">
        <f t="shared" si="36"/>
        <v>ESTRATEGIA 1</v>
      </c>
      <c r="C429" s="20" t="str">
        <f>'Mantenimiento eléctrico'!E21</f>
        <v>OBJETIVO OPERATIVO 4</v>
      </c>
      <c r="D429" s="20" t="b">
        <f>'Mantenimiento eléctrico'!B22</f>
        <v>0</v>
      </c>
      <c r="E429" s="20" t="str">
        <f>'Mantenimiento eléctrico'!C22</f>
        <v>Baja</v>
      </c>
      <c r="F429" s="21" t="str">
        <f>'Mantenimiento eléctrico'!D22</f>
        <v>2025-I(inicio ciclo)
2025-II (inicio ciclo)</v>
      </c>
      <c r="G429" s="20" t="str">
        <f>'Mantenimiento eléctrico'!E22</f>
        <v>Recopilar las fichas de afinidad de los docentes de acuerdo al nivel de estudio.</v>
      </c>
      <c r="H429" s="20" t="str">
        <f>'Mantenimiento eléctrico'!F22</f>
        <v>Director/a carrera</v>
      </c>
      <c r="I429" s="20" t="str">
        <f>'Mantenimiento eléctrico'!G22</f>
        <v>Mantener actualizadas las fichas de afinidad de los docentes de acuerdo a la pertinencia en la carrera</v>
      </c>
      <c r="J429" s="20" t="str">
        <f>'Mantenimiento eléctrico'!H22</f>
        <v>Fichas de afinidad de los docentes.</v>
      </c>
      <c r="K429" s="62">
        <f>'Mantenimiento eléctrico'!I22</f>
        <v>0.5</v>
      </c>
      <c r="L429" s="160">
        <f>'Mantenimiento eléctrico'!J22</f>
        <v>0</v>
      </c>
      <c r="M429" s="20">
        <f>'Mantenimiento eléctrico'!K22</f>
        <v>0</v>
      </c>
      <c r="N429" s="20">
        <f>'Mantenimiento eléctrico'!L22</f>
        <v>0</v>
      </c>
      <c r="O429" s="20" t="str">
        <f>'Mantenimiento eléctrico'!M22</f>
        <v>Faltan fichas de afinidad del segundo semestre</v>
      </c>
      <c r="P429" s="20">
        <v>2025</v>
      </c>
    </row>
    <row r="430" spans="1:16" ht="14.25" customHeight="1">
      <c r="A430" s="20" t="s">
        <v>489</v>
      </c>
      <c r="B430" s="20" t="str">
        <f t="shared" si="36"/>
        <v>ESTRATEGIA 1</v>
      </c>
      <c r="C430" s="20" t="str">
        <f>$C$429</f>
        <v>OBJETIVO OPERATIVO 4</v>
      </c>
      <c r="D430" s="20">
        <f>'Mantenimiento eléctrico'!B23</f>
        <v>0</v>
      </c>
      <c r="E430" s="20" t="str">
        <f>'Mantenimiento eléctrico'!C23</f>
        <v>Alta</v>
      </c>
      <c r="F430" s="21" t="str">
        <f>'Mantenimiento eléctrico'!D23</f>
        <v>2025-I(inicio de ciclo)
2025-II(inicio de ciclo)</v>
      </c>
      <c r="G430" s="20" t="str">
        <f>'Mantenimiento eléctrico'!E23</f>
        <v>Elaboración del distributivo docente de la carrera</v>
      </c>
      <c r="H430" s="20" t="str">
        <f>'Mantenimiento eléctrico'!F23</f>
        <v>Director/a carrera</v>
      </c>
      <c r="I430" s="20" t="str">
        <f>'Mantenimiento eléctrico'!G23</f>
        <v>Evidenciar la carga horaria y distributivos de los docentes</v>
      </c>
      <c r="J430" s="20" t="str">
        <f>'Mantenimiento eléctrico'!H23</f>
        <v>Distributivo docente aprobado.</v>
      </c>
      <c r="K430" s="62">
        <f>'Mantenimiento eléctrico'!I23</f>
        <v>1</v>
      </c>
      <c r="L430" s="160">
        <f>'Mantenimiento eléctrico'!J23</f>
        <v>0</v>
      </c>
      <c r="M430" s="20">
        <f>'Mantenimiento eléctrico'!K23</f>
        <v>0</v>
      </c>
      <c r="N430" s="20">
        <f>'Mantenimiento eléctrico'!L23</f>
        <v>0</v>
      </c>
      <c r="O430" s="20">
        <f>'Mantenimiento eléctrico'!M23</f>
        <v>0</v>
      </c>
      <c r="P430" s="20">
        <v>2025</v>
      </c>
    </row>
    <row r="431" spans="1:16" ht="14.25" customHeight="1">
      <c r="A431" s="20" t="s">
        <v>489</v>
      </c>
      <c r="B431" s="20" t="str">
        <f t="shared" si="36"/>
        <v>ESTRATEGIA 1</v>
      </c>
      <c r="C431" s="20" t="str">
        <f>$C$429</f>
        <v>OBJETIVO OPERATIVO 4</v>
      </c>
      <c r="D431" s="20" t="b">
        <f>'Mantenimiento eléctrico'!B24</f>
        <v>0</v>
      </c>
      <c r="E431" s="20" t="str">
        <f>'Mantenimiento eléctrico'!C24</f>
        <v>Media</v>
      </c>
      <c r="F431" s="21" t="str">
        <f>'Mantenimiento eléctrico'!D24</f>
        <v>2025-I(inicio de ciclo)
2025-II(inicio de ciclo)</v>
      </c>
      <c r="G431" s="20" t="str">
        <f>'Mantenimiento eléctrico'!E24</f>
        <v>Designar responsables de la administración de la plataforma, tutorías , prácticas, vinculación , etc.</v>
      </c>
      <c r="H431" s="20" t="str">
        <f>'Mantenimiento eléctrico'!F24</f>
        <v>Director/a carrera</v>
      </c>
      <c r="I431" s="20" t="str">
        <f>'Mantenimiento eléctrico'!G24</f>
        <v>Realizar las designaciones y evidenciar los responsables y tutores de la carrera</v>
      </c>
      <c r="J431" s="20" t="str">
        <f>'Mantenimiento eléctrico'!H24</f>
        <v>Oficios de designaciones de responsables.</v>
      </c>
      <c r="K431" s="62">
        <f>'Mantenimiento eléctrico'!I24</f>
        <v>1</v>
      </c>
      <c r="L431" s="160">
        <f>'Mantenimiento eléctrico'!J24</f>
        <v>0</v>
      </c>
      <c r="M431" s="20">
        <f>'Mantenimiento eléctrico'!K24</f>
        <v>0</v>
      </c>
      <c r="N431" s="20">
        <f>'Mantenimiento eléctrico'!L24</f>
        <v>0</v>
      </c>
      <c r="O431" s="20">
        <f>'Mantenimiento eléctrico'!M24</f>
        <v>0</v>
      </c>
      <c r="P431" s="20">
        <v>2025</v>
      </c>
    </row>
    <row r="432" spans="1:16" ht="14.25" customHeight="1">
      <c r="A432" s="20" t="s">
        <v>489</v>
      </c>
      <c r="B432" s="20" t="str">
        <f>'Mantenimiento eléctrico'!B25</f>
        <v>ESTRATEGIA 2</v>
      </c>
      <c r="C432" s="20" t="str">
        <f>'Mantenimiento eléctrico'!E25</f>
        <v>OBJETIVO OPERATIVO 1</v>
      </c>
      <c r="D432" s="20" t="b">
        <f>'Mantenimiento eléctrico'!B26</f>
        <v>0</v>
      </c>
      <c r="E432" s="20" t="str">
        <f>'Mantenimiento eléctrico'!C26</f>
        <v>Alta</v>
      </c>
      <c r="F432" s="21" t="str">
        <f>'Mantenimiento eléctrico'!D26</f>
        <v>2025-I(Inicio de ciclo)
2025-II(Inicio de ciclo)</v>
      </c>
      <c r="G432" s="20" t="str">
        <f>'Mantenimiento eléctrico'!E26</f>
        <v>Elaborar y presentar el calendario de actividades de la o las carreras, horarios de clases y laboratorios.</v>
      </c>
      <c r="H432" s="20" t="str">
        <f>'Mantenimiento eléctrico'!F26</f>
        <v>Director/a carrera</v>
      </c>
      <c r="I432" s="20" t="str">
        <f>'Mantenimiento eléctrico'!G26</f>
        <v>Realizar los documentos necesarios para el desarrollo de las actividades de cada periodo de la carrera</v>
      </c>
      <c r="J432" s="20" t="str">
        <f>'Mantenimiento eléctrico'!H26</f>
        <v>Calendario y horarios aprobados</v>
      </c>
      <c r="K432" s="62">
        <f>'Mantenimiento eléctrico'!I26</f>
        <v>1</v>
      </c>
      <c r="L432" s="160">
        <f>'Mantenimiento eléctrico'!J26</f>
        <v>0</v>
      </c>
      <c r="M432" s="20">
        <f>'Mantenimiento eléctrico'!K26</f>
        <v>0</v>
      </c>
      <c r="N432" s="20">
        <f>'Mantenimiento eléctrico'!L26</f>
        <v>0</v>
      </c>
      <c r="O432" s="20">
        <f>'Mantenimiento eléctrico'!M26</f>
        <v>0</v>
      </c>
      <c r="P432" s="20">
        <v>2025</v>
      </c>
    </row>
    <row r="433" spans="1:16" ht="14.25" customHeight="1">
      <c r="A433" s="20" t="s">
        <v>489</v>
      </c>
      <c r="B433" s="20" t="str">
        <f t="shared" ref="B433:B449" si="37">$B$432</f>
        <v>ESTRATEGIA 2</v>
      </c>
      <c r="C433" s="20" t="str">
        <f t="shared" ref="C433:C443" si="38">$C$432</f>
        <v>OBJETIVO OPERATIVO 1</v>
      </c>
      <c r="D433" s="20" t="b">
        <f>'Mantenimiento eléctrico'!B27</f>
        <v>0</v>
      </c>
      <c r="E433" s="20" t="str">
        <f>'Mantenimiento eléctrico'!C27</f>
        <v>Media</v>
      </c>
      <c r="F433" s="21" t="str">
        <f>'Mantenimiento eléctrico'!D27</f>
        <v>2025-I(Todo el ciclo)
2025-II(Todo de ciclo)</v>
      </c>
      <c r="G433" s="20" t="str">
        <f>'Mantenimiento eléctrico'!E27</f>
        <v>Requerimiento y aprobación de Documentos académicos. (Sílabos, guías practicas e informes de avance de Silabo)</v>
      </c>
      <c r="H433" s="20" t="str">
        <f>'Mantenimiento eléctrico'!F27</f>
        <v>Director/a carrera - gestor académico</v>
      </c>
      <c r="I433" s="20" t="str">
        <f>'Mantenimiento eléctrico'!G27</f>
        <v>Solicitud de documentos académicos por materias</v>
      </c>
      <c r="J433" s="20" t="str">
        <f>'Mantenimiento eléctrico'!H27</f>
        <v>Documentación aprobada.</v>
      </c>
      <c r="K433" s="62">
        <f>'Mantenimiento eléctrico'!I27</f>
        <v>0.5</v>
      </c>
      <c r="L433" s="160">
        <f>'Mantenimiento eléctrico'!J27</f>
        <v>0</v>
      </c>
      <c r="M433" s="20">
        <f>'Mantenimiento eléctrico'!K27</f>
        <v>0</v>
      </c>
      <c r="N433" s="20">
        <f>'Mantenimiento eléctrico'!L27</f>
        <v>0</v>
      </c>
      <c r="O433" s="20" t="str">
        <f>'Mantenimiento eléctrico'!M27</f>
        <v>Faltan los sílabos, socializaciones, guías, avance interciclo, notas del primer parcial correspondiente al período 2025 2P</v>
      </c>
      <c r="P433" s="20">
        <v>2025</v>
      </c>
    </row>
    <row r="434" spans="1:16" ht="14.25" customHeight="1">
      <c r="A434" s="20" t="s">
        <v>489</v>
      </c>
      <c r="B434" s="20" t="str">
        <f t="shared" si="37"/>
        <v>ESTRATEGIA 2</v>
      </c>
      <c r="C434" s="20" t="str">
        <f t="shared" si="38"/>
        <v>OBJETIVO OPERATIVO 1</v>
      </c>
      <c r="D434" s="20" t="b">
        <f>'Mantenimiento eléctrico'!B28</f>
        <v>0</v>
      </c>
      <c r="E434" s="20" t="str">
        <f>'Mantenimiento eléctrico'!C28</f>
        <v>Media</v>
      </c>
      <c r="F434" s="21" t="str">
        <f>'Mantenimiento eléctrico'!D28</f>
        <v>2025-I(Todo el ciclo)
2025-II(Todo de ciclo)</v>
      </c>
      <c r="G434" s="20" t="str">
        <f>'Mantenimiento eléctrico'!E28</f>
        <v>Seguimiento al cumplimiento de la documentación académica.</v>
      </c>
      <c r="H434" s="20" t="str">
        <f>'Mantenimiento eléctrico'!F28</f>
        <v>Director/a carrera - gestor académico</v>
      </c>
      <c r="I434" s="20" t="str">
        <f>'Mantenimiento eléctrico'!G28</f>
        <v>Revisión de documentos académicos por materias</v>
      </c>
      <c r="J434" s="20" t="str">
        <f>'Mantenimiento eléctrico'!H28</f>
        <v>Informe de carrera sobre la documentación recibida.</v>
      </c>
      <c r="K434" s="62">
        <f>'Mantenimiento eléctrico'!I28</f>
        <v>1</v>
      </c>
      <c r="L434" s="160">
        <f>'Mantenimiento eléctrico'!J28</f>
        <v>0</v>
      </c>
      <c r="M434" s="20">
        <f>'Mantenimiento eléctrico'!K28</f>
        <v>0</v>
      </c>
      <c r="N434" s="20">
        <f>'Mantenimiento eléctrico'!L28</f>
        <v>0</v>
      </c>
      <c r="O434" s="20">
        <f>'Mantenimiento eléctrico'!M28</f>
        <v>0</v>
      </c>
      <c r="P434" s="20">
        <v>2025</v>
      </c>
    </row>
    <row r="435" spans="1:16" ht="14.25" customHeight="1">
      <c r="A435" s="20" t="s">
        <v>489</v>
      </c>
      <c r="B435" s="20" t="str">
        <f t="shared" si="37"/>
        <v>ESTRATEGIA 2</v>
      </c>
      <c r="C435" s="20" t="str">
        <f t="shared" si="38"/>
        <v>OBJETIVO OPERATIVO 1</v>
      </c>
      <c r="D435" s="20" t="b">
        <f>'Mantenimiento eléctrico'!B29</f>
        <v>0</v>
      </c>
      <c r="E435" s="20" t="str">
        <f>'Mantenimiento eléctrico'!C29</f>
        <v>Baja</v>
      </c>
      <c r="F435" s="21" t="str">
        <f>'Mantenimiento eléctrico'!D29</f>
        <v>2025-I(Todo el ciclo)
2025-II(Todo de ciclo)</v>
      </c>
      <c r="G435" s="20" t="str">
        <f>'Mantenimiento eléctrico'!E29</f>
        <v>Reuniones de carrera  para socialización y toma de decisiones</v>
      </c>
      <c r="H435" s="20" t="str">
        <f>'Mantenimiento eléctrico'!F29</f>
        <v>Director/a carrera - gestor académico</v>
      </c>
      <c r="I435" s="20" t="str">
        <f>'Mantenimiento eléctrico'!G29</f>
        <v>Reuniones de carrera de acuerdo a requerimientos</v>
      </c>
      <c r="J435" s="20" t="str">
        <f>'Mantenimiento eléctrico'!H29</f>
        <v>Convocatorias, actas e informes de reuniones de carrera.</v>
      </c>
      <c r="K435" s="62">
        <f>'Mantenimiento eléctrico'!I29</f>
        <v>1</v>
      </c>
      <c r="L435" s="160">
        <f>'Mantenimiento eléctrico'!J29</f>
        <v>0</v>
      </c>
      <c r="M435" s="20">
        <f>'Mantenimiento eléctrico'!K29</f>
        <v>0</v>
      </c>
      <c r="N435" s="20">
        <f>'Mantenimiento eléctrico'!L29</f>
        <v>0</v>
      </c>
      <c r="O435" s="20">
        <f>'Mantenimiento eléctrico'!M29</f>
        <v>0</v>
      </c>
      <c r="P435" s="20">
        <v>2025</v>
      </c>
    </row>
    <row r="436" spans="1:16" ht="14.25" customHeight="1">
      <c r="A436" s="20" t="s">
        <v>489</v>
      </c>
      <c r="B436" s="20" t="str">
        <f t="shared" si="37"/>
        <v>ESTRATEGIA 2</v>
      </c>
      <c r="C436" s="20" t="str">
        <f t="shared" si="38"/>
        <v>OBJETIVO OPERATIVO 1</v>
      </c>
      <c r="D436" s="20" t="b">
        <f>'Mantenimiento eléctrico'!B30</f>
        <v>0</v>
      </c>
      <c r="E436" s="20" t="str">
        <f>'Mantenimiento eléctrico'!C30</f>
        <v>Baja</v>
      </c>
      <c r="F436" s="21">
        <f>'Mantenimiento eléctrico'!D30</f>
        <v>45838</v>
      </c>
      <c r="G436" s="20" t="str">
        <f>'Mantenimiento eléctrico'!E30</f>
        <v>Informe semestral POA 2025</v>
      </c>
      <c r="H436" s="20" t="str">
        <f>'Mantenimiento eléctrico'!F30</f>
        <v>Director/a carrera - gestor académico</v>
      </c>
      <c r="I436" s="20" t="str">
        <f>'Mantenimiento eléctrico'!G30</f>
        <v>Informar sobre el avance del  POA</v>
      </c>
      <c r="J436" s="20" t="str">
        <f>'Mantenimiento eléctrico'!H30</f>
        <v>Informe semestral seguimiento POA 2025</v>
      </c>
      <c r="K436" s="62">
        <f>'Mantenimiento eléctrico'!I30</f>
        <v>1</v>
      </c>
      <c r="L436" s="160">
        <f>'Mantenimiento eléctrico'!J30</f>
        <v>0</v>
      </c>
      <c r="M436" s="20">
        <f>'Mantenimiento eléctrico'!K30</f>
        <v>0</v>
      </c>
      <c r="N436" s="20">
        <f>'Mantenimiento eléctrico'!L30</f>
        <v>0</v>
      </c>
      <c r="O436" s="20">
        <f>'Mantenimiento eléctrico'!M30</f>
        <v>0</v>
      </c>
      <c r="P436" s="20">
        <v>2025</v>
      </c>
    </row>
    <row r="437" spans="1:16" ht="14.25" customHeight="1">
      <c r="A437" s="20" t="s">
        <v>489</v>
      </c>
      <c r="B437" s="20" t="str">
        <f t="shared" si="37"/>
        <v>ESTRATEGIA 2</v>
      </c>
      <c r="C437" s="20" t="str">
        <f t="shared" si="38"/>
        <v>OBJETIVO OPERATIVO 1</v>
      </c>
      <c r="D437" s="20" t="b">
        <f>'Mantenimiento eléctrico'!B31</f>
        <v>0</v>
      </c>
      <c r="E437" s="20" t="str">
        <f>'Mantenimiento eléctrico'!C31</f>
        <v>Baja</v>
      </c>
      <c r="F437" s="21">
        <f>'Mantenimiento eléctrico'!D31</f>
        <v>45991</v>
      </c>
      <c r="G437" s="20" t="str">
        <f>'Mantenimiento eléctrico'!E31</f>
        <v>Informe final POA 2025</v>
      </c>
      <c r="H437" s="20" t="str">
        <f>'Mantenimiento eléctrico'!F31</f>
        <v>Director/a carrera - gestor académico</v>
      </c>
      <c r="I437" s="20" t="str">
        <f>'Mantenimiento eléctrico'!G31</f>
        <v>Informar sobre el alcance final del  POA</v>
      </c>
      <c r="J437" s="20" t="str">
        <f>'Mantenimiento eléctrico'!H31</f>
        <v>Informe final POA 2025</v>
      </c>
      <c r="K437" s="62">
        <f>'Mantenimiento eléctrico'!I31</f>
        <v>1</v>
      </c>
      <c r="L437" s="160">
        <f>'Mantenimiento eléctrico'!J31</f>
        <v>0</v>
      </c>
      <c r="M437" s="20">
        <f>'Mantenimiento eléctrico'!K31</f>
        <v>0</v>
      </c>
      <c r="N437" s="20">
        <f>'Mantenimiento eléctrico'!L31</f>
        <v>0</v>
      </c>
      <c r="O437" s="20">
        <f>'Mantenimiento eléctrico'!M31</f>
        <v>0</v>
      </c>
      <c r="P437" s="20">
        <v>2025</v>
      </c>
    </row>
    <row r="438" spans="1:16" ht="14.25" customHeight="1">
      <c r="A438" s="20" t="s">
        <v>489</v>
      </c>
      <c r="B438" s="20" t="str">
        <f t="shared" si="37"/>
        <v>ESTRATEGIA 2</v>
      </c>
      <c r="C438" s="20" t="str">
        <f t="shared" si="38"/>
        <v>OBJETIVO OPERATIVO 1</v>
      </c>
      <c r="D438" s="20" t="b">
        <f>'Mantenimiento eléctrico'!B32</f>
        <v>0</v>
      </c>
      <c r="E438" s="20" t="str">
        <f>'Mantenimiento eléctrico'!C32</f>
        <v>Baja</v>
      </c>
      <c r="F438" s="21">
        <f>'Mantenimiento eléctrico'!D32</f>
        <v>46011</v>
      </c>
      <c r="G438" s="20" t="str">
        <f>'Mantenimiento eléctrico'!E32</f>
        <v>Elaborar la Planificación Operativa Anual 2026</v>
      </c>
      <c r="H438" s="20" t="str">
        <f>'Mantenimiento eléctrico'!F32</f>
        <v>Director/a carrera - gestor académico</v>
      </c>
      <c r="I438" s="20" t="str">
        <f>'Mantenimiento eléctrico'!G32</f>
        <v>Realizar la planificación para el 2025</v>
      </c>
      <c r="J438" s="20" t="str">
        <f>'Mantenimiento eléctrico'!H32</f>
        <v>POA 2026 entregado</v>
      </c>
      <c r="K438" s="62">
        <f>'Mantenimiento eléctrico'!I32</f>
        <v>1</v>
      </c>
      <c r="L438" s="160">
        <f>'Mantenimiento eléctrico'!J32</f>
        <v>0</v>
      </c>
      <c r="M438" s="20">
        <f>'Mantenimiento eléctrico'!K32</f>
        <v>0</v>
      </c>
      <c r="N438" s="20">
        <f>'Mantenimiento eléctrico'!L32</f>
        <v>0</v>
      </c>
      <c r="O438" s="20">
        <f>'Mantenimiento eléctrico'!M32</f>
        <v>0</v>
      </c>
      <c r="P438" s="20">
        <v>2025</v>
      </c>
    </row>
    <row r="439" spans="1:16" ht="14.25" customHeight="1">
      <c r="A439" s="20" t="s">
        <v>489</v>
      </c>
      <c r="B439" s="20" t="str">
        <f t="shared" si="37"/>
        <v>ESTRATEGIA 2</v>
      </c>
      <c r="C439" s="20" t="str">
        <f t="shared" si="38"/>
        <v>OBJETIVO OPERATIVO 1</v>
      </c>
      <c r="D439" s="20" t="b">
        <f>'Mantenimiento eléctrico'!B33</f>
        <v>0</v>
      </c>
      <c r="E439" s="20" t="str">
        <f>'Mantenimiento eléctrico'!C33</f>
        <v>Media</v>
      </c>
      <c r="F439" s="21" t="str">
        <f>'Mantenimiento eléctrico'!D33</f>
        <v>2025-I (inicio de ciclo)
2025-II (inicio de ciclo)</v>
      </c>
      <c r="G439" s="20" t="str">
        <f>'Mantenimiento eléctrico'!E33</f>
        <v>Designación de tutores de curso</v>
      </c>
      <c r="H439" s="20" t="str">
        <f>'Mantenimiento eléctrico'!F33</f>
        <v>Director/a carrera</v>
      </c>
      <c r="I439" s="20" t="str">
        <f>'Mantenimiento eléctrico'!G33</f>
        <v>Realizar las designaciones y evidenciar los responsables y tutores de la carrera</v>
      </c>
      <c r="J439" s="20" t="str">
        <f>'Mantenimiento eléctrico'!H33</f>
        <v>Documento de designación de tutores por parte del director de carrera</v>
      </c>
      <c r="K439" s="62">
        <f>'Mantenimiento eléctrico'!I33</f>
        <v>1</v>
      </c>
      <c r="L439" s="160">
        <f>'Mantenimiento eléctrico'!J33</f>
        <v>0</v>
      </c>
      <c r="M439" s="20">
        <f>'Mantenimiento eléctrico'!K33</f>
        <v>0</v>
      </c>
      <c r="N439" s="20">
        <f>'Mantenimiento eléctrico'!L33</f>
        <v>0</v>
      </c>
      <c r="O439" s="20">
        <f>'Mantenimiento eléctrico'!M33</f>
        <v>0</v>
      </c>
      <c r="P439" s="20">
        <v>2025</v>
      </c>
    </row>
    <row r="440" spans="1:16" ht="14.25" customHeight="1">
      <c r="A440" s="20" t="s">
        <v>489</v>
      </c>
      <c r="B440" s="20" t="str">
        <f t="shared" si="37"/>
        <v>ESTRATEGIA 2</v>
      </c>
      <c r="C440" s="20" t="str">
        <f t="shared" si="38"/>
        <v>OBJETIVO OPERATIVO 1</v>
      </c>
      <c r="D440" s="20" t="b">
        <f>'Mantenimiento eléctrico'!B34</f>
        <v>0</v>
      </c>
      <c r="E440" s="20" t="str">
        <f>'Mantenimiento eléctrico'!C34</f>
        <v>Media</v>
      </c>
      <c r="F440" s="21" t="str">
        <f>'Mantenimiento eléctrico'!D34</f>
        <v>2025-I(Todo el ciclo)
2025-II(Todo el ciclo)</v>
      </c>
      <c r="G440" s="20" t="str">
        <f>'Mantenimiento eléctrico'!E34</f>
        <v>Ejecutar las actividades de la fase de SEGUIMIENTO del modelo metodológico del proceso de Seguimiento Curricular</v>
      </c>
      <c r="H440" s="20" t="str">
        <f>'Mantenimiento eléctrico'!F34</f>
        <v>Director/a de carrera - Gestor/a académico
Tutores de curso</v>
      </c>
      <c r="I440" s="20" t="str">
        <f>'Mantenimiento eléctrico'!G34</f>
        <v>Realizar el Seguimiento del modelo metodológico</v>
      </c>
      <c r="J440" s="20" t="str">
        <f>'Mantenimiento eléctrico'!H34</f>
        <v>Fase SEGUIMIENTO:
INICIO: Socialización de Tutorías Académicas
DURANTE: Registro de Calificaciones del Primer Parcial
FINAL : Registro de Calificación Finales</v>
      </c>
      <c r="K440" s="62">
        <f>'Mantenimiento eléctrico'!I34</f>
        <v>1</v>
      </c>
      <c r="L440" s="160">
        <f>'Mantenimiento eléctrico'!J34</f>
        <v>0</v>
      </c>
      <c r="M440" s="20">
        <f>'Mantenimiento eléctrico'!K34</f>
        <v>0</v>
      </c>
      <c r="N440" s="20">
        <f>'Mantenimiento eléctrico'!L34</f>
        <v>0</v>
      </c>
      <c r="O440" s="20">
        <f>'Mantenimiento eléctrico'!M34</f>
        <v>0</v>
      </c>
      <c r="P440" s="20">
        <v>2025</v>
      </c>
    </row>
    <row r="441" spans="1:16" ht="14.25" customHeight="1">
      <c r="A441" s="20" t="s">
        <v>489</v>
      </c>
      <c r="B441" s="20" t="str">
        <f t="shared" si="37"/>
        <v>ESTRATEGIA 2</v>
      </c>
      <c r="C441" s="20" t="str">
        <f t="shared" si="38"/>
        <v>OBJETIVO OPERATIVO 1</v>
      </c>
      <c r="D441" s="20" t="b">
        <f>'Mantenimiento eléctrico'!B35</f>
        <v>0</v>
      </c>
      <c r="E441" s="20" t="str">
        <f>'Mantenimiento eléctrico'!C35</f>
        <v>Media</v>
      </c>
      <c r="F441" s="21" t="str">
        <f>'Mantenimiento eléctrico'!D35</f>
        <v>2025-I(Todo el ciclo)
2025-II(Todo el ciclo)</v>
      </c>
      <c r="G441" s="20" t="str">
        <f>'Mantenimiento eléctrico'!E35</f>
        <v>Ejecutar las actividades de la fase de CONTROL del modelo metodológico del proceso de Seguimiento Curricular</v>
      </c>
      <c r="H441" s="20" t="str">
        <f>'Mantenimiento eléctrico'!F35</f>
        <v>Director/a de carrera - Gestor/a académico
Tutores de curso</v>
      </c>
      <c r="I441" s="20" t="str">
        <f>'Mantenimiento eléctrico'!G35</f>
        <v>Realizar el Control del modelo metodológico</v>
      </c>
      <c r="J441" s="20" t="str">
        <f>'Mantenimiento eléctrico'!H35</f>
        <v>Fase CONTROL:
INICIO: Matriz consolidada de resultados de Pruebas de Diagnostico
DURANTE: Matriz consolidada de resultados de Calificaciones del Primer Parcial
FINAL : Matriz consolidada de resultados de Calificaciones Finales</v>
      </c>
      <c r="K441" s="62">
        <f>'Mantenimiento eléctrico'!I35</f>
        <v>1</v>
      </c>
      <c r="L441" s="160">
        <f>'Mantenimiento eléctrico'!J35</f>
        <v>0</v>
      </c>
      <c r="M441" s="20">
        <f>'Mantenimiento eléctrico'!K35</f>
        <v>0</v>
      </c>
      <c r="N441" s="20">
        <f>'Mantenimiento eléctrico'!L35</f>
        <v>0</v>
      </c>
      <c r="O441" s="20">
        <f>'Mantenimiento eléctrico'!M35</f>
        <v>0</v>
      </c>
      <c r="P441" s="20">
        <v>2025</v>
      </c>
    </row>
    <row r="442" spans="1:16" ht="14.25" customHeight="1">
      <c r="A442" s="20" t="s">
        <v>489</v>
      </c>
      <c r="B442" s="20" t="str">
        <f t="shared" si="37"/>
        <v>ESTRATEGIA 2</v>
      </c>
      <c r="C442" s="20" t="str">
        <f t="shared" si="38"/>
        <v>OBJETIVO OPERATIVO 1</v>
      </c>
      <c r="D442" s="20" t="b">
        <f>'Mantenimiento eléctrico'!B36</f>
        <v>0</v>
      </c>
      <c r="E442" s="20" t="str">
        <f>'Mantenimiento eléctrico'!C36</f>
        <v>Media</v>
      </c>
      <c r="F442" s="21" t="str">
        <f>'Mantenimiento eléctrico'!D36</f>
        <v>2025-I(Todo el ciclo)
2025-II(Todo el ciclo)</v>
      </c>
      <c r="G442" s="20" t="str">
        <f>'Mantenimiento eléctrico'!E36</f>
        <v>Ejecutar las actividades de la fase de EVALUACIÓN del modelo metodológico del proceso de Seguimiento Curricular</v>
      </c>
      <c r="H442" s="20" t="str">
        <f>'Mantenimiento eléctrico'!F36</f>
        <v>Director/a de carrera - Gestor/a académico
Tutores de curso</v>
      </c>
      <c r="I442" s="20" t="str">
        <f>'Mantenimiento eléctrico'!G36</f>
        <v>Realizar la Evaluación del modelo metodológico</v>
      </c>
      <c r="J442" s="20" t="str">
        <f>'Mantenimiento eléctrico'!H36</f>
        <v>Fase EVALAUCIÓN:
INICIO: Acta de reunión de inicio de ciclo estudiantes
DURANTE: Acta de reunión del Primer Parcial Docentes - Estudiantes
FINAL : Acta de reunión Final - Docentes - Estudiantes</v>
      </c>
      <c r="K442" s="62">
        <f>'Mantenimiento eléctrico'!I36</f>
        <v>1</v>
      </c>
      <c r="L442" s="160">
        <f>'Mantenimiento eléctrico'!J36</f>
        <v>0</v>
      </c>
      <c r="M442" s="20">
        <f>'Mantenimiento eléctrico'!K36</f>
        <v>0</v>
      </c>
      <c r="N442" s="20">
        <f>'Mantenimiento eléctrico'!L36</f>
        <v>0</v>
      </c>
      <c r="O442" s="20">
        <f>'Mantenimiento eléctrico'!M36</f>
        <v>0</v>
      </c>
      <c r="P442" s="20">
        <v>2025</v>
      </c>
    </row>
    <row r="443" spans="1:16" ht="14.25" customHeight="1">
      <c r="A443" s="20" t="s">
        <v>489</v>
      </c>
      <c r="B443" s="20" t="str">
        <f t="shared" si="37"/>
        <v>ESTRATEGIA 2</v>
      </c>
      <c r="C443" s="20" t="str">
        <f t="shared" si="38"/>
        <v>OBJETIVO OPERATIVO 1</v>
      </c>
      <c r="D443" s="20" t="b">
        <f>'Mantenimiento eléctrico'!B37</f>
        <v>0</v>
      </c>
      <c r="E443" s="20" t="str">
        <f>'Mantenimiento eléctrico'!C37</f>
        <v>Baja</v>
      </c>
      <c r="F443" s="21" t="str">
        <f>'Mantenimiento eléctrico'!D37</f>
        <v>2024-II(Fin de ciclo)
2025-I(Fin de Ciclo)</v>
      </c>
      <c r="G443" s="20" t="str">
        <f>'Mantenimiento eléctrico'!E37</f>
        <v>Elaboración del Plan de Mejoramiento del proceso enseñanza aprendizaje</v>
      </c>
      <c r="H443" s="20" t="str">
        <f>'Mantenimiento eléctrico'!F37</f>
        <v>Director/a carrera
Responsable de Seguimiento a graduados de la carrera</v>
      </c>
      <c r="I443" s="20" t="str">
        <f>'Mantenimiento eléctrico'!G37</f>
        <v>De acuerdo a los resultados generar el Plan de Mejoramiento enseñanza aprendizaje</v>
      </c>
      <c r="J443" s="20" t="str">
        <f>'Mantenimiento eléctrico'!H37</f>
        <v>Informe de plan de mejoramiento curricular</v>
      </c>
      <c r="K443" s="62">
        <f>'Mantenimiento eléctrico'!I37</f>
        <v>0.5</v>
      </c>
      <c r="L443" s="160">
        <f>'Mantenimiento eléctrico'!J37</f>
        <v>0</v>
      </c>
      <c r="M443" s="20">
        <f>'Mantenimiento eléctrico'!K37</f>
        <v>0</v>
      </c>
      <c r="N443" s="20">
        <f>'Mantenimiento eléctrico'!L37</f>
        <v>0</v>
      </c>
      <c r="O443" s="20" t="str">
        <f>'Mantenimiento eléctrico'!M37</f>
        <v>Falta el plan del período 2024 2P</v>
      </c>
      <c r="P443" s="20">
        <v>2025</v>
      </c>
    </row>
    <row r="444" spans="1:16" ht="14.25" customHeight="1">
      <c r="A444" s="20" t="s">
        <v>489</v>
      </c>
      <c r="B444" s="20" t="str">
        <f t="shared" si="37"/>
        <v>ESTRATEGIA 2</v>
      </c>
      <c r="C444" s="20" t="str">
        <f>'Mantenimiento eléctrico'!E38</f>
        <v>OBJETIVO OPERATIVO 2</v>
      </c>
      <c r="D444" s="20" t="b">
        <f>'Mantenimiento eléctrico'!B39</f>
        <v>1</v>
      </c>
      <c r="E444" s="20" t="str">
        <f>'Mantenimiento eléctrico'!C39</f>
        <v>Media</v>
      </c>
      <c r="F444" s="21" t="str">
        <f>'Mantenimiento eléctrico'!D39</f>
        <v>2025-II(Inicio de ciclo)</v>
      </c>
      <c r="G444" s="20" t="str">
        <f>'Mantenimiento eléctrico'!E39</f>
        <v>Diseñar, gestionar e implementar cursos o programas de inducción y de actualización para docentes y estudiantes.</v>
      </c>
      <c r="H444" s="20" t="str">
        <f>'Mantenimiento eléctrico'!F39</f>
        <v>Director/a carrera - gestor académico</v>
      </c>
      <c r="I444" s="20" t="str">
        <f>'Mantenimiento eléctrico'!G39</f>
        <v>Generar la capacitación docente</v>
      </c>
      <c r="J444" s="20" t="str">
        <f>'Mantenimiento eléctrico'!H39</f>
        <v>Informes de cursos y o programas.</v>
      </c>
      <c r="K444" s="62">
        <f>'Mantenimiento eléctrico'!I39</f>
        <v>1</v>
      </c>
      <c r="L444" s="160">
        <f>'Mantenimiento eléctrico'!J39</f>
        <v>0</v>
      </c>
      <c r="M444" s="20">
        <f>'Mantenimiento eléctrico'!K39</f>
        <v>0</v>
      </c>
      <c r="N444" s="20">
        <f>'Mantenimiento eléctrico'!L39</f>
        <v>0</v>
      </c>
      <c r="O444" s="20">
        <f>'Mantenimiento eléctrico'!M39</f>
        <v>0</v>
      </c>
      <c r="P444" s="20">
        <v>2025</v>
      </c>
    </row>
    <row r="445" spans="1:16" ht="14.25" customHeight="1">
      <c r="A445" s="20" t="s">
        <v>489</v>
      </c>
      <c r="B445" s="20" t="str">
        <f t="shared" si="37"/>
        <v>ESTRATEGIA 2</v>
      </c>
      <c r="C445" s="20" t="str">
        <f>$C$444</f>
        <v>OBJETIVO OPERATIVO 2</v>
      </c>
      <c r="D445" s="20" t="b">
        <f>'Mantenimiento eléctrico'!B40</f>
        <v>1</v>
      </c>
      <c r="E445" s="20" t="str">
        <f>'Mantenimiento eléctrico'!C40</f>
        <v>Media</v>
      </c>
      <c r="F445" s="21" t="str">
        <f>'Mantenimiento eléctrico'!D40</f>
        <v>2025-II(Inicio de ciclo)</v>
      </c>
      <c r="G445" s="20" t="str">
        <f>'Mantenimiento eléctrico'!E40</f>
        <v>Capacitar a los estudiantes sobre la utilización de la Plataforma Moodle.</v>
      </c>
      <c r="H445" s="20" t="str">
        <f>'Mantenimiento eléctrico'!F40</f>
        <v>responsable plataforma Moodle de la carrera</v>
      </c>
      <c r="I445" s="20" t="str">
        <f>'Mantenimiento eléctrico'!G40</f>
        <v>Generar la capacitación estudiantil sobre el Moodle</v>
      </c>
      <c r="J445" s="20" t="str">
        <f>'Mantenimiento eléctrico'!H40</f>
        <v>Informe sobre la capacitación</v>
      </c>
      <c r="K445" s="62">
        <f>'Mantenimiento eléctrico'!I40</f>
        <v>1</v>
      </c>
      <c r="L445" s="160">
        <f>'Mantenimiento eléctrico'!J40</f>
        <v>0</v>
      </c>
      <c r="M445" s="20">
        <f>'Mantenimiento eléctrico'!K40</f>
        <v>0</v>
      </c>
      <c r="N445" s="20">
        <f>'Mantenimiento eléctrico'!L40</f>
        <v>0</v>
      </c>
      <c r="O445" s="20">
        <f>'Mantenimiento eléctrico'!M40</f>
        <v>0</v>
      </c>
      <c r="P445" s="20">
        <v>2025</v>
      </c>
    </row>
    <row r="446" spans="1:16" ht="14.25" customHeight="1">
      <c r="A446" s="20" t="s">
        <v>489</v>
      </c>
      <c r="B446" s="20" t="str">
        <f t="shared" si="37"/>
        <v>ESTRATEGIA 2</v>
      </c>
      <c r="C446" s="20" t="str">
        <f>$C$444</f>
        <v>OBJETIVO OPERATIVO 2</v>
      </c>
      <c r="D446" s="20" t="b">
        <f>'Mantenimiento eléctrico'!B41</f>
        <v>1</v>
      </c>
      <c r="E446" s="20" t="str">
        <f>'Mantenimiento eléctrico'!C41</f>
        <v>Baja</v>
      </c>
      <c r="F446" s="21" t="str">
        <f>'Mantenimiento eléctrico'!D41</f>
        <v>2025-II(Fin de ciclo)</v>
      </c>
      <c r="G446" s="20" t="str">
        <f>'Mantenimiento eléctrico'!E41</f>
        <v>Elaborar y ejecutar la planificación de oferta complementaria.</v>
      </c>
      <c r="H446" s="20" t="str">
        <f>'Mantenimiento eléctrico'!F41</f>
        <v>Docentes de la carrera</v>
      </c>
      <c r="I446" s="20" t="str">
        <f>'Mantenimiento eléctrico'!G41</f>
        <v>Analizar y realizar la oferta complementaria</v>
      </c>
      <c r="J446" s="20" t="str">
        <f>'Mantenimiento eléctrico'!H41</f>
        <v>Informe de ejecución de la oferta complementaria.</v>
      </c>
      <c r="K446" s="62">
        <f>'Mantenimiento eléctrico'!I41</f>
        <v>0.5</v>
      </c>
      <c r="L446" s="160">
        <f>'Mantenimiento eléctrico'!J41</f>
        <v>0</v>
      </c>
      <c r="M446" s="20">
        <f>'Mantenimiento eléctrico'!K41</f>
        <v>0</v>
      </c>
      <c r="N446" s="20">
        <f>'Mantenimiento eléctrico'!L41</f>
        <v>0</v>
      </c>
      <c r="O446" s="20" t="str">
        <f>'Mantenimiento eléctrico'!M41</f>
        <v>Falta el membrete en el informe de ejecución</v>
      </c>
      <c r="P446" s="20">
        <v>2025</v>
      </c>
    </row>
    <row r="447" spans="1:16" ht="14.25" customHeight="1">
      <c r="A447" s="20" t="s">
        <v>489</v>
      </c>
      <c r="B447" s="20" t="str">
        <f t="shared" si="37"/>
        <v>ESTRATEGIA 2</v>
      </c>
      <c r="C447" s="20" t="str">
        <f>'Mantenimiento eléctrico'!E42</f>
        <v>OBJETIVO OPERATIVO 3</v>
      </c>
      <c r="D447" s="20" t="b">
        <f>'Mantenimiento eléctrico'!B43</f>
        <v>1</v>
      </c>
      <c r="E447" s="20" t="str">
        <f>'Mantenimiento eléctrico'!C43</f>
        <v>Alta</v>
      </c>
      <c r="F447" s="21" t="str">
        <f>'Mantenimiento eléctrico'!D43</f>
        <v>2025-I(Inicio de ciclo)</v>
      </c>
      <c r="G447" s="20" t="str">
        <f>'Mantenimiento eléctrico'!E43</f>
        <v>Revisión de requisitos de la opción de titulación de los estudiantes.</v>
      </c>
      <c r="H447" s="20" t="str">
        <f>'Mantenimiento eléctrico'!F43</f>
        <v>Director de carrera / Coordinador de carreras</v>
      </c>
      <c r="I447" s="20" t="str">
        <f>'Mantenimiento eléctrico'!G43</f>
        <v>Realizar el análisis de la opción de titulación para los estudiantes</v>
      </c>
      <c r="J447" s="20" t="str">
        <f>'Mantenimiento eléctrico'!H43</f>
        <v>Recopilar los documentos de los estudiantes de titulación.</v>
      </c>
      <c r="K447" s="62">
        <f>'Mantenimiento eléctrico'!I43</f>
        <v>0.5</v>
      </c>
      <c r="L447" s="160">
        <f>'Mantenimiento eléctrico'!J43</f>
        <v>0</v>
      </c>
      <c r="M447" s="20">
        <f>'Mantenimiento eléctrico'!K43</f>
        <v>0</v>
      </c>
      <c r="N447" s="20">
        <f>'Mantenimiento eléctrico'!L43</f>
        <v>0</v>
      </c>
      <c r="O447" s="20" t="str">
        <f>'Mantenimiento eléctrico'!M43</f>
        <v>Falta el membrete en el informe</v>
      </c>
      <c r="P447" s="20">
        <v>2025</v>
      </c>
    </row>
    <row r="448" spans="1:16" ht="14.25" customHeight="1">
      <c r="A448" s="20" t="s">
        <v>489</v>
      </c>
      <c r="B448" s="20" t="str">
        <f t="shared" si="37"/>
        <v>ESTRATEGIA 2</v>
      </c>
      <c r="C448" s="20" t="str">
        <f>$C$447</f>
        <v>OBJETIVO OPERATIVO 3</v>
      </c>
      <c r="D448" s="20" t="b">
        <f>'Mantenimiento eléctrico'!B44</f>
        <v>1</v>
      </c>
      <c r="E448" s="20" t="str">
        <f>'Mantenimiento eléctrico'!C44</f>
        <v>Alta</v>
      </c>
      <c r="F448" s="21" t="str">
        <f>'Mantenimiento eléctrico'!D44</f>
        <v>2025-I(Inicio de ciclo)</v>
      </c>
      <c r="G448" s="20" t="str">
        <f>'Mantenimiento eléctrico'!E44</f>
        <v>Coordinación para aprobación de documentación de la integración curricular.</v>
      </c>
      <c r="H448" s="20" t="str">
        <f>'Mantenimiento eléctrico'!F44</f>
        <v>Director de carrera / Coordinador de carreras</v>
      </c>
      <c r="I448" s="20" t="str">
        <f>'Mantenimiento eléctrico'!G44</f>
        <v>Revisar y coordinar la aprobación de documentos para el ingreso a la unidad de integración curricular</v>
      </c>
      <c r="J448" s="20" t="str">
        <f>'Mantenimiento eléctrico'!H44</f>
        <v>Aprobación de la documentación a titulación.</v>
      </c>
      <c r="K448" s="62">
        <f>'Mantenimiento eléctrico'!I44</f>
        <v>0</v>
      </c>
      <c r="L448" s="160">
        <f>'Mantenimiento eléctrico'!J44</f>
        <v>0</v>
      </c>
      <c r="M448" s="20">
        <f>'Mantenimiento eléctrico'!K44</f>
        <v>0</v>
      </c>
      <c r="N448" s="20">
        <f>'Mantenimiento eléctrico'!L44</f>
        <v>0</v>
      </c>
      <c r="O448" s="20" t="str">
        <f>'Mantenimiento eléctrico'!M44</f>
        <v>Falta constancia de Formato 1 y 2.</v>
      </c>
      <c r="P448" s="20">
        <v>2025</v>
      </c>
    </row>
    <row r="449" spans="1:16" ht="14.25" customHeight="1">
      <c r="A449" s="20" t="s">
        <v>489</v>
      </c>
      <c r="B449" s="20" t="str">
        <f t="shared" si="37"/>
        <v>ESTRATEGIA 2</v>
      </c>
      <c r="C449" s="20" t="str">
        <f>$C$447</f>
        <v>OBJETIVO OPERATIVO 3</v>
      </c>
      <c r="D449" s="20" t="b">
        <f>'Mantenimiento eléctrico'!B45</f>
        <v>1</v>
      </c>
      <c r="E449" s="20" t="str">
        <f>'Mantenimiento eléctrico'!C45</f>
        <v>Alta</v>
      </c>
      <c r="F449" s="21" t="str">
        <f>'Mantenimiento eléctrico'!D45</f>
        <v>2025-I(Fin de ciclo)</v>
      </c>
      <c r="G449" s="20" t="str">
        <f>'Mantenimiento eléctrico'!E45</f>
        <v>Coordinación del evento de incorporación.</v>
      </c>
      <c r="H449" s="20" t="str">
        <f>'Mantenimiento eléctrico'!F45</f>
        <v>Director de carrera / Coordinador de carreras</v>
      </c>
      <c r="I449" s="20" t="str">
        <f>'Mantenimiento eléctrico'!G45</f>
        <v>Realizar la lista de estudiantes a titularse</v>
      </c>
      <c r="J449" s="20" t="str">
        <f>'Mantenimiento eléctrico'!H45</f>
        <v>Matriz de datos de estudiantes a titularse</v>
      </c>
      <c r="K449" s="62">
        <f>'Mantenimiento eléctrico'!I45</f>
        <v>0</v>
      </c>
      <c r="L449" s="160">
        <f>'Mantenimiento eléctrico'!J45</f>
        <v>0</v>
      </c>
      <c r="M449" s="20">
        <f>'Mantenimiento eléctrico'!K45</f>
        <v>0</v>
      </c>
      <c r="N449" s="20">
        <f>'Mantenimiento eléctrico'!L45</f>
        <v>0</v>
      </c>
      <c r="O449" s="20" t="str">
        <f>'Mantenimiento eléctrico'!M45</f>
        <v>Falta matriz de datos de estudiantes u oficio de recepción de documentos de titulación.</v>
      </c>
      <c r="P449" s="20">
        <v>2025</v>
      </c>
    </row>
    <row r="450" spans="1:16" ht="14.25" customHeight="1">
      <c r="A450" s="20" t="s">
        <v>489</v>
      </c>
      <c r="B450" s="20" t="str">
        <f>'Mantenimiento eléctrico'!B46</f>
        <v>ESTRATEGIA 3</v>
      </c>
      <c r="C450" s="20" t="str">
        <f>'Mantenimiento eléctrico'!E46</f>
        <v>OBJETIVO OPERATIVO 1</v>
      </c>
      <c r="D450" s="20" t="b">
        <f>'Mantenimiento eléctrico'!B47</f>
        <v>0</v>
      </c>
      <c r="E450" s="20" t="str">
        <f>'Mantenimiento eléctrico'!C47</f>
        <v>Media</v>
      </c>
      <c r="F450" s="21" t="str">
        <f>'Mantenimiento eléctrico'!D47</f>
        <v>2025-I(Todo el ciclo)
2025-II(Todo de ciclo)</v>
      </c>
      <c r="G450" s="20" t="str">
        <f>'Mantenimiento eléctrico'!E47</f>
        <v>Colaborar con la comisión de Vinculación en la construcción de los documentos necesarios para la firma de convenios.</v>
      </c>
      <c r="H450" s="20" t="str">
        <f>'Mantenimiento eléctrico'!F47</f>
        <v>Director/a carrera -responsable de practicas y vinculación</v>
      </c>
      <c r="I450" s="20" t="str">
        <f>'Mantenimiento eléctrico'!G47</f>
        <v>Brindar apoyo y realizar ITV de vinculación de la carrera</v>
      </c>
      <c r="J450" s="20" t="str">
        <f>'Mantenimiento eléctrico'!H47</f>
        <v>ITV  y los convenios.</v>
      </c>
      <c r="K450" s="62">
        <f>'Mantenimiento eléctrico'!I47</f>
        <v>0.8</v>
      </c>
      <c r="L450" s="160">
        <f>'Mantenimiento eléctrico'!J47</f>
        <v>0</v>
      </c>
      <c r="M450" s="20">
        <f>'Mantenimiento eléctrico'!K47</f>
        <v>0</v>
      </c>
      <c r="N450" s="20">
        <f>'Mantenimiento eléctrico'!L47</f>
        <v>0</v>
      </c>
      <c r="O450" s="20" t="str">
        <f>'Mantenimiento eléctrico'!M47</f>
        <v>Subir el borrador del proyecto con el EMUCE</v>
      </c>
      <c r="P450" s="20">
        <v>2025</v>
      </c>
    </row>
    <row r="451" spans="1:16" ht="14.25" customHeight="1">
      <c r="A451" s="20" t="s">
        <v>489</v>
      </c>
      <c r="B451" s="20" t="str">
        <f>$B$450</f>
        <v>ESTRATEGIA 3</v>
      </c>
      <c r="C451" s="20" t="str">
        <f>$C$450</f>
        <v>OBJETIVO OPERATIVO 1</v>
      </c>
      <c r="D451" s="20" t="b">
        <f>'Mantenimiento eléctrico'!B48</f>
        <v>0</v>
      </c>
      <c r="E451" s="20" t="str">
        <f>'Mantenimiento eléctrico'!C48</f>
        <v>Baja</v>
      </c>
      <c r="F451" s="21" t="str">
        <f>'Mantenimiento eléctrico'!D48</f>
        <v>2024-II( fin ciclo)
2025-I( fin ciclo)</v>
      </c>
      <c r="G451" s="20" t="str">
        <f>'Mantenimiento eléctrico'!E48</f>
        <v>Divulgación de los resultados de los proyectos de vinculación, asistiendo a las ferias convocados por diferentes organizaciones.</v>
      </c>
      <c r="H451" s="20" t="str">
        <f>'Mantenimiento eléctrico'!F48</f>
        <v>Director/a carrera -responsable de practicas y vinculación</v>
      </c>
      <c r="I451" s="20" t="str">
        <f>'Mantenimiento eléctrico'!G48</f>
        <v>Realizar la divulgación de los resultados de los proyectos de vinculación</v>
      </c>
      <c r="J451" s="20" t="str">
        <f>'Mantenimiento eléctrico'!H48</f>
        <v>Informe de la divulgación.</v>
      </c>
      <c r="K451" s="62">
        <f>'Mantenimiento eléctrico'!I48</f>
        <v>1</v>
      </c>
      <c r="L451" s="160">
        <f>'Mantenimiento eléctrico'!J48</f>
        <v>0</v>
      </c>
      <c r="M451" s="20">
        <f>'Mantenimiento eléctrico'!K48</f>
        <v>0</v>
      </c>
      <c r="N451" s="20">
        <f>'Mantenimiento eléctrico'!L48</f>
        <v>0</v>
      </c>
      <c r="O451" s="20">
        <f>'Mantenimiento eléctrico'!M48</f>
        <v>0</v>
      </c>
      <c r="P451" s="20">
        <v>2025</v>
      </c>
    </row>
    <row r="452" spans="1:16" ht="14.25" customHeight="1">
      <c r="A452" s="20" t="s">
        <v>489</v>
      </c>
      <c r="B452" s="20" t="str">
        <f>$B$450</f>
        <v>ESTRATEGIA 3</v>
      </c>
      <c r="C452" s="20" t="str">
        <f>$C$450</f>
        <v>OBJETIVO OPERATIVO 1</v>
      </c>
      <c r="D452" s="20" t="b">
        <f>'Mantenimiento eléctrico'!B49</f>
        <v>0</v>
      </c>
      <c r="E452" s="20" t="str">
        <f>'Mantenimiento eléctrico'!C49</f>
        <v>Baja</v>
      </c>
      <c r="F452" s="21" t="str">
        <f>'Mantenimiento eléctrico'!D49</f>
        <v>2025-I (inicio ciclo)
2025-II(inicio ciclo)</v>
      </c>
      <c r="G452" s="20" t="str">
        <f>'Mantenimiento eléctrico'!E49</f>
        <v>Socializar con los estudiantes el reglamento de vinculación</v>
      </c>
      <c r="H452" s="20" t="str">
        <f>'Mantenimiento eléctrico'!F49</f>
        <v>Director/a carrera -responsable de practicas y vinculación</v>
      </c>
      <c r="I452" s="20" t="str">
        <f>'Mantenimiento eléctrico'!G49</f>
        <v>Realizar la socialización del reglamento de vinculación con los estudiantes</v>
      </c>
      <c r="J452" s="20" t="str">
        <f>'Mantenimiento eléctrico'!H49</f>
        <v>Informe de socialización del reglamento.</v>
      </c>
      <c r="K452" s="62">
        <f>'Mantenimiento eléctrico'!I49</f>
        <v>1</v>
      </c>
      <c r="L452" s="160">
        <f>'Mantenimiento eléctrico'!J49</f>
        <v>0</v>
      </c>
      <c r="M452" s="20">
        <f>'Mantenimiento eléctrico'!K49</f>
        <v>0</v>
      </c>
      <c r="N452" s="20">
        <f>'Mantenimiento eléctrico'!L49</f>
        <v>0</v>
      </c>
      <c r="O452" s="20">
        <f>'Mantenimiento eléctrico'!M49</f>
        <v>0</v>
      </c>
      <c r="P452" s="20">
        <v>2025</v>
      </c>
    </row>
    <row r="453" spans="1:16" ht="14.25" customHeight="1">
      <c r="A453" s="20" t="s">
        <v>489</v>
      </c>
      <c r="B453" s="20" t="str">
        <f>$B$450</f>
        <v>ESTRATEGIA 3</v>
      </c>
      <c r="C453" s="20" t="str">
        <f>'Mantenimiento eléctrico'!E50</f>
        <v>OBJETIVO OPERATIVO 2</v>
      </c>
      <c r="D453" s="20" t="b">
        <f>'Mantenimiento eléctrico'!B51</f>
        <v>1</v>
      </c>
      <c r="E453" s="20" t="str">
        <f>'Mantenimiento eléctrico'!C51</f>
        <v>Alta</v>
      </c>
      <c r="F453" s="21" t="str">
        <f>'Mantenimiento eléctrico'!D51</f>
        <v>2025-I (inicio ciclo)
2025-II(inicio ciclo)</v>
      </c>
      <c r="G453" s="20" t="str">
        <f>'Mantenimiento eléctrico'!E51</f>
        <v>Conocer las líneas de investigación de la carrera</v>
      </c>
      <c r="H453" s="20" t="str">
        <f>'Mantenimiento eléctrico'!F51</f>
        <v>Director de carrera</v>
      </c>
      <c r="I453" s="20" t="str">
        <f>'Mantenimiento eléctrico'!G51</f>
        <v>Analizar y realizar las líneas de investigación de la carrera</v>
      </c>
      <c r="J453" s="20" t="str">
        <f>'Mantenimiento eléctrico'!H51</f>
        <v>Informe de socialización de las líneas de investigación de la carrera</v>
      </c>
      <c r="K453" s="62">
        <f>'Mantenimiento eléctrico'!I51</f>
        <v>1</v>
      </c>
      <c r="L453" s="160">
        <f>'Mantenimiento eléctrico'!J51</f>
        <v>0</v>
      </c>
      <c r="M453" s="20">
        <f>'Mantenimiento eléctrico'!K51</f>
        <v>0</v>
      </c>
      <c r="N453" s="20">
        <f>'Mantenimiento eléctrico'!L51</f>
        <v>0</v>
      </c>
      <c r="O453" s="20">
        <f>'Mantenimiento eléctrico'!M51</f>
        <v>0</v>
      </c>
      <c r="P453" s="20">
        <v>2025</v>
      </c>
    </row>
    <row r="454" spans="1:16" ht="14.25" customHeight="1">
      <c r="A454" s="20" t="s">
        <v>489</v>
      </c>
      <c r="B454" s="20" t="str">
        <f>$B$450</f>
        <v>ESTRATEGIA 3</v>
      </c>
      <c r="C454" s="20" t="str">
        <f>$C$453</f>
        <v>OBJETIVO OPERATIVO 2</v>
      </c>
      <c r="D454" s="20" t="b">
        <f>'Mantenimiento eléctrico'!B52</f>
        <v>1</v>
      </c>
      <c r="E454" s="20" t="str">
        <f>'Mantenimiento eléctrico'!C52</f>
        <v>Alta</v>
      </c>
      <c r="F454" s="21" t="str">
        <f>'Mantenimiento eléctrico'!D52</f>
        <v>2025-I(Todo el ciclo)
2025-II(Todo de ciclo)</v>
      </c>
      <c r="G454" s="20" t="str">
        <f>'Mantenimiento eléctrico'!E52</f>
        <v>Desarrollar investigación científica y tecnológica que contribuya con la construcción de soluciones para los problemas del país, en relación con los objetivos del régimen de desarrollo.</v>
      </c>
      <c r="H454" s="20" t="str">
        <f>'Mantenimiento eléctrico'!F52</f>
        <v>Director de Carrera
Docentes de la carrera
Comisión de Investigación</v>
      </c>
      <c r="I454" s="20" t="str">
        <f>'Mantenimiento eléctrico'!G52</f>
        <v>Incentivar y desarrollar la investigación de los docentes de la carrera en base a las líneas de la carrera</v>
      </c>
      <c r="J454" s="20" t="str">
        <f>'Mantenimiento eléctrico'!H52</f>
        <v>Artículos publicados por los docentes de la carrera</v>
      </c>
      <c r="K454" s="62">
        <f>'Mantenimiento eléctrico'!I52</f>
        <v>1</v>
      </c>
      <c r="L454" s="160">
        <f>'Mantenimiento eléctrico'!J52</f>
        <v>0</v>
      </c>
      <c r="M454" s="20">
        <f>'Mantenimiento eléctrico'!K52</f>
        <v>0</v>
      </c>
      <c r="N454" s="20">
        <f>'Mantenimiento eléctrico'!L52</f>
        <v>0</v>
      </c>
      <c r="O454" s="20">
        <f>'Mantenimiento eléctrico'!M52</f>
        <v>0</v>
      </c>
      <c r="P454" s="20">
        <v>2025</v>
      </c>
    </row>
    <row r="455" spans="1:16" ht="14.25" customHeight="1">
      <c r="A455" s="20" t="s">
        <v>489</v>
      </c>
      <c r="B455" s="20" t="str">
        <f>$B$450</f>
        <v>ESTRATEGIA 3</v>
      </c>
      <c r="C455" s="20" t="str">
        <f>'Mantenimiento eléctrico'!E53</f>
        <v>OBJETIVO OPERATIVO 3</v>
      </c>
      <c r="D455" s="20" t="b">
        <f>'Mantenimiento eléctrico'!B54</f>
        <v>1</v>
      </c>
      <c r="E455" s="20" t="str">
        <f>'Mantenimiento eléctrico'!C54</f>
        <v>Baja</v>
      </c>
      <c r="F455" s="21" t="str">
        <f>'Mantenimiento eléctrico'!D54</f>
        <v>2025-I(Todo el ciclo)
2025-II(Todo de ciclo)</v>
      </c>
      <c r="G455" s="20" t="str">
        <f>'Mantenimiento eléctrico'!E54</f>
        <v>Ejecutar la formación en valores y desarrollo de habilidades blandas.</v>
      </c>
      <c r="H455" s="20" t="str">
        <f>'Mantenimiento eléctrico'!F54</f>
        <v>Director de carrera
Gestor académico
Bienestar institucional</v>
      </c>
      <c r="I455" s="20" t="str">
        <f>'Mantenimiento eléctrico'!G54</f>
        <v>Realizar un curso de habilidades blandas que se desarrollara para todo el instituto</v>
      </c>
      <c r="J455" s="20" t="str">
        <f>'Mantenimiento eléctrico'!H54</f>
        <v>Informe de formación en valores y desarrollo de habilidades blandas</v>
      </c>
      <c r="K455" s="62">
        <f>'Mantenimiento eléctrico'!I54</f>
        <v>0.5</v>
      </c>
      <c r="L455" s="160">
        <f>'Mantenimiento eléctrico'!J54</f>
        <v>0</v>
      </c>
      <c r="M455" s="20">
        <f>'Mantenimiento eléctrico'!K54</f>
        <v>0</v>
      </c>
      <c r="N455" s="20">
        <f>'Mantenimiento eléctrico'!L54</f>
        <v>0</v>
      </c>
      <c r="O455" s="20" t="str">
        <f>'Mantenimiento eléctrico'!M54</f>
        <v>Falta el informe del ciclo académico 2025-II</v>
      </c>
      <c r="P455" s="20">
        <v>2025</v>
      </c>
    </row>
    <row r="456" spans="1:16" ht="14.25" customHeight="1">
      <c r="A456" s="20" t="s">
        <v>489</v>
      </c>
      <c r="B456" s="20" t="str">
        <f>'Mantenimiento eléctrico'!B55</f>
        <v>ESTRATEGIA 4</v>
      </c>
      <c r="C456" s="20" t="str">
        <f>'Mantenimiento eléctrico'!E55</f>
        <v>OBJETIVO OPERATIVO 1</v>
      </c>
      <c r="D456" s="20" t="b">
        <f>'Mantenimiento eléctrico'!B56</f>
        <v>0</v>
      </c>
      <c r="E456" s="20" t="str">
        <f>'Mantenimiento eléctrico'!C56</f>
        <v>Baja</v>
      </c>
      <c r="F456" s="21" t="str">
        <f>'Mantenimiento eléctrico'!D56</f>
        <v>2025-I (fin ciclo)
2025-II(fin ciclo)</v>
      </c>
      <c r="G456" s="20" t="str">
        <f>'Mantenimiento eléctrico'!E56</f>
        <v>Elaboración de matrices de la oferta académica institucional.</v>
      </c>
      <c r="H456" s="20" t="str">
        <f>'Mantenimiento eléctrico'!F56</f>
        <v>Director de Carrera
Gestor Académico</v>
      </c>
      <c r="I456" s="20" t="str">
        <f>'Mantenimiento eléctrico'!G56</f>
        <v>Generación de matrices de oferta académica para la captación de más estudiantes</v>
      </c>
      <c r="J456" s="20" t="str">
        <f>'Mantenimiento eléctrico'!H56</f>
        <v>Matrices de la oferta académica.</v>
      </c>
      <c r="K456" s="62">
        <f>'Mantenimiento eléctrico'!I56</f>
        <v>1</v>
      </c>
      <c r="L456" s="160">
        <f>'Mantenimiento eléctrico'!J56</f>
        <v>0</v>
      </c>
      <c r="M456" s="20">
        <f>'Mantenimiento eléctrico'!K56</f>
        <v>0</v>
      </c>
      <c r="N456" s="20">
        <f>'Mantenimiento eléctrico'!L56</f>
        <v>0</v>
      </c>
      <c r="O456" s="20">
        <f>'Mantenimiento eléctrico'!M56</f>
        <v>0</v>
      </c>
      <c r="P456" s="20">
        <v>2025</v>
      </c>
    </row>
    <row r="457" spans="1:16" ht="14.25" customHeight="1">
      <c r="A457" s="20" t="s">
        <v>489</v>
      </c>
      <c r="B457" s="20" t="str">
        <f>$B$456</f>
        <v>ESTRATEGIA 4</v>
      </c>
      <c r="C457" s="20" t="str">
        <f>$C$456</f>
        <v>OBJETIVO OPERATIVO 1</v>
      </c>
      <c r="D457" s="20" t="b">
        <f>'Mantenimiento eléctrico'!B57</f>
        <v>0</v>
      </c>
      <c r="E457" s="20" t="str">
        <f>'Mantenimiento eléctrico'!C57</f>
        <v>Baja</v>
      </c>
      <c r="F457" s="21" t="str">
        <f>'Mantenimiento eléctrico'!D57</f>
        <v xml:space="preserve">
2025-II(fin ciclo)</v>
      </c>
      <c r="G457" s="20" t="str">
        <f>'Mantenimiento eléctrico'!E57</f>
        <v>Planificación de demanda estudiantil.</v>
      </c>
      <c r="H457" s="20" t="str">
        <f>'Mantenimiento eléctrico'!F57</f>
        <v>Director de Carrera
Gestor Académico</v>
      </c>
      <c r="I457" s="20" t="str">
        <f>'Mantenimiento eléctrico'!G57</f>
        <v>Planificar la demanda institucional en base a históricos de periodos anteriores</v>
      </c>
      <c r="J457" s="20" t="str">
        <f>'Mantenimiento eléctrico'!H57</f>
        <v>Listado certificado  de matriculados de la carrera</v>
      </c>
      <c r="K457" s="62">
        <f>'Mantenimiento eléctrico'!I57</f>
        <v>1</v>
      </c>
      <c r="L457" s="160">
        <f>'Mantenimiento eléctrico'!J57</f>
        <v>0</v>
      </c>
      <c r="M457" s="20">
        <f>'Mantenimiento eléctrico'!K57</f>
        <v>0</v>
      </c>
      <c r="N457" s="20">
        <f>'Mantenimiento eléctrico'!L57</f>
        <v>0</v>
      </c>
      <c r="O457" s="20">
        <f>'Mantenimiento eléctrico'!M57</f>
        <v>0</v>
      </c>
      <c r="P457" s="20">
        <v>2025</v>
      </c>
    </row>
    <row r="458" spans="1:16" ht="14.25" customHeight="1">
      <c r="A458" s="20" t="s">
        <v>489</v>
      </c>
      <c r="B458" s="20" t="str">
        <f>$B$456</f>
        <v>ESTRATEGIA 4</v>
      </c>
      <c r="C458" s="20" t="str">
        <f>$C$456</f>
        <v>OBJETIVO OPERATIVO 1</v>
      </c>
      <c r="D458" s="20" t="b">
        <f>'Mantenimiento eléctrico'!B58</f>
        <v>0</v>
      </c>
      <c r="E458" s="20" t="str">
        <f>'Mantenimiento eléctrico'!C58</f>
        <v>Media</v>
      </c>
      <c r="F458" s="21" t="str">
        <f>'Mantenimiento eléctrico'!D58</f>
        <v>2025-II(fin ciclo)</v>
      </c>
      <c r="G458" s="20" t="str">
        <f>'Mantenimiento eléctrico'!E58</f>
        <v>Análisis de capacidad operativa de la institución.</v>
      </c>
      <c r="H458" s="20" t="str">
        <f>'Mantenimiento eléctrico'!F58</f>
        <v>Director de Carrera
Gestor Académico</v>
      </c>
      <c r="I458" s="20" t="str">
        <f>'Mantenimiento eléctrico'!G58</f>
        <v>Análisis de requerimientos sustantivo y no sustantivo de la carrera</v>
      </c>
      <c r="J458" s="20" t="str">
        <f>'Mantenimiento eléctrico'!H58</f>
        <v>Resolución de aprobación por OCS de Estandarización de Carrera</v>
      </c>
      <c r="K458" s="62">
        <f>'Mantenimiento eléctrico'!I58</f>
        <v>1</v>
      </c>
      <c r="L458" s="160">
        <f>'Mantenimiento eléctrico'!J58</f>
        <v>0</v>
      </c>
      <c r="M458" s="20">
        <f>'Mantenimiento eléctrico'!K58</f>
        <v>0</v>
      </c>
      <c r="N458" s="20">
        <f>'Mantenimiento eléctrico'!L58</f>
        <v>0</v>
      </c>
      <c r="O458" s="20">
        <f>'Mantenimiento eléctrico'!M58</f>
        <v>0</v>
      </c>
      <c r="P458" s="20">
        <v>2025</v>
      </c>
    </row>
    <row r="459" spans="1:16" ht="14.25" customHeight="1">
      <c r="A459" s="20" t="s">
        <v>490</v>
      </c>
      <c r="B459" s="20" t="str">
        <f>Mecatrónica!B10</f>
        <v>ESTRATEGIA 1</v>
      </c>
      <c r="C459" s="20" t="str">
        <f>Mecatrónica!E10</f>
        <v>OBJETIVO OPERATIVO 1</v>
      </c>
      <c r="D459" s="20" t="b">
        <f>Mecatrónica!B11</f>
        <v>0</v>
      </c>
      <c r="E459" s="20" t="str">
        <f>Mecatrónica!C11</f>
        <v>Media</v>
      </c>
      <c r="F459" s="20" t="str">
        <f>Mecatrónica!D11</f>
        <v>2025-I ( Inicio ciclo)</v>
      </c>
      <c r="G459" s="20" t="str">
        <f>Mecatrónica!E11</f>
        <v>Planificar y estructurar las capacitaciones en el área técnica y didáctica.</v>
      </c>
      <c r="H459" s="20" t="str">
        <f>Mecatrónica!F11</f>
        <v>Director/a carrera
Docentes</v>
      </c>
      <c r="I459" s="20" t="str">
        <f>Mecatrónica!G11</f>
        <v>Desarrollo del plan de capacitación docente</v>
      </c>
      <c r="J459" s="20" t="str">
        <f>Mecatrónica!H11</f>
        <v>Plan de capacitación docente.</v>
      </c>
      <c r="K459" s="62">
        <f>Mecatrónica!I11</f>
        <v>1</v>
      </c>
      <c r="L459" s="160">
        <f>Mecatrónica!J11</f>
        <v>0</v>
      </c>
      <c r="M459" s="20">
        <f>Mecatrónica!K11</f>
        <v>0</v>
      </c>
      <c r="N459" s="20">
        <f>Mecatrónica!L11</f>
        <v>0</v>
      </c>
      <c r="O459" s="20">
        <f>Mecatrónica!M11</f>
        <v>0</v>
      </c>
      <c r="P459" s="20">
        <v>2025</v>
      </c>
    </row>
    <row r="460" spans="1:16" ht="14.25" customHeight="1">
      <c r="A460" s="20" t="s">
        <v>490</v>
      </c>
      <c r="B460" s="20" t="str">
        <f t="shared" ref="B460:B469" si="39">$B$459</f>
        <v>ESTRATEGIA 1</v>
      </c>
      <c r="C460" s="20" t="str">
        <f>$C$459</f>
        <v>OBJETIVO OPERATIVO 1</v>
      </c>
      <c r="D460" s="20" t="b">
        <f>Mecatrónica!B12</f>
        <v>0</v>
      </c>
      <c r="E460" s="20" t="str">
        <f>Mecatrónica!C12</f>
        <v>Baja</v>
      </c>
      <c r="F460" s="20" t="str">
        <f>Mecatrónica!D12</f>
        <v>2025-II ( fin ciclo)</v>
      </c>
      <c r="G460" s="20" t="str">
        <f>Mecatrónica!E12</f>
        <v>Ejecutar las capacitaciones planificadas.</v>
      </c>
      <c r="H460" s="20" t="str">
        <f>Mecatrónica!F12</f>
        <v>Director/a carrera
Docentes</v>
      </c>
      <c r="I460" s="20" t="str">
        <f>Mecatrónica!G12</f>
        <v>informar sobre el plan de capacitación docente</v>
      </c>
      <c r="J460" s="20" t="str">
        <f>Mecatrónica!H12</f>
        <v>Informe de ejecución del plan de capacitación docente.</v>
      </c>
      <c r="K460" s="62">
        <f>Mecatrónica!I12</f>
        <v>1</v>
      </c>
      <c r="L460" s="160">
        <f>Mecatrónica!J12</f>
        <v>0</v>
      </c>
      <c r="M460" s="20">
        <f>Mecatrónica!K12</f>
        <v>0</v>
      </c>
      <c r="N460" s="20">
        <f>Mecatrónica!L12</f>
        <v>0</v>
      </c>
      <c r="O460" s="20">
        <f>Mecatrónica!M12</f>
        <v>0</v>
      </c>
      <c r="P460" s="20">
        <v>2025</v>
      </c>
    </row>
    <row r="461" spans="1:16" ht="14.25" customHeight="1">
      <c r="A461" s="20" t="s">
        <v>490</v>
      </c>
      <c r="B461" s="20" t="str">
        <f t="shared" si="39"/>
        <v>ESTRATEGIA 1</v>
      </c>
      <c r="C461" s="20" t="str">
        <f>$C$459</f>
        <v>OBJETIVO OPERATIVO 1</v>
      </c>
      <c r="D461" s="20" t="b">
        <f>Mecatrónica!B13</f>
        <v>0</v>
      </c>
      <c r="E461" s="20" t="str">
        <f>Mecatrónica!C13</f>
        <v>Media</v>
      </c>
      <c r="F461" s="20" t="str">
        <f>Mecatrónica!D13</f>
        <v>2025-II( fin ciclo)
2025-I( fin ciclo)</v>
      </c>
      <c r="G461" s="20" t="str">
        <f>Mecatrónica!E13</f>
        <v>Entregar los resultados de los procesos de Evaluación al desempeño Docente y acciones realizadas.</v>
      </c>
      <c r="H461" s="20" t="str">
        <f>Mecatrónica!F13</f>
        <v>Director/a carrera
Docentes</v>
      </c>
      <c r="I461" s="20" t="str">
        <f>Mecatrónica!G13</f>
        <v>Generar una matriz para el registro de entrega de evaluaciones docentes</v>
      </c>
      <c r="J461" s="20" t="str">
        <f>Mecatrónica!H13</f>
        <v>Registro de entrega de evaluaciones a los docentes</v>
      </c>
      <c r="K461" s="62">
        <f>Mecatrónica!I13</f>
        <v>1</v>
      </c>
      <c r="L461" s="160">
        <f>Mecatrónica!J13</f>
        <v>0</v>
      </c>
      <c r="M461" s="20">
        <f>Mecatrónica!K13</f>
        <v>0</v>
      </c>
      <c r="N461" s="20">
        <f>Mecatrónica!L13</f>
        <v>0</v>
      </c>
      <c r="O461" s="20">
        <f>Mecatrónica!M13</f>
        <v>0</v>
      </c>
      <c r="P461" s="20">
        <v>2025</v>
      </c>
    </row>
    <row r="462" spans="1:16" ht="14.25" customHeight="1">
      <c r="A462" s="20" t="s">
        <v>490</v>
      </c>
      <c r="B462" s="20" t="str">
        <f t="shared" si="39"/>
        <v>ESTRATEGIA 1</v>
      </c>
      <c r="C462" s="20" t="str">
        <f>Mecatrónica!E14</f>
        <v>OBJETIVO OPERATIVO 2</v>
      </c>
      <c r="D462" s="20" t="b">
        <f>Mecatrónica!B15</f>
        <v>0</v>
      </c>
      <c r="E462" s="20" t="str">
        <f>Mecatrónica!C15</f>
        <v>Baja</v>
      </c>
      <c r="F462" s="21" t="str">
        <f>Mecatrónica!D15</f>
        <v>2025-I (inicio ciclo)
2025-II(inicio ciclo)</v>
      </c>
      <c r="G462" s="20" t="str">
        <f>Mecatrónica!E15</f>
        <v>Socializar con los docentes el uso adecuado de la plataforma Moodle.</v>
      </c>
      <c r="H462" s="20" t="str">
        <f>Mecatrónica!F15</f>
        <v>Responsable de Moodle de la carrera</v>
      </c>
      <c r="I462" s="20" t="str">
        <f>Mecatrónica!G15</f>
        <v>Realizar la socialización y generar un informe sobre el uso del Moodle</v>
      </c>
      <c r="J462" s="20" t="str">
        <f>Mecatrónica!H15</f>
        <v>Informe de socialización / inducción a los docentes</v>
      </c>
      <c r="K462" s="62">
        <f>Mecatrónica!I15</f>
        <v>1</v>
      </c>
      <c r="L462" s="160">
        <f>Mecatrónica!J15</f>
        <v>0</v>
      </c>
      <c r="M462" s="20">
        <f>Mecatrónica!K15</f>
        <v>0</v>
      </c>
      <c r="N462" s="20">
        <f>Mecatrónica!L15</f>
        <v>0</v>
      </c>
      <c r="O462" s="20" t="str">
        <f>Mecatrónica!M15</f>
        <v>falta 2024 II</v>
      </c>
      <c r="P462" s="20">
        <v>2025</v>
      </c>
    </row>
    <row r="463" spans="1:16" ht="14.25" customHeight="1">
      <c r="A463" s="20" t="s">
        <v>490</v>
      </c>
      <c r="B463" s="20" t="str">
        <f t="shared" si="39"/>
        <v>ESTRATEGIA 1</v>
      </c>
      <c r="C463" s="20" t="str">
        <f>$C$462</f>
        <v>OBJETIVO OPERATIVO 2</v>
      </c>
      <c r="D463" s="20" t="b">
        <f>Mecatrónica!B16</f>
        <v>0</v>
      </c>
      <c r="E463" s="20" t="str">
        <f>Mecatrónica!C16</f>
        <v>Media</v>
      </c>
      <c r="F463" s="21" t="str">
        <f>Mecatrónica!D16</f>
        <v>2024-II( fin ciclo)
2025-I( fin ciclo)</v>
      </c>
      <c r="G463" s="20" t="str">
        <f>Mecatrónica!E16</f>
        <v>Revisar el aporte de cada docente en la plataforma Moodle</v>
      </c>
      <c r="H463" s="20" t="str">
        <f>Mecatrónica!F16</f>
        <v>Responsable de Moodle de la carrera</v>
      </c>
      <c r="I463" s="20" t="str">
        <f>Mecatrónica!G16</f>
        <v>Controlar el uso adecuado de la plataforma y generar un informe.</v>
      </c>
      <c r="J463" s="20" t="str">
        <f>Mecatrónica!H16</f>
        <v>Informe de actividades en la plataforma Moodle.</v>
      </c>
      <c r="K463" s="62">
        <f>Mecatrónica!I16</f>
        <v>1</v>
      </c>
      <c r="L463" s="160">
        <f>Mecatrónica!J16</f>
        <v>0</v>
      </c>
      <c r="M463" s="20">
        <f>Mecatrónica!K16</f>
        <v>0</v>
      </c>
      <c r="N463" s="20">
        <f>Mecatrónica!L16</f>
        <v>0</v>
      </c>
      <c r="O463" s="20" t="str">
        <f>Mecatrónica!M16</f>
        <v>Falta 2024 ii</v>
      </c>
      <c r="P463" s="20">
        <v>2025</v>
      </c>
    </row>
    <row r="464" spans="1:16" ht="14.25" customHeight="1">
      <c r="A464" s="20" t="s">
        <v>490</v>
      </c>
      <c r="B464" s="20" t="str">
        <f t="shared" si="39"/>
        <v>ESTRATEGIA 1</v>
      </c>
      <c r="C464" s="20" t="str">
        <f>Mecatrónica!E17</f>
        <v>OBJETIVO OPERATIVO 3</v>
      </c>
      <c r="D464" s="20" t="b">
        <f>Mecatrónica!B18</f>
        <v>0</v>
      </c>
      <c r="E464" s="20" t="str">
        <f>Mecatrónica!C18</f>
        <v>Alta</v>
      </c>
      <c r="F464" s="21" t="str">
        <f>Mecatrónica!D18</f>
        <v>2025-I(inicio ciclo)
2025-II (inicio ciclo)</v>
      </c>
      <c r="G464" s="20" t="str">
        <f>Mecatrónica!E18</f>
        <v>Planificar y desarrollar una reunión del colectivo académico</v>
      </c>
      <c r="H464" s="20" t="str">
        <f>Mecatrónica!F18</f>
        <v>Director/a carrera</v>
      </c>
      <c r="I464" s="20" t="str">
        <f>Mecatrónica!G18</f>
        <v>Realizar y evidenciar los colectivos académicos</v>
      </c>
      <c r="J464" s="20" t="str">
        <f>Mecatrónica!H18</f>
        <v>Convocatoria al colectivo de académico</v>
      </c>
      <c r="K464" s="62">
        <f>Mecatrónica!I18</f>
        <v>1</v>
      </c>
      <c r="L464" s="160">
        <f>Mecatrónica!J18</f>
        <v>0</v>
      </c>
      <c r="M464" s="20">
        <f>Mecatrónica!K18</f>
        <v>0</v>
      </c>
      <c r="N464" s="20">
        <f>Mecatrónica!L18</f>
        <v>0</v>
      </c>
      <c r="O464" s="20">
        <f>Mecatrónica!M18</f>
        <v>0</v>
      </c>
      <c r="P464" s="20">
        <v>2025</v>
      </c>
    </row>
    <row r="465" spans="1:16" ht="14.25" customHeight="1">
      <c r="A465" s="20" t="s">
        <v>490</v>
      </c>
      <c r="B465" s="20" t="str">
        <f t="shared" si="39"/>
        <v>ESTRATEGIA 1</v>
      </c>
      <c r="C465" s="20" t="str">
        <f>$C$464</f>
        <v>OBJETIVO OPERATIVO 3</v>
      </c>
      <c r="D465" s="20" t="b">
        <f>Mecatrónica!B19</f>
        <v>0</v>
      </c>
      <c r="E465" s="20" t="str">
        <f>Mecatrónica!C19</f>
        <v>Media</v>
      </c>
      <c r="F465" s="21" t="str">
        <f>Mecatrónica!D19</f>
        <v>2024-II(fin de ciclo)
2025-I(fin de ciclo)</v>
      </c>
      <c r="G465" s="20" t="str">
        <f>Mecatrónica!E19</f>
        <v>Revisión y actualización de los PEAS</v>
      </c>
      <c r="H465" s="20" t="str">
        <f>Mecatrónica!F19</f>
        <v>Director/a carrera
Docentes</v>
      </c>
      <c r="I465" s="20" t="str">
        <f>Mecatrónica!G19</f>
        <v>Revisar si la bibliografía de la carrera es la adecuada en colectivos  según PEAS y Colectivos para el acervo bibliográfico</v>
      </c>
      <c r="J465" s="20" t="str">
        <f>Mecatrónica!H19</f>
        <v>Acervo bibliográfico de todas las asignaturas de la carrera, Informes de colectivos y PEAS revisados</v>
      </c>
      <c r="K465" s="62">
        <f>Mecatrónica!I19</f>
        <v>1</v>
      </c>
      <c r="L465" s="160">
        <f>Mecatrónica!J19</f>
        <v>0</v>
      </c>
      <c r="M465" s="20">
        <f>Mecatrónica!K19</f>
        <v>0</v>
      </c>
      <c r="N465" s="20">
        <f>Mecatrónica!L19</f>
        <v>0</v>
      </c>
      <c r="O465" s="20">
        <f>Mecatrónica!M19</f>
        <v>0</v>
      </c>
      <c r="P465" s="20">
        <v>2025</v>
      </c>
    </row>
    <row r="466" spans="1:16" ht="14.25" customHeight="1">
      <c r="A466" s="20" t="s">
        <v>490</v>
      </c>
      <c r="B466" s="20" t="str">
        <f t="shared" si="39"/>
        <v>ESTRATEGIA 1</v>
      </c>
      <c r="C466" s="20" t="str">
        <f>$C$464</f>
        <v>OBJETIVO OPERATIVO 3</v>
      </c>
      <c r="D466" s="20" t="b">
        <f>Mecatrónica!B20</f>
        <v>0</v>
      </c>
      <c r="E466" s="20" t="str">
        <f>Mecatrónica!C20</f>
        <v>Media</v>
      </c>
      <c r="F466" s="21" t="str">
        <f>Mecatrónica!D20</f>
        <v>2024-II(fin de ciclo)
2025-I(fin de ciclo)</v>
      </c>
      <c r="G466" s="20" t="str">
        <f>Mecatrónica!E20</f>
        <v>Actas de reunión por colectivo académico</v>
      </c>
      <c r="H466" s="20" t="str">
        <f>Mecatrónica!F20</f>
        <v>Director/a carrera
Docentes</v>
      </c>
      <c r="I466" s="20" t="str">
        <f>Mecatrónica!G20</f>
        <v>Evidenciar el trabajo de colectivos</v>
      </c>
      <c r="J466" s="20" t="str">
        <f>Mecatrónica!H20</f>
        <v>Actas de colectivos</v>
      </c>
      <c r="K466" s="62">
        <f>Mecatrónica!I20</f>
        <v>1</v>
      </c>
      <c r="L466" s="160">
        <f>Mecatrónica!J20</f>
        <v>0</v>
      </c>
      <c r="M466" s="20">
        <f>Mecatrónica!K20</f>
        <v>0</v>
      </c>
      <c r="N466" s="20">
        <f>Mecatrónica!L20</f>
        <v>0</v>
      </c>
      <c r="O466" s="20">
        <f>Mecatrónica!M20</f>
        <v>0</v>
      </c>
      <c r="P466" s="20">
        <v>2025</v>
      </c>
    </row>
    <row r="467" spans="1:16" ht="14.25" customHeight="1">
      <c r="A467" s="20" t="s">
        <v>490</v>
      </c>
      <c r="B467" s="20" t="str">
        <f t="shared" si="39"/>
        <v>ESTRATEGIA 1</v>
      </c>
      <c r="C467" s="20" t="str">
        <f>Mecatrónica!E21</f>
        <v>OBJETIVO OPERATIVO 4</v>
      </c>
      <c r="D467" s="20" t="b">
        <f>Mecatrónica!B22</f>
        <v>0</v>
      </c>
      <c r="E467" s="20" t="str">
        <f>Mecatrónica!C22</f>
        <v>Baja</v>
      </c>
      <c r="F467" s="21" t="str">
        <f>Mecatrónica!D22</f>
        <v>2025-I(inicio ciclo)
2025-II (inicio ciclo)</v>
      </c>
      <c r="G467" s="20" t="str">
        <f>Mecatrónica!E22</f>
        <v>Recopilar las fichas de afinidad de los docentes de acuerdo al nivel de estudio.</v>
      </c>
      <c r="H467" s="20" t="str">
        <f>Mecatrónica!F22</f>
        <v>Director/a carrera</v>
      </c>
      <c r="I467" s="20" t="str">
        <f>Mecatrónica!G22</f>
        <v>Mantener actualizadas las fichas de afinidad de los docentes de acuerdo a la pertinencia en la carrera</v>
      </c>
      <c r="J467" s="20" t="str">
        <f>Mecatrónica!H22</f>
        <v>Fichas de afinidad de los docentes.</v>
      </c>
      <c r="K467" s="62">
        <f>Mecatrónica!I22</f>
        <v>1</v>
      </c>
      <c r="L467" s="160">
        <f>Mecatrónica!J22</f>
        <v>0</v>
      </c>
      <c r="M467" s="20">
        <f>Mecatrónica!K22</f>
        <v>0</v>
      </c>
      <c r="N467" s="20">
        <f>Mecatrónica!L22</f>
        <v>0</v>
      </c>
      <c r="O467" s="20">
        <f>Mecatrónica!M22</f>
        <v>0</v>
      </c>
      <c r="P467" s="20">
        <v>2025</v>
      </c>
    </row>
    <row r="468" spans="1:16" ht="14.25" customHeight="1">
      <c r="A468" s="20" t="s">
        <v>490</v>
      </c>
      <c r="B468" s="20" t="str">
        <f t="shared" si="39"/>
        <v>ESTRATEGIA 1</v>
      </c>
      <c r="C468" s="20" t="str">
        <f>$C$467</f>
        <v>OBJETIVO OPERATIVO 4</v>
      </c>
      <c r="D468" s="20">
        <f>Mecatrónica!B23</f>
        <v>0</v>
      </c>
      <c r="E468" s="20" t="str">
        <f>Mecatrónica!C23</f>
        <v>Alta</v>
      </c>
      <c r="F468" s="21" t="str">
        <f>Mecatrónica!D23</f>
        <v>2025-I(inicio de ciclo)
2025-II(inicio de ciclo)</v>
      </c>
      <c r="G468" s="20" t="str">
        <f>Mecatrónica!E23</f>
        <v>Elaboración del distributivo docente de la carrera</v>
      </c>
      <c r="H468" s="20" t="str">
        <f>Mecatrónica!F23</f>
        <v>Director/a carrera</v>
      </c>
      <c r="I468" s="20" t="str">
        <f>Mecatrónica!G23</f>
        <v>Evidenciar la carga horaria y distributivos de los docentes</v>
      </c>
      <c r="J468" s="20" t="str">
        <f>Mecatrónica!H23</f>
        <v>Distributivo docente aprobado.</v>
      </c>
      <c r="K468" s="62">
        <f>Mecatrónica!I23</f>
        <v>1</v>
      </c>
      <c r="L468" s="160">
        <f>Mecatrónica!J23</f>
        <v>0</v>
      </c>
      <c r="M468" s="20">
        <f>Mecatrónica!K23</f>
        <v>0</v>
      </c>
      <c r="N468" s="20">
        <f>Mecatrónica!L23</f>
        <v>0</v>
      </c>
      <c r="O468" s="20">
        <f>Mecatrónica!M23</f>
        <v>0</v>
      </c>
      <c r="P468" s="20">
        <v>2025</v>
      </c>
    </row>
    <row r="469" spans="1:16" ht="14.25" customHeight="1">
      <c r="A469" s="20" t="s">
        <v>490</v>
      </c>
      <c r="B469" s="20" t="str">
        <f t="shared" si="39"/>
        <v>ESTRATEGIA 1</v>
      </c>
      <c r="C469" s="20" t="str">
        <f>$C$467</f>
        <v>OBJETIVO OPERATIVO 4</v>
      </c>
      <c r="D469" s="20" t="b">
        <f>Mecatrónica!B24</f>
        <v>0</v>
      </c>
      <c r="E469" s="20" t="str">
        <f>Mecatrónica!C24</f>
        <v>Media</v>
      </c>
      <c r="F469" s="21" t="str">
        <f>Mecatrónica!D24</f>
        <v>2025-I(inicio de ciclo)
2025-II(inicio de ciclo)</v>
      </c>
      <c r="G469" s="20" t="str">
        <f>Mecatrónica!E24</f>
        <v>Designar responsables de la administración de la plataforma, tutorías , prácticas, vinculación , etc.</v>
      </c>
      <c r="H469" s="20" t="str">
        <f>Mecatrónica!F24</f>
        <v>Director/a carrera</v>
      </c>
      <c r="I469" s="20" t="str">
        <f>Mecatrónica!G24</f>
        <v>Realizar las designaciones y evidenciar los responsables y tutores de la carrera</v>
      </c>
      <c r="J469" s="20" t="str">
        <f>Mecatrónica!H24</f>
        <v>Oficios de designaciones de responsables.</v>
      </c>
      <c r="K469" s="62">
        <f>Mecatrónica!I24</f>
        <v>1</v>
      </c>
      <c r="L469" s="160">
        <f>Mecatrónica!J24</f>
        <v>0</v>
      </c>
      <c r="M469" s="20">
        <f>Mecatrónica!K24</f>
        <v>0</v>
      </c>
      <c r="N469" s="20">
        <f>Mecatrónica!L24</f>
        <v>0</v>
      </c>
      <c r="O469" s="20">
        <f>Mecatrónica!M24</f>
        <v>0</v>
      </c>
      <c r="P469" s="20">
        <v>2025</v>
      </c>
    </row>
    <row r="470" spans="1:16" ht="14.25" customHeight="1">
      <c r="A470" s="20" t="s">
        <v>490</v>
      </c>
      <c r="B470" s="20" t="str">
        <f>Mecatrónica!B25</f>
        <v>ESTRATEGIA 2</v>
      </c>
      <c r="C470" s="20" t="str">
        <f>Mecatrónica!E25</f>
        <v>OBJETIVO OPERATIVO 1</v>
      </c>
      <c r="D470" s="20" t="b">
        <f>Mecatrónica!B26</f>
        <v>0</v>
      </c>
      <c r="E470" s="20" t="str">
        <f>Mecatrónica!C26</f>
        <v>Alta</v>
      </c>
      <c r="F470" s="21" t="str">
        <f>Mecatrónica!D26</f>
        <v>2025-I(Inicio de ciclo)
2025-II(Inicio de ciclo)</v>
      </c>
      <c r="G470" s="20" t="str">
        <f>Mecatrónica!E26</f>
        <v>Elaborar y presentar el calendario de actividades de la o las carreras, horarios de clases y laboratorios.</v>
      </c>
      <c r="H470" s="20" t="str">
        <f>Mecatrónica!F26</f>
        <v>Director/a carrera</v>
      </c>
      <c r="I470" s="20" t="str">
        <f>Mecatrónica!G26</f>
        <v>Realizar los documentos necesarios para el desarrollo de las actividades de cada periodo de la carrera</v>
      </c>
      <c r="J470" s="20" t="str">
        <f>Mecatrónica!H26</f>
        <v>Calendario y horarios aprobados</v>
      </c>
      <c r="K470" s="62">
        <f>Mecatrónica!I26</f>
        <v>1</v>
      </c>
      <c r="L470" s="160">
        <f>Mecatrónica!J26</f>
        <v>0</v>
      </c>
      <c r="M470" s="20">
        <f>Mecatrónica!K26</f>
        <v>0</v>
      </c>
      <c r="N470" s="20">
        <f>Mecatrónica!L26</f>
        <v>0</v>
      </c>
      <c r="O470" s="20">
        <f>Mecatrónica!M26</f>
        <v>0</v>
      </c>
      <c r="P470" s="20">
        <v>2025</v>
      </c>
    </row>
    <row r="471" spans="1:16" ht="14.25" customHeight="1">
      <c r="A471" s="20" t="s">
        <v>490</v>
      </c>
      <c r="B471" s="20" t="str">
        <f t="shared" ref="B471:B487" si="40">$B$470</f>
        <v>ESTRATEGIA 2</v>
      </c>
      <c r="C471" s="20" t="str">
        <f t="shared" ref="C471:C481" si="41">$C$470</f>
        <v>OBJETIVO OPERATIVO 1</v>
      </c>
      <c r="D471" s="20" t="b">
        <f>Mecatrónica!B27</f>
        <v>0</v>
      </c>
      <c r="E471" s="20" t="str">
        <f>Mecatrónica!C27</f>
        <v>Media</v>
      </c>
      <c r="F471" s="21" t="str">
        <f>Mecatrónica!D27</f>
        <v>2025-I(Todo el ciclo)
2025-II(Todo de ciclo)</v>
      </c>
      <c r="G471" s="20" t="str">
        <f>Mecatrónica!E27</f>
        <v>Requerimiento y aprobación de Documentos académicos. (Sílabos, guías practicas e informes de avance de Silabo)</v>
      </c>
      <c r="H471" s="20" t="str">
        <f>Mecatrónica!F27</f>
        <v>Director/a carrera - gestor académico</v>
      </c>
      <c r="I471" s="20" t="str">
        <f>Mecatrónica!G27</f>
        <v>Solicitud de documentos académicos por materias</v>
      </c>
      <c r="J471" s="20" t="str">
        <f>Mecatrónica!H27</f>
        <v>Documentación aprobada.</v>
      </c>
      <c r="K471" s="62">
        <f>Mecatrónica!I27</f>
        <v>1</v>
      </c>
      <c r="L471" s="160">
        <f>Mecatrónica!J27</f>
        <v>0</v>
      </c>
      <c r="M471" s="20">
        <f>Mecatrónica!K27</f>
        <v>0</v>
      </c>
      <c r="N471" s="20">
        <f>Mecatrónica!L27</f>
        <v>0</v>
      </c>
      <c r="O471" s="20">
        <f>Mecatrónica!M27</f>
        <v>0</v>
      </c>
      <c r="P471" s="20">
        <v>2025</v>
      </c>
    </row>
    <row r="472" spans="1:16" ht="14.25" customHeight="1">
      <c r="A472" s="20" t="s">
        <v>490</v>
      </c>
      <c r="B472" s="20" t="str">
        <f t="shared" si="40"/>
        <v>ESTRATEGIA 2</v>
      </c>
      <c r="C472" s="20" t="str">
        <f t="shared" si="41"/>
        <v>OBJETIVO OPERATIVO 1</v>
      </c>
      <c r="D472" s="20" t="b">
        <f>Mecatrónica!B28</f>
        <v>0</v>
      </c>
      <c r="E472" s="20" t="str">
        <f>Mecatrónica!C28</f>
        <v>Media</v>
      </c>
      <c r="F472" s="21" t="str">
        <f>Mecatrónica!D28</f>
        <v>2025-I(Todo el ciclo)
2025-II(Todo de ciclo)</v>
      </c>
      <c r="G472" s="20" t="str">
        <f>Mecatrónica!E28</f>
        <v>Seguimiento al cumplimiento de la documentación académica.</v>
      </c>
      <c r="H472" s="20" t="str">
        <f>Mecatrónica!F28</f>
        <v>Director/a carrera - gestor académico</v>
      </c>
      <c r="I472" s="20" t="str">
        <f>Mecatrónica!G28</f>
        <v>Revisión de documentos académicos por materias</v>
      </c>
      <c r="J472" s="20" t="str">
        <f>Mecatrónica!H28</f>
        <v>Informe de carrera sobre la documentación recibida.</v>
      </c>
      <c r="K472" s="62">
        <f>Mecatrónica!I28</f>
        <v>0.5</v>
      </c>
      <c r="L472" s="160">
        <f>Mecatrónica!J28</f>
        <v>0</v>
      </c>
      <c r="M472" s="20">
        <f>Mecatrónica!K28</f>
        <v>0</v>
      </c>
      <c r="N472" s="20">
        <f>Mecatrónica!L28</f>
        <v>0</v>
      </c>
      <c r="O472" s="20">
        <f>Mecatrónica!M28</f>
        <v>0</v>
      </c>
      <c r="P472" s="20">
        <v>2025</v>
      </c>
    </row>
    <row r="473" spans="1:16" ht="14.25" customHeight="1">
      <c r="A473" s="20" t="s">
        <v>490</v>
      </c>
      <c r="B473" s="20" t="str">
        <f t="shared" si="40"/>
        <v>ESTRATEGIA 2</v>
      </c>
      <c r="C473" s="20" t="str">
        <f t="shared" si="41"/>
        <v>OBJETIVO OPERATIVO 1</v>
      </c>
      <c r="D473" s="20" t="b">
        <f>Mecatrónica!B29</f>
        <v>0</v>
      </c>
      <c r="E473" s="20" t="str">
        <f>Mecatrónica!C29</f>
        <v>Baja</v>
      </c>
      <c r="F473" s="21" t="str">
        <f>Mecatrónica!D29</f>
        <v>2025-I(Todo el ciclo)
2025-II(Todo de ciclo)</v>
      </c>
      <c r="G473" s="20" t="str">
        <f>Mecatrónica!E29</f>
        <v>Reuniones de carrera  para socialización y toma de decisiones</v>
      </c>
      <c r="H473" s="20" t="str">
        <f>Mecatrónica!F29</f>
        <v>Director/a carrera - gestor académico</v>
      </c>
      <c r="I473" s="20" t="str">
        <f>Mecatrónica!G29</f>
        <v>Reuniones de carrera de acuerdo a requerimientos</v>
      </c>
      <c r="J473" s="20" t="str">
        <f>Mecatrónica!H29</f>
        <v>Convocatorias, actas e informes de reuniones de carrera.</v>
      </c>
      <c r="K473" s="62">
        <f>Mecatrónica!I29</f>
        <v>1</v>
      </c>
      <c r="L473" s="160">
        <f>Mecatrónica!J29</f>
        <v>0</v>
      </c>
      <c r="M473" s="20">
        <f>Mecatrónica!K29</f>
        <v>0</v>
      </c>
      <c r="N473" s="20">
        <f>Mecatrónica!L29</f>
        <v>0</v>
      </c>
      <c r="O473" s="20">
        <f>Mecatrónica!M29</f>
        <v>0</v>
      </c>
      <c r="P473" s="20">
        <v>2025</v>
      </c>
    </row>
    <row r="474" spans="1:16" ht="14.25" customHeight="1">
      <c r="A474" s="20" t="s">
        <v>490</v>
      </c>
      <c r="B474" s="20" t="str">
        <f t="shared" si="40"/>
        <v>ESTRATEGIA 2</v>
      </c>
      <c r="C474" s="20" t="str">
        <f t="shared" si="41"/>
        <v>OBJETIVO OPERATIVO 1</v>
      </c>
      <c r="D474" s="20" t="b">
        <f>Mecatrónica!B30</f>
        <v>0</v>
      </c>
      <c r="E474" s="20" t="str">
        <f>Mecatrónica!C30</f>
        <v>Baja</v>
      </c>
      <c r="F474" s="21">
        <f>Mecatrónica!D30</f>
        <v>45838</v>
      </c>
      <c r="G474" s="20" t="str">
        <f>Mecatrónica!E30</f>
        <v>Informe semestral POA 2025</v>
      </c>
      <c r="H474" s="20" t="str">
        <f>Mecatrónica!F30</f>
        <v>Director/a carrera - gestor académico</v>
      </c>
      <c r="I474" s="20" t="str">
        <f>Mecatrónica!G30</f>
        <v>Informar sobre el avance del  POA</v>
      </c>
      <c r="J474" s="20" t="str">
        <f>Mecatrónica!H30</f>
        <v>Informe semestral seguimiento POA 2025</v>
      </c>
      <c r="K474" s="62">
        <f>Mecatrónica!I30</f>
        <v>1</v>
      </c>
      <c r="L474" s="160">
        <f>Mecatrónica!J30</f>
        <v>0</v>
      </c>
      <c r="M474" s="20">
        <f>Mecatrónica!K30</f>
        <v>0</v>
      </c>
      <c r="N474" s="20">
        <f>Mecatrónica!L30</f>
        <v>0</v>
      </c>
      <c r="O474" s="20">
        <f>Mecatrónica!M30</f>
        <v>0</v>
      </c>
      <c r="P474" s="20">
        <v>2025</v>
      </c>
    </row>
    <row r="475" spans="1:16" ht="14.25" customHeight="1">
      <c r="A475" s="20" t="s">
        <v>490</v>
      </c>
      <c r="B475" s="20" t="str">
        <f t="shared" si="40"/>
        <v>ESTRATEGIA 2</v>
      </c>
      <c r="C475" s="20" t="str">
        <f t="shared" si="41"/>
        <v>OBJETIVO OPERATIVO 1</v>
      </c>
      <c r="D475" s="20" t="b">
        <f>Mecatrónica!B31</f>
        <v>0</v>
      </c>
      <c r="E475" s="20" t="str">
        <f>Mecatrónica!C31</f>
        <v>Baja</v>
      </c>
      <c r="F475" s="21">
        <f>Mecatrónica!D31</f>
        <v>45991</v>
      </c>
      <c r="G475" s="20" t="str">
        <f>Mecatrónica!E31</f>
        <v>Informe final POA 2025</v>
      </c>
      <c r="H475" s="20" t="str">
        <f>Mecatrónica!F31</f>
        <v>Director/a carrera - gestor académico</v>
      </c>
      <c r="I475" s="20" t="str">
        <f>Mecatrónica!G31</f>
        <v>Informar sobre el alcance final del  POA</v>
      </c>
      <c r="J475" s="20" t="str">
        <f>Mecatrónica!H31</f>
        <v>Informe final POA 2025</v>
      </c>
      <c r="K475" s="62">
        <f>Mecatrónica!I31</f>
        <v>1</v>
      </c>
      <c r="L475" s="160">
        <f>Mecatrónica!J31</f>
        <v>0</v>
      </c>
      <c r="M475" s="20">
        <f>Mecatrónica!K31</f>
        <v>0</v>
      </c>
      <c r="N475" s="20">
        <f>Mecatrónica!L31</f>
        <v>0</v>
      </c>
      <c r="O475" s="20">
        <f>Mecatrónica!M31</f>
        <v>0</v>
      </c>
      <c r="P475" s="20">
        <v>2025</v>
      </c>
    </row>
    <row r="476" spans="1:16" ht="14.25" customHeight="1">
      <c r="A476" s="20" t="s">
        <v>490</v>
      </c>
      <c r="B476" s="20" t="str">
        <f t="shared" si="40"/>
        <v>ESTRATEGIA 2</v>
      </c>
      <c r="C476" s="20" t="str">
        <f t="shared" si="41"/>
        <v>OBJETIVO OPERATIVO 1</v>
      </c>
      <c r="D476" s="20" t="b">
        <f>Mecatrónica!B32</f>
        <v>0</v>
      </c>
      <c r="E476" s="20" t="str">
        <f>Mecatrónica!C32</f>
        <v>Baja</v>
      </c>
      <c r="F476" s="21">
        <f>Mecatrónica!D32</f>
        <v>46011</v>
      </c>
      <c r="G476" s="20" t="str">
        <f>Mecatrónica!E32</f>
        <v>Elaborar la Planificación Operativa Anual 2025</v>
      </c>
      <c r="H476" s="20" t="str">
        <f>Mecatrónica!F32</f>
        <v>Director/a carrera - gestor académico</v>
      </c>
      <c r="I476" s="20" t="str">
        <f>Mecatrónica!G32</f>
        <v>Realizar la planificación para el 2026</v>
      </c>
      <c r="J476" s="20" t="str">
        <f>Mecatrónica!H32</f>
        <v>POA 2026</v>
      </c>
      <c r="K476" s="62">
        <f>Mecatrónica!I32</f>
        <v>1</v>
      </c>
      <c r="L476" s="160">
        <f>Mecatrónica!J32</f>
        <v>0</v>
      </c>
      <c r="M476" s="20">
        <f>Mecatrónica!K32</f>
        <v>0</v>
      </c>
      <c r="N476" s="20">
        <f>Mecatrónica!L32</f>
        <v>0</v>
      </c>
      <c r="O476" s="20">
        <f>Mecatrónica!M32</f>
        <v>0</v>
      </c>
      <c r="P476" s="20">
        <v>2025</v>
      </c>
    </row>
    <row r="477" spans="1:16" ht="14.25" customHeight="1">
      <c r="A477" s="20" t="s">
        <v>490</v>
      </c>
      <c r="B477" s="20" t="str">
        <f t="shared" si="40"/>
        <v>ESTRATEGIA 2</v>
      </c>
      <c r="C477" s="20" t="str">
        <f t="shared" si="41"/>
        <v>OBJETIVO OPERATIVO 1</v>
      </c>
      <c r="D477" s="20" t="b">
        <f>Mecatrónica!B33</f>
        <v>0</v>
      </c>
      <c r="E477" s="20" t="str">
        <f>Mecatrónica!C33</f>
        <v>Media</v>
      </c>
      <c r="F477" s="21" t="str">
        <f>Mecatrónica!D33</f>
        <v>2025-I (inicio de ciclo)
2025-II (inicio de ciclo)</v>
      </c>
      <c r="G477" s="20" t="str">
        <f>Mecatrónica!E33</f>
        <v>Designación de tutores de curso</v>
      </c>
      <c r="H477" s="20" t="str">
        <f>Mecatrónica!F33</f>
        <v>Director/a carrera</v>
      </c>
      <c r="I477" s="20" t="str">
        <f>Mecatrónica!G33</f>
        <v>Realizar las designaciones y evidenciar los responsables y tutores de la carrera</v>
      </c>
      <c r="J477" s="20" t="str">
        <f>Mecatrónica!H33</f>
        <v>Documento de designación de tutores por parte del director de carrera</v>
      </c>
      <c r="K477" s="62">
        <f>Mecatrónica!I33</f>
        <v>0.5</v>
      </c>
      <c r="L477" s="160">
        <f>Mecatrónica!J33</f>
        <v>0</v>
      </c>
      <c r="M477" s="20">
        <f>Mecatrónica!K33</f>
        <v>0</v>
      </c>
      <c r="N477" s="20">
        <f>Mecatrónica!L33</f>
        <v>0</v>
      </c>
      <c r="O477" s="20" t="str">
        <f>Mecatrónica!M33</f>
        <v>Fata de 2025 II</v>
      </c>
      <c r="P477" s="20">
        <v>2025</v>
      </c>
    </row>
    <row r="478" spans="1:16" ht="14.25" customHeight="1">
      <c r="A478" s="20" t="s">
        <v>490</v>
      </c>
      <c r="B478" s="20" t="str">
        <f t="shared" si="40"/>
        <v>ESTRATEGIA 2</v>
      </c>
      <c r="C478" s="20" t="str">
        <f t="shared" si="41"/>
        <v>OBJETIVO OPERATIVO 1</v>
      </c>
      <c r="D478" s="20" t="b">
        <f>Mecatrónica!B34</f>
        <v>0</v>
      </c>
      <c r="E478" s="20" t="str">
        <f>Mecatrónica!C34</f>
        <v>Media</v>
      </c>
      <c r="F478" s="21" t="str">
        <f>Mecatrónica!D34</f>
        <v>2025-I(Todo el ciclo)
2025-II(Todo el ciclo)</v>
      </c>
      <c r="G478" s="20" t="str">
        <f>Mecatrónica!E34</f>
        <v>Ejecutar las actividades de la fase de SEGUIMIENTO del modelo metodológico del proceso de Seguimiento Curricular</v>
      </c>
      <c r="H478" s="20" t="str">
        <f>Mecatrónica!F34</f>
        <v>Director/a de carrera - Gestor/a académico
Tutores de curso</v>
      </c>
      <c r="I478" s="20" t="str">
        <f>Mecatrónica!G34</f>
        <v>Realizar el Seguimiento del modelo metodológico</v>
      </c>
      <c r="J478" s="20" t="str">
        <f>Mecatrónica!H34</f>
        <v>Fase SEGUIMIENTO:
INICIO: Socialización de Tutorías Académicas
DURANTE: Registro de Calificaciones del Primer Parcial
FINAL : Registro de Calificación Finales</v>
      </c>
      <c r="K478" s="62">
        <f>Mecatrónica!I34</f>
        <v>1</v>
      </c>
      <c r="L478" s="160">
        <f>Mecatrónica!J34</f>
        <v>0</v>
      </c>
      <c r="M478" s="20">
        <f>Mecatrónica!K34</f>
        <v>0</v>
      </c>
      <c r="N478" s="20">
        <f>Mecatrónica!L34</f>
        <v>0</v>
      </c>
      <c r="O478" s="20">
        <f>Mecatrónica!M34</f>
        <v>0</v>
      </c>
      <c r="P478" s="20">
        <v>2025</v>
      </c>
    </row>
    <row r="479" spans="1:16" ht="14.25" customHeight="1">
      <c r="A479" s="20" t="s">
        <v>490</v>
      </c>
      <c r="B479" s="20" t="str">
        <f t="shared" si="40"/>
        <v>ESTRATEGIA 2</v>
      </c>
      <c r="C479" s="20" t="str">
        <f t="shared" si="41"/>
        <v>OBJETIVO OPERATIVO 1</v>
      </c>
      <c r="D479" s="20" t="b">
        <f>Mecatrónica!B35</f>
        <v>0</v>
      </c>
      <c r="E479" s="20" t="str">
        <f>Mecatrónica!C35</f>
        <v>Media</v>
      </c>
      <c r="F479" s="21" t="str">
        <f>Mecatrónica!D35</f>
        <v>2025-I(Todo el ciclo)
2025-II(Todo el ciclo)</v>
      </c>
      <c r="G479" s="20" t="str">
        <f>Mecatrónica!E35</f>
        <v>Ejecutar las actividades de la fase de CONTROL del modelo metodológico del proceso de Seguimiento Curricular</v>
      </c>
      <c r="H479" s="20" t="str">
        <f>Mecatrónica!F35</f>
        <v>Director/a de carrera - Gestor/a académico
Tutores de curso</v>
      </c>
      <c r="I479" s="20" t="str">
        <f>Mecatrónica!G35</f>
        <v>Realizar el Control del modelo metodológico</v>
      </c>
      <c r="J479" s="20" t="str">
        <f>Mecatrónica!H35</f>
        <v>Fase CONTROL:
INICIO: Matriz consolidada de resultados de Pruebas de Diagnostico
DURANTE: Matriz consolidada de resultados de Calificaciones del Primer Parcial
FINAL : Matriz consolidada de resultados de Calificaciones Finales</v>
      </c>
      <c r="K479" s="62">
        <f>Mecatrónica!I35</f>
        <v>1</v>
      </c>
      <c r="L479" s="160">
        <f>Mecatrónica!J35</f>
        <v>0</v>
      </c>
      <c r="M479" s="20">
        <f>Mecatrónica!K35</f>
        <v>0</v>
      </c>
      <c r="N479" s="20">
        <f>Mecatrónica!L35</f>
        <v>0</v>
      </c>
      <c r="O479" s="20">
        <f>Mecatrónica!M35</f>
        <v>0</v>
      </c>
      <c r="P479" s="20">
        <v>2025</v>
      </c>
    </row>
    <row r="480" spans="1:16" ht="14.25" customHeight="1">
      <c r="A480" s="20" t="s">
        <v>490</v>
      </c>
      <c r="B480" s="20" t="str">
        <f t="shared" si="40"/>
        <v>ESTRATEGIA 2</v>
      </c>
      <c r="C480" s="20" t="str">
        <f t="shared" si="41"/>
        <v>OBJETIVO OPERATIVO 1</v>
      </c>
      <c r="D480" s="20" t="b">
        <f>Mecatrónica!B36</f>
        <v>0</v>
      </c>
      <c r="E480" s="20" t="str">
        <f>Mecatrónica!C36</f>
        <v>Media</v>
      </c>
      <c r="F480" s="21" t="str">
        <f>Mecatrónica!D36</f>
        <v>2025-I(Todo el ciclo)
2025-II(Todo el ciclo)</v>
      </c>
      <c r="G480" s="20" t="str">
        <f>Mecatrónica!E36</f>
        <v>Ejecutar las actividades de la fase de EVALUACIÓN del modelo metodológico del proceso de Seguimiento Curricular</v>
      </c>
      <c r="H480" s="20" t="str">
        <f>Mecatrónica!F36</f>
        <v>Director/a de carrera - Gestor/a académico
Tutores de curso</v>
      </c>
      <c r="I480" s="20" t="str">
        <f>Mecatrónica!G36</f>
        <v>Realizar la Evaluación del modelo metodológico</v>
      </c>
      <c r="J480" s="20" t="str">
        <f>Mecatrónica!H36</f>
        <v>Fase EVALAUCIÓN:
INICIO: Acta de reunión de inicio de ciclo estudiantes
DURANTE: Acta de reunión del Primer Parcial Docentes - Estudiantes
FINAL : Acta de reunión Final - Docentes - Estudiantes</v>
      </c>
      <c r="K480" s="62">
        <f>Mecatrónica!I36</f>
        <v>1</v>
      </c>
      <c r="L480" s="160">
        <f>Mecatrónica!J36</f>
        <v>0</v>
      </c>
      <c r="M480" s="20">
        <f>Mecatrónica!K36</f>
        <v>0</v>
      </c>
      <c r="N480" s="20">
        <f>Mecatrónica!L36</f>
        <v>0</v>
      </c>
      <c r="O480" s="20">
        <f>Mecatrónica!M36</f>
        <v>0</v>
      </c>
      <c r="P480" s="20">
        <v>2025</v>
      </c>
    </row>
    <row r="481" spans="1:16" ht="14.25" customHeight="1">
      <c r="A481" s="20" t="s">
        <v>490</v>
      </c>
      <c r="B481" s="20" t="str">
        <f t="shared" si="40"/>
        <v>ESTRATEGIA 2</v>
      </c>
      <c r="C481" s="20" t="str">
        <f t="shared" si="41"/>
        <v>OBJETIVO OPERATIVO 1</v>
      </c>
      <c r="D481" s="20" t="b">
        <f>Mecatrónica!B37</f>
        <v>0</v>
      </c>
      <c r="E481" s="20" t="str">
        <f>Mecatrónica!C37</f>
        <v>Baja</v>
      </c>
      <c r="F481" s="21" t="str">
        <f>Mecatrónica!D37</f>
        <v>2024-II(Fin de ciclo)
2025-I(Fin de Ciclo)</v>
      </c>
      <c r="G481" s="20" t="str">
        <f>Mecatrónica!E37</f>
        <v>Elaboración del Plan de Mejoramiento del proceso enseñanza aprendizaje</v>
      </c>
      <c r="H481" s="20" t="str">
        <f>Mecatrónica!F37</f>
        <v>Director/a carrera
Responsable de Seguimiento a graduados de la carrera</v>
      </c>
      <c r="I481" s="20" t="str">
        <f>Mecatrónica!G37</f>
        <v>De acuerdo a los resultados generar el Plan de Mejoramiento enseñanza aprendizaje</v>
      </c>
      <c r="J481" s="20" t="str">
        <f>Mecatrónica!H37</f>
        <v>Informe de plan de mejoramiento curricular</v>
      </c>
      <c r="K481" s="62">
        <f>Mecatrónica!I37</f>
        <v>0.5</v>
      </c>
      <c r="L481" s="160">
        <f>Mecatrónica!J37</f>
        <v>0</v>
      </c>
      <c r="M481" s="20">
        <f>Mecatrónica!K37</f>
        <v>0</v>
      </c>
      <c r="N481" s="20">
        <f>Mecatrónica!L37</f>
        <v>0</v>
      </c>
      <c r="O481" s="20" t="str">
        <f>Mecatrónica!M37</f>
        <v>falta 2024 I</v>
      </c>
      <c r="P481" s="20">
        <v>2025</v>
      </c>
    </row>
    <row r="482" spans="1:16" ht="14.25" customHeight="1">
      <c r="A482" s="20" t="s">
        <v>490</v>
      </c>
      <c r="B482" s="20" t="str">
        <f t="shared" si="40"/>
        <v>ESTRATEGIA 2</v>
      </c>
      <c r="C482" s="20" t="str">
        <f>Mecatrónica!E38</f>
        <v>OBJETIVO OPERATIVO 2</v>
      </c>
      <c r="D482" s="20" t="b">
        <f>Mecatrónica!B39</f>
        <v>1</v>
      </c>
      <c r="E482" s="20" t="str">
        <f>Mecatrónica!C39</f>
        <v>Media</v>
      </c>
      <c r="F482" s="21" t="str">
        <f>Mecatrónica!D39</f>
        <v>2025-II(Inicio de ciclo)</v>
      </c>
      <c r="G482" s="20" t="str">
        <f>Mecatrónica!E39</f>
        <v>Diseñar, gestionar e implementar cursos o programas de inducción y de actualización para docentes y estudiantes.</v>
      </c>
      <c r="H482" s="20" t="str">
        <f>Mecatrónica!F39</f>
        <v>Director/a carrera - gestor académico</v>
      </c>
      <c r="I482" s="20" t="str">
        <f>Mecatrónica!G39</f>
        <v>Generar la capacitación docente</v>
      </c>
      <c r="J482" s="20" t="str">
        <f>Mecatrónica!H39</f>
        <v>Informes de cursos y o programas.</v>
      </c>
      <c r="K482" s="62">
        <f>Mecatrónica!I39</f>
        <v>0</v>
      </c>
      <c r="L482" s="160">
        <f>Mecatrónica!J39</f>
        <v>0</v>
      </c>
      <c r="M482" s="20">
        <f>Mecatrónica!K39</f>
        <v>0</v>
      </c>
      <c r="N482" s="20">
        <f>Mecatrónica!L39</f>
        <v>0</v>
      </c>
      <c r="O482" s="20" t="str">
        <f>Mecatrónica!M39</f>
        <v>no hay evidencias</v>
      </c>
      <c r="P482" s="20">
        <v>2025</v>
      </c>
    </row>
    <row r="483" spans="1:16" ht="14.25" customHeight="1">
      <c r="A483" s="20" t="s">
        <v>490</v>
      </c>
      <c r="B483" s="20" t="str">
        <f t="shared" si="40"/>
        <v>ESTRATEGIA 2</v>
      </c>
      <c r="C483" s="20" t="str">
        <f>$C$482</f>
        <v>OBJETIVO OPERATIVO 2</v>
      </c>
      <c r="D483" s="20" t="b">
        <f>Mecatrónica!B40</f>
        <v>1</v>
      </c>
      <c r="E483" s="20" t="str">
        <f>Mecatrónica!C40</f>
        <v>Media</v>
      </c>
      <c r="F483" s="21" t="str">
        <f>Mecatrónica!D40</f>
        <v>2025-II(Inicio de ciclo)</v>
      </c>
      <c r="G483" s="20" t="str">
        <f>Mecatrónica!E40</f>
        <v>Capacitar a los estudiantes sobre la utilización de la Plataforma Moodle.</v>
      </c>
      <c r="H483" s="20" t="str">
        <f>Mecatrónica!F40</f>
        <v>responsable plataforma Moodle de la carrera</v>
      </c>
      <c r="I483" s="20" t="str">
        <f>Mecatrónica!G40</f>
        <v>Generar la capacitación estudiantil sobre el Moodle</v>
      </c>
      <c r="J483" s="20" t="str">
        <f>Mecatrónica!H40</f>
        <v>Informe sobre la capacitación</v>
      </c>
      <c r="K483" s="62">
        <f>Mecatrónica!I40</f>
        <v>0</v>
      </c>
      <c r="L483" s="160">
        <f>Mecatrónica!J40</f>
        <v>0</v>
      </c>
      <c r="M483" s="20">
        <f>Mecatrónica!K40</f>
        <v>0</v>
      </c>
      <c r="N483" s="20">
        <f>Mecatrónica!L40</f>
        <v>0</v>
      </c>
      <c r="O483" s="20" t="str">
        <f>Mecatrónica!M40</f>
        <v>no hay evidencias</v>
      </c>
      <c r="P483" s="20">
        <v>2025</v>
      </c>
    </row>
    <row r="484" spans="1:16" ht="14.25" customHeight="1">
      <c r="A484" s="20" t="s">
        <v>490</v>
      </c>
      <c r="B484" s="20" t="str">
        <f t="shared" si="40"/>
        <v>ESTRATEGIA 2</v>
      </c>
      <c r="C484" s="20" t="str">
        <f>$C$482</f>
        <v>OBJETIVO OPERATIVO 2</v>
      </c>
      <c r="D484" s="20" t="b">
        <f>Mecatrónica!B41</f>
        <v>1</v>
      </c>
      <c r="E484" s="20" t="str">
        <f>Mecatrónica!C41</f>
        <v>Baja</v>
      </c>
      <c r="F484" s="21" t="str">
        <f>Mecatrónica!D41</f>
        <v>2025-II(Fin de ciclo)</v>
      </c>
      <c r="G484" s="20" t="str">
        <f>Mecatrónica!E41</f>
        <v>Elaborar y ejecutar la planificación de oferta complementaria.</v>
      </c>
      <c r="H484" s="20" t="str">
        <f>Mecatrónica!F41</f>
        <v>Docentes de la carrera</v>
      </c>
      <c r="I484" s="20" t="str">
        <f>Mecatrónica!G41</f>
        <v>Analizar y realizar la oferta complementaria</v>
      </c>
      <c r="J484" s="20" t="str">
        <f>Mecatrónica!H41</f>
        <v>Informe de ejecución de la oferta complementaria.</v>
      </c>
      <c r="K484" s="62">
        <f>Mecatrónica!I41</f>
        <v>0</v>
      </c>
      <c r="L484" s="160">
        <f>Mecatrónica!J41</f>
        <v>0</v>
      </c>
      <c r="M484" s="20">
        <f>Mecatrónica!K41</f>
        <v>0</v>
      </c>
      <c r="N484" s="20">
        <f>Mecatrónica!L41</f>
        <v>0</v>
      </c>
      <c r="O484" s="20" t="str">
        <f>Mecatrónica!M41</f>
        <v>no hay evidencias</v>
      </c>
      <c r="P484" s="20">
        <v>2025</v>
      </c>
    </row>
    <row r="485" spans="1:16" ht="14.25" customHeight="1">
      <c r="A485" s="20" t="s">
        <v>490</v>
      </c>
      <c r="B485" s="20" t="str">
        <f t="shared" si="40"/>
        <v>ESTRATEGIA 2</v>
      </c>
      <c r="C485" s="20" t="str">
        <f>Mecatrónica!E42</f>
        <v>OBJETIVO OPERATIVO 3</v>
      </c>
      <c r="D485" s="20" t="b">
        <f>Mecatrónica!B43</f>
        <v>1</v>
      </c>
      <c r="E485" s="20" t="str">
        <f>Mecatrónica!C43</f>
        <v>Alta</v>
      </c>
      <c r="F485" s="21" t="str">
        <f>Mecatrónica!D43</f>
        <v>2025-I(Inicio de ciclo)</v>
      </c>
      <c r="G485" s="20" t="str">
        <f>Mecatrónica!E43</f>
        <v>Revisión de requisitos de la opción de titulación de los estudiantes.</v>
      </c>
      <c r="H485" s="20" t="str">
        <f>Mecatrónica!F43</f>
        <v>Director de carrera / Coordinador de carreras</v>
      </c>
      <c r="I485" s="20" t="str">
        <f>Mecatrónica!G43</f>
        <v>Realizar el análisis de la opción de titulación para los estudiantes</v>
      </c>
      <c r="J485" s="20" t="str">
        <f>Mecatrónica!H43</f>
        <v>Recopilar los documentos de los estudiantes de titulación.</v>
      </c>
      <c r="K485" s="62">
        <f>Mecatrónica!I43</f>
        <v>1</v>
      </c>
      <c r="L485" s="160">
        <f>Mecatrónica!J43</f>
        <v>0</v>
      </c>
      <c r="M485" s="20">
        <f>Mecatrónica!K43</f>
        <v>0</v>
      </c>
      <c r="N485" s="20">
        <f>Mecatrónica!L43</f>
        <v>0</v>
      </c>
      <c r="O485" s="20" t="str">
        <f>Mecatrónica!M43</f>
        <v>subir anexo 1 y 2</v>
      </c>
      <c r="P485" s="20">
        <v>2025</v>
      </c>
    </row>
    <row r="486" spans="1:16" ht="14.25" customHeight="1">
      <c r="A486" s="20" t="s">
        <v>490</v>
      </c>
      <c r="B486" s="20" t="str">
        <f t="shared" si="40"/>
        <v>ESTRATEGIA 2</v>
      </c>
      <c r="C486" s="20" t="str">
        <f>$C$485</f>
        <v>OBJETIVO OPERATIVO 3</v>
      </c>
      <c r="D486" s="20" t="b">
        <f>Mecatrónica!B44</f>
        <v>1</v>
      </c>
      <c r="E486" s="20" t="str">
        <f>Mecatrónica!C44</f>
        <v>Alta</v>
      </c>
      <c r="F486" s="21" t="str">
        <f>Mecatrónica!D44</f>
        <v>2025-I(Inicio de ciclo)</v>
      </c>
      <c r="G486" s="20" t="str">
        <f>Mecatrónica!E44</f>
        <v>Coordinación para aprobación de documentación de la integración curricular.</v>
      </c>
      <c r="H486" s="20" t="str">
        <f>Mecatrónica!F44</f>
        <v>Director de carrera / Coordinador de carreras</v>
      </c>
      <c r="I486" s="20" t="str">
        <f>Mecatrónica!G44</f>
        <v>Revisar y coordinar la aprobación de documentos para el ingreso a la unidad de integración curricular</v>
      </c>
      <c r="J486" s="20" t="str">
        <f>Mecatrónica!H44</f>
        <v>Aprobación de la documentación a titulación.</v>
      </c>
      <c r="K486" s="62">
        <f>Mecatrónica!I44</f>
        <v>1</v>
      </c>
      <c r="L486" s="160">
        <f>Mecatrónica!J44</f>
        <v>0</v>
      </c>
      <c r="M486" s="20">
        <f>Mecatrónica!K44</f>
        <v>0</v>
      </c>
      <c r="N486" s="20">
        <f>Mecatrónica!L44</f>
        <v>0</v>
      </c>
      <c r="O486" s="20">
        <f>Mecatrónica!M44</f>
        <v>0</v>
      </c>
      <c r="P486" s="20">
        <v>2025</v>
      </c>
    </row>
    <row r="487" spans="1:16" ht="14.25" customHeight="1">
      <c r="A487" s="20" t="s">
        <v>490</v>
      </c>
      <c r="B487" s="20" t="str">
        <f t="shared" si="40"/>
        <v>ESTRATEGIA 2</v>
      </c>
      <c r="C487" s="20" t="str">
        <f>$C$485</f>
        <v>OBJETIVO OPERATIVO 3</v>
      </c>
      <c r="D487" s="20" t="b">
        <f>Mecatrónica!B45</f>
        <v>1</v>
      </c>
      <c r="E487" s="20" t="str">
        <f>Mecatrónica!C45</f>
        <v>Alta</v>
      </c>
      <c r="F487" s="21" t="str">
        <f>Mecatrónica!D45</f>
        <v>2025-I(Fin de ciclo)</v>
      </c>
      <c r="G487" s="20" t="str">
        <f>Mecatrónica!E45</f>
        <v>Coordinación del evento de incorporación.</v>
      </c>
      <c r="H487" s="20" t="str">
        <f>Mecatrónica!F45</f>
        <v>Director de carrera / Coordinador de carreras</v>
      </c>
      <c r="I487" s="20" t="str">
        <f>Mecatrónica!G45</f>
        <v>Realizar la lista de estudiantes a titularse</v>
      </c>
      <c r="J487" s="20" t="str">
        <f>Mecatrónica!H45</f>
        <v>Matriz de datos de estudiantes a titularse</v>
      </c>
      <c r="K487" s="62">
        <f>Mecatrónica!I45</f>
        <v>1</v>
      </c>
      <c r="L487" s="160">
        <f>Mecatrónica!J45</f>
        <v>0</v>
      </c>
      <c r="M487" s="20">
        <f>Mecatrónica!K45</f>
        <v>0</v>
      </c>
      <c r="N487" s="20">
        <f>Mecatrónica!L45</f>
        <v>0</v>
      </c>
      <c r="O487" s="20">
        <f>Mecatrónica!M45</f>
        <v>0</v>
      </c>
      <c r="P487" s="20">
        <v>2025</v>
      </c>
    </row>
    <row r="488" spans="1:16" ht="14.25" customHeight="1">
      <c r="A488" s="20" t="s">
        <v>490</v>
      </c>
      <c r="B488" s="20" t="str">
        <f>Mecatrónica!B46</f>
        <v>ESTRATEGIA 3</v>
      </c>
      <c r="C488" s="20" t="str">
        <f>Mecatrónica!E46</f>
        <v>OBJETIVO OPERATIVO 1</v>
      </c>
      <c r="D488" s="20" t="b">
        <f>Mecatrónica!B47</f>
        <v>0</v>
      </c>
      <c r="E488" s="20" t="str">
        <f>Mecatrónica!C47</f>
        <v>Media</v>
      </c>
      <c r="F488" s="21" t="str">
        <f>Mecatrónica!D47</f>
        <v>2025-I(Todo el ciclo)
2025-II(Todo de ciclo)</v>
      </c>
      <c r="G488" s="20" t="str">
        <f>Mecatrónica!E47</f>
        <v>Colaborar con la comisión de Vinculación en la construcción de los documentos necesarios para la firma de convenios.</v>
      </c>
      <c r="H488" s="20" t="str">
        <f>Mecatrónica!F47</f>
        <v>Director/a carrera -responsable de practicas y vinculación</v>
      </c>
      <c r="I488" s="20" t="str">
        <f>Mecatrónica!G47</f>
        <v>Brindar apoyo y realizar ITV de vinculación de la carrera</v>
      </c>
      <c r="J488" s="20" t="str">
        <f>Mecatrónica!H47</f>
        <v>ITV  y los convenios.</v>
      </c>
      <c r="K488" s="62">
        <f>Mecatrónica!I47</f>
        <v>0</v>
      </c>
      <c r="L488" s="160">
        <f>Mecatrónica!J47</f>
        <v>0</v>
      </c>
      <c r="M488" s="20">
        <f>Mecatrónica!K47</f>
        <v>0</v>
      </c>
      <c r="N488" s="20">
        <f>Mecatrónica!L47</f>
        <v>0</v>
      </c>
      <c r="O488" s="20" t="str">
        <f>Mecatrónica!M47</f>
        <v>subir convenio</v>
      </c>
      <c r="P488" s="20">
        <v>2025</v>
      </c>
    </row>
    <row r="489" spans="1:16" ht="14.25" customHeight="1">
      <c r="A489" s="20" t="s">
        <v>490</v>
      </c>
      <c r="B489" s="20" t="str">
        <f>$B$488</f>
        <v>ESTRATEGIA 3</v>
      </c>
      <c r="C489" s="20" t="str">
        <f>$C$488</f>
        <v>OBJETIVO OPERATIVO 1</v>
      </c>
      <c r="D489" s="20" t="b">
        <f>Mecatrónica!B48</f>
        <v>0</v>
      </c>
      <c r="E489" s="20" t="str">
        <f>Mecatrónica!C48</f>
        <v>Baja</v>
      </c>
      <c r="F489" s="21" t="str">
        <f>Mecatrónica!D48</f>
        <v>2024-II( fin ciclo)
2025-I( fin ciclo)</v>
      </c>
      <c r="G489" s="20" t="str">
        <f>Mecatrónica!E48</f>
        <v>Divulgación de los resultados de los proyectos de vinculación, asistiendo a las ferias convocados por diferentes organizaciones.</v>
      </c>
      <c r="H489" s="20" t="str">
        <f>Mecatrónica!F48</f>
        <v>Director/a carrera -responsable de practicas y vinculación</v>
      </c>
      <c r="I489" s="20" t="str">
        <f>Mecatrónica!G48</f>
        <v>Realizar la divulgación de los resultados de los proyectos de vinculación</v>
      </c>
      <c r="J489" s="20" t="str">
        <f>Mecatrónica!H48</f>
        <v>Informe de la divulgación.</v>
      </c>
      <c r="K489" s="62">
        <f>Mecatrónica!I48</f>
        <v>1</v>
      </c>
      <c r="L489" s="160">
        <f>Mecatrónica!J48</f>
        <v>0</v>
      </c>
      <c r="M489" s="20">
        <f>Mecatrónica!K48</f>
        <v>0</v>
      </c>
      <c r="N489" s="20">
        <f>Mecatrónica!L48</f>
        <v>0</v>
      </c>
      <c r="O489" s="20">
        <f>Mecatrónica!M48</f>
        <v>0</v>
      </c>
      <c r="P489" s="20">
        <v>2025</v>
      </c>
    </row>
    <row r="490" spans="1:16" ht="14.25" customHeight="1">
      <c r="A490" s="20" t="s">
        <v>490</v>
      </c>
      <c r="B490" s="20" t="str">
        <f>$B$488</f>
        <v>ESTRATEGIA 3</v>
      </c>
      <c r="C490" s="20" t="str">
        <f>$C$488</f>
        <v>OBJETIVO OPERATIVO 1</v>
      </c>
      <c r="D490" s="20" t="b">
        <f>Mecatrónica!B49</f>
        <v>0</v>
      </c>
      <c r="E490" s="20" t="str">
        <f>Mecatrónica!C49</f>
        <v>Baja</v>
      </c>
      <c r="F490" s="21" t="str">
        <f>Mecatrónica!D49</f>
        <v>2025-I (inicio ciclo)
2025-II(inicio ciclo)</v>
      </c>
      <c r="G490" s="20" t="str">
        <f>Mecatrónica!E49</f>
        <v>Socializar con los estudiantes el reglamento de vinculación</v>
      </c>
      <c r="H490" s="20" t="str">
        <f>Mecatrónica!F49</f>
        <v>Director/a carrera -responsable de practicas y vinculación</v>
      </c>
      <c r="I490" s="20" t="str">
        <f>Mecatrónica!G49</f>
        <v>Realizar la socialización del reglamento de vinculación con los estudiantes</v>
      </c>
      <c r="J490" s="20" t="str">
        <f>Mecatrónica!H49</f>
        <v>Informe de socialización del reglamento.</v>
      </c>
      <c r="K490" s="62">
        <f>Mecatrónica!I49</f>
        <v>1</v>
      </c>
      <c r="L490" s="160">
        <f>Mecatrónica!J49</f>
        <v>0</v>
      </c>
      <c r="M490" s="20">
        <f>Mecatrónica!K49</f>
        <v>0</v>
      </c>
      <c r="N490" s="20">
        <f>Mecatrónica!L49</f>
        <v>0</v>
      </c>
      <c r="O490" s="20">
        <f>Mecatrónica!M49</f>
        <v>0</v>
      </c>
      <c r="P490" s="20">
        <v>2025</v>
      </c>
    </row>
    <row r="491" spans="1:16" ht="14.25" customHeight="1">
      <c r="A491" s="20" t="s">
        <v>490</v>
      </c>
      <c r="B491" s="20" t="str">
        <f>$B$488</f>
        <v>ESTRATEGIA 3</v>
      </c>
      <c r="C491" s="20" t="str">
        <f>Mecatrónica!E50</f>
        <v>OBJETIVO OPERATIVO 2</v>
      </c>
      <c r="D491" s="20" t="b">
        <f>Mecatrónica!B51</f>
        <v>1</v>
      </c>
      <c r="E491" s="20" t="str">
        <f>Mecatrónica!C51</f>
        <v>Alta</v>
      </c>
      <c r="F491" s="21" t="str">
        <f>Mecatrónica!D51</f>
        <v>2025-I (inicio ciclo)
2025-II(inicio ciclo)</v>
      </c>
      <c r="G491" s="20" t="str">
        <f>Mecatrónica!E51</f>
        <v>Conocer las líneas de investigación de la carrera</v>
      </c>
      <c r="H491" s="20" t="str">
        <f>Mecatrónica!F51</f>
        <v>Director de carrera</v>
      </c>
      <c r="I491" s="20" t="str">
        <f>Mecatrónica!G51</f>
        <v>Analizar y realizar las líneas de investigación de la carrera</v>
      </c>
      <c r="J491" s="20" t="str">
        <f>Mecatrónica!H51</f>
        <v>Informe de socialización de las líneas de investigación de la carrera</v>
      </c>
      <c r="K491" s="62">
        <f>Mecatrónica!I51</f>
        <v>1</v>
      </c>
      <c r="L491" s="160">
        <f>Mecatrónica!J51</f>
        <v>0</v>
      </c>
      <c r="M491" s="20">
        <f>Mecatrónica!K51</f>
        <v>0</v>
      </c>
      <c r="N491" s="20">
        <f>Mecatrónica!L51</f>
        <v>0</v>
      </c>
      <c r="O491" s="20">
        <f>Mecatrónica!M51</f>
        <v>0</v>
      </c>
      <c r="P491" s="20">
        <v>2025</v>
      </c>
    </row>
    <row r="492" spans="1:16" ht="14.25" customHeight="1">
      <c r="A492" s="20" t="s">
        <v>490</v>
      </c>
      <c r="B492" s="20" t="str">
        <f>$B$488</f>
        <v>ESTRATEGIA 3</v>
      </c>
      <c r="C492" s="20" t="str">
        <f>$C$491</f>
        <v>OBJETIVO OPERATIVO 2</v>
      </c>
      <c r="D492" s="20" t="b">
        <f>Mecatrónica!B52</f>
        <v>1</v>
      </c>
      <c r="E492" s="20" t="str">
        <f>Mecatrónica!C52</f>
        <v>Alta</v>
      </c>
      <c r="F492" s="21" t="str">
        <f>Mecatrónica!D52</f>
        <v>2025-I(Todo el ciclo)
2025-II(Todo de ciclo)</v>
      </c>
      <c r="G492" s="20" t="str">
        <f>Mecatrónica!E52</f>
        <v>Desarrollar investigación científica y tecnológica que contribuya con la construcción de soluciones para los problemas del país, en relación con los objetivos del régimen de desarrollo.</v>
      </c>
      <c r="H492" s="20" t="str">
        <f>Mecatrónica!F52</f>
        <v>Director de Carrera
Docentes de la carrera
Comisión de Investigación</v>
      </c>
      <c r="I492" s="20" t="str">
        <f>Mecatrónica!G52</f>
        <v>Incentivar y desarrollar la investigación de los docentes de la carrera en base a las líneas de la carrera</v>
      </c>
      <c r="J492" s="20" t="str">
        <f>Mecatrónica!H52</f>
        <v>Artículos publicados por los docentes de la carrera</v>
      </c>
      <c r="K492" s="62">
        <f>Mecatrónica!I52</f>
        <v>0</v>
      </c>
      <c r="L492" s="160">
        <f>Mecatrónica!J52</f>
        <v>0</v>
      </c>
      <c r="M492" s="20">
        <f>Mecatrónica!K52</f>
        <v>0</v>
      </c>
      <c r="N492" s="20">
        <f>Mecatrónica!L52</f>
        <v>0</v>
      </c>
      <c r="O492" s="20" t="str">
        <f>Mecatrónica!M52</f>
        <v>No hay investigaciones</v>
      </c>
      <c r="P492" s="20">
        <v>2025</v>
      </c>
    </row>
    <row r="493" spans="1:16" ht="14.25" customHeight="1">
      <c r="A493" s="20" t="s">
        <v>490</v>
      </c>
      <c r="B493" s="20" t="str">
        <f>$B$488</f>
        <v>ESTRATEGIA 3</v>
      </c>
      <c r="C493" s="20" t="str">
        <f>Mecatrónica!E53</f>
        <v>OBJETIVO OPERATIVO 3</v>
      </c>
      <c r="D493" s="20" t="b">
        <f>Mecatrónica!B54</f>
        <v>1</v>
      </c>
      <c r="E493" s="20" t="str">
        <f>Mecatrónica!C54</f>
        <v>Baja</v>
      </c>
      <c r="F493" s="21" t="str">
        <f>Mecatrónica!D54</f>
        <v>2025-I(Todo el ciclo)
2025-II(Todo de ciclo)</v>
      </c>
      <c r="G493" s="20" t="str">
        <f>Mecatrónica!E54</f>
        <v>Ejecutar la formación en valores y desarrollo de habilidades blandas.</v>
      </c>
      <c r="H493" s="20" t="str">
        <f>Mecatrónica!F54</f>
        <v>Director de carrera
Gestor académico
Bienestar institucional</v>
      </c>
      <c r="I493" s="20" t="str">
        <f>Mecatrónica!G54</f>
        <v>Realizar un curso de habilidades blandas que se desarrollara para todo el instituto</v>
      </c>
      <c r="J493" s="20" t="str">
        <f>Mecatrónica!H54</f>
        <v>Informe de formación en valores y desarrollo de habilidades blandas</v>
      </c>
      <c r="K493" s="62">
        <f>Mecatrónica!I54</f>
        <v>1</v>
      </c>
      <c r="L493" s="160">
        <f>Mecatrónica!J54</f>
        <v>0</v>
      </c>
      <c r="M493" s="20">
        <f>Mecatrónica!K54</f>
        <v>0</v>
      </c>
      <c r="N493" s="20">
        <f>Mecatrónica!L54</f>
        <v>0</v>
      </c>
      <c r="O493" s="20">
        <f>Mecatrónica!M54</f>
        <v>0</v>
      </c>
      <c r="P493" s="20">
        <v>2025</v>
      </c>
    </row>
    <row r="494" spans="1:16" ht="14.25" customHeight="1">
      <c r="A494" s="20" t="s">
        <v>490</v>
      </c>
      <c r="B494" s="20" t="str">
        <f>Mecatrónica!B55</f>
        <v>ESTRATEGIA 4</v>
      </c>
      <c r="C494" s="20" t="str">
        <f>Mecatrónica!E55</f>
        <v>OBJETIVO OPERATIVO 1</v>
      </c>
      <c r="D494" s="20" t="b">
        <f>Mecatrónica!B56</f>
        <v>0</v>
      </c>
      <c r="E494" s="20" t="str">
        <f>Mecatrónica!C56</f>
        <v>Baja</v>
      </c>
      <c r="F494" s="21" t="str">
        <f>Mecatrónica!D56</f>
        <v>2025-I (fin ciclo)
2025-II(fin ciclo)</v>
      </c>
      <c r="G494" s="20" t="str">
        <f>Mecatrónica!E56</f>
        <v>Elaboración de matrices de la oferta académica institucional.</v>
      </c>
      <c r="H494" s="20" t="str">
        <f>Mecatrónica!F56</f>
        <v>Director de Carrera
Gestor Académico</v>
      </c>
      <c r="I494" s="20" t="str">
        <f>Mecatrónica!G56</f>
        <v>Generación de matrices de oferta académica para la captación de más estudiantes</v>
      </c>
      <c r="J494" s="20" t="str">
        <f>Mecatrónica!H56</f>
        <v>Matrices de la oferta académica.</v>
      </c>
      <c r="K494" s="62">
        <f>Mecatrónica!I56</f>
        <v>1</v>
      </c>
      <c r="L494" s="160">
        <f>Mecatrónica!J56</f>
        <v>0</v>
      </c>
      <c r="M494" s="20">
        <f>Mecatrónica!K56</f>
        <v>0</v>
      </c>
      <c r="N494" s="20">
        <f>Mecatrónica!L56</f>
        <v>0</v>
      </c>
      <c r="O494" s="20">
        <f>Mecatrónica!M56</f>
        <v>0</v>
      </c>
      <c r="P494" s="20">
        <v>2025</v>
      </c>
    </row>
    <row r="495" spans="1:16" ht="14.25" customHeight="1">
      <c r="A495" s="20" t="s">
        <v>490</v>
      </c>
      <c r="B495" s="20" t="str">
        <f>$B$494</f>
        <v>ESTRATEGIA 4</v>
      </c>
      <c r="C495" s="20" t="str">
        <f>$C$494</f>
        <v>OBJETIVO OPERATIVO 1</v>
      </c>
      <c r="D495" s="20" t="b">
        <f>Mecatrónica!B57</f>
        <v>0</v>
      </c>
      <c r="E495" s="20" t="str">
        <f>Mecatrónica!C57</f>
        <v>Baja</v>
      </c>
      <c r="F495" s="21" t="str">
        <f>Mecatrónica!D57</f>
        <v xml:space="preserve">
2025-II(fin ciclo)</v>
      </c>
      <c r="G495" s="20" t="str">
        <f>Mecatrónica!E57</f>
        <v>Planificación de demanda estudiantil.</v>
      </c>
      <c r="H495" s="20" t="str">
        <f>Mecatrónica!F57</f>
        <v>Director de Carrera
Gestor Académico</v>
      </c>
      <c r="I495" s="20" t="str">
        <f>Mecatrónica!G57</f>
        <v>Planificar la demanda institucional en base a históricos de periodos anteriores</v>
      </c>
      <c r="J495" s="20" t="str">
        <f>Mecatrónica!H57</f>
        <v>Listado certificado  de matriculados de la carrera</v>
      </c>
      <c r="K495" s="62">
        <f>Mecatrónica!I57</f>
        <v>1</v>
      </c>
      <c r="L495" s="160">
        <f>Mecatrónica!J57</f>
        <v>0</v>
      </c>
      <c r="M495" s="20">
        <f>Mecatrónica!K57</f>
        <v>0</v>
      </c>
      <c r="N495" s="20">
        <f>Mecatrónica!L57</f>
        <v>0</v>
      </c>
      <c r="O495" s="20">
        <f>Mecatrónica!M57</f>
        <v>0</v>
      </c>
      <c r="P495" s="20">
        <v>2025</v>
      </c>
    </row>
    <row r="496" spans="1:16" ht="14.25" customHeight="1">
      <c r="A496" s="20" t="s">
        <v>490</v>
      </c>
      <c r="B496" s="20" t="str">
        <f>$B$494</f>
        <v>ESTRATEGIA 4</v>
      </c>
      <c r="C496" s="20" t="str">
        <f>$C$494</f>
        <v>OBJETIVO OPERATIVO 1</v>
      </c>
      <c r="D496" s="20" t="b">
        <f>Mecatrónica!B58</f>
        <v>0</v>
      </c>
      <c r="E496" s="20" t="str">
        <f>Mecatrónica!C58</f>
        <v>Media</v>
      </c>
      <c r="F496" s="21" t="str">
        <f>Mecatrónica!D58</f>
        <v>2025-II(fin ciclo)</v>
      </c>
      <c r="G496" s="20" t="str">
        <f>Mecatrónica!E58</f>
        <v>Análisis de capacidad operativa de la institución.</v>
      </c>
      <c r="H496" s="20" t="str">
        <f>Mecatrónica!F58</f>
        <v>Director de Carrera
Gestor Académico</v>
      </c>
      <c r="I496" s="20" t="str">
        <f>Mecatrónica!G58</f>
        <v>Análisis de requerimientos sustantivo y no sustantivo de la carrera</v>
      </c>
      <c r="J496" s="20" t="str">
        <f>Mecatrónica!H58</f>
        <v>Resolución de aprobación por OCS de Estandarización de Carrera</v>
      </c>
      <c r="K496" s="62">
        <f>Mecatrónica!I58</f>
        <v>1</v>
      </c>
      <c r="L496" s="160">
        <f>Mecatrónica!J58</f>
        <v>0</v>
      </c>
      <c r="M496" s="20">
        <f>Mecatrónica!K58</f>
        <v>0</v>
      </c>
      <c r="N496" s="20">
        <f>Mecatrónica!L58</f>
        <v>0</v>
      </c>
      <c r="O496" s="20">
        <f>Mecatrónica!M58</f>
        <v>0</v>
      </c>
      <c r="P496" s="20">
        <v>2025</v>
      </c>
    </row>
    <row r="497" spans="1:16" ht="14.25" customHeight="1">
      <c r="A497" s="20" t="s">
        <v>491</v>
      </c>
      <c r="B497" s="20" t="str">
        <f>Metalmecánica!B10</f>
        <v>ESTRATEGIA 1</v>
      </c>
      <c r="C497" s="20" t="str">
        <f>Metalmecánica!E10</f>
        <v>OBJETIVO OPERATIVO 1</v>
      </c>
      <c r="D497" s="20" t="b">
        <f>Metalmecánica!B11</f>
        <v>0</v>
      </c>
      <c r="E497" s="20" t="str">
        <f>Metalmecánica!C11</f>
        <v>Media</v>
      </c>
      <c r="F497" s="21" t="str">
        <f>Metalmecánica!D11</f>
        <v>2025-I ( Inicio ciclo)</v>
      </c>
      <c r="G497" s="20" t="str">
        <f>Metalmecánica!E11</f>
        <v>Planificar y estructurar las capacitaciones en el área técnica y didáctica.</v>
      </c>
      <c r="H497" s="20" t="str">
        <f>Metalmecánica!F11</f>
        <v>Director/a carrera
Docentes</v>
      </c>
      <c r="I497" s="20" t="str">
        <f>Metalmecánica!G11</f>
        <v>Desarrollo del plan de capacitación docente</v>
      </c>
      <c r="J497" s="20" t="str">
        <f>Metalmecánica!H11</f>
        <v>Plan de capacitación docente.</v>
      </c>
      <c r="K497" s="62">
        <f>Metalmecánica!I11</f>
        <v>1</v>
      </c>
      <c r="L497" s="160">
        <f>Metalmecánica!J11</f>
        <v>0</v>
      </c>
      <c r="M497" s="20">
        <f>Metalmecánica!K11</f>
        <v>0</v>
      </c>
      <c r="N497" s="20">
        <f>Metalmecánica!L11</f>
        <v>0</v>
      </c>
      <c r="O497" s="20">
        <f>Metalmecánica!M11</f>
        <v>0</v>
      </c>
      <c r="P497" s="20">
        <v>2025</v>
      </c>
    </row>
    <row r="498" spans="1:16" ht="14.25" customHeight="1">
      <c r="A498" s="20" t="s">
        <v>491</v>
      </c>
      <c r="B498" s="20" t="str">
        <f t="shared" ref="B498:B507" si="42">$B$497</f>
        <v>ESTRATEGIA 1</v>
      </c>
      <c r="C498" s="20" t="str">
        <f>$C$497</f>
        <v>OBJETIVO OPERATIVO 1</v>
      </c>
      <c r="D498" s="20" t="b">
        <f>Metalmecánica!B12</f>
        <v>0</v>
      </c>
      <c r="E498" s="20" t="str">
        <f>Metalmecánica!C12</f>
        <v>Baja</v>
      </c>
      <c r="F498" s="21" t="str">
        <f>Metalmecánica!D12</f>
        <v>2025-II ( fin ciclo)</v>
      </c>
      <c r="G498" s="20" t="str">
        <f>Metalmecánica!E12</f>
        <v>Ejecutar las capacitaciones planificadas.</v>
      </c>
      <c r="H498" s="20" t="str">
        <f>Metalmecánica!F12</f>
        <v>Director/a carrera
Docentes</v>
      </c>
      <c r="I498" s="20" t="str">
        <f>Metalmecánica!G12</f>
        <v>informar sobre el plan de capacitación docente</v>
      </c>
      <c r="J498" s="20" t="str">
        <f>Metalmecánica!H12</f>
        <v>Informe de ejecución del plan de capacitación docente.</v>
      </c>
      <c r="K498" s="62">
        <f>Metalmecánica!I12</f>
        <v>1</v>
      </c>
      <c r="L498" s="160">
        <f>Metalmecánica!J12</f>
        <v>0</v>
      </c>
      <c r="M498" s="20">
        <f>Metalmecánica!K12</f>
        <v>0</v>
      </c>
      <c r="N498" s="20">
        <f>Metalmecánica!L12</f>
        <v>0</v>
      </c>
      <c r="O498" s="20">
        <f>Metalmecánica!M12</f>
        <v>0</v>
      </c>
      <c r="P498" s="20">
        <v>2025</v>
      </c>
    </row>
    <row r="499" spans="1:16" ht="14.25" customHeight="1">
      <c r="A499" s="20" t="s">
        <v>491</v>
      </c>
      <c r="B499" s="20" t="str">
        <f t="shared" si="42"/>
        <v>ESTRATEGIA 1</v>
      </c>
      <c r="C499" s="20" t="str">
        <f>$C$497</f>
        <v>OBJETIVO OPERATIVO 1</v>
      </c>
      <c r="D499" s="20" t="b">
        <f>Metalmecánica!B13</f>
        <v>0</v>
      </c>
      <c r="E499" s="20" t="str">
        <f>Metalmecánica!C13</f>
        <v>Media</v>
      </c>
      <c r="F499" s="21" t="str">
        <f>Metalmecánica!D13</f>
        <v>2025-II( fin ciclo)
2025-I( fin ciclo)</v>
      </c>
      <c r="G499" s="20" t="str">
        <f>Metalmecánica!E13</f>
        <v>Entregar los resultados de los procesos de Evaluación al desempeño Docente y acciones realizadas.</v>
      </c>
      <c r="H499" s="20" t="str">
        <f>Metalmecánica!F13</f>
        <v>Director/a carrera
Docentes</v>
      </c>
      <c r="I499" s="20" t="str">
        <f>Metalmecánica!G13</f>
        <v>Generar una matriz para el registro de entrega de evaluaciones docentes</v>
      </c>
      <c r="J499" s="20" t="str">
        <f>Metalmecánica!H13</f>
        <v>Registro de entrega de evaluaciones a los docentes</v>
      </c>
      <c r="K499" s="62">
        <f>Metalmecánica!I13</f>
        <v>1</v>
      </c>
      <c r="L499" s="160">
        <f>Metalmecánica!J13</f>
        <v>0</v>
      </c>
      <c r="M499" s="20">
        <f>Metalmecánica!K13</f>
        <v>0</v>
      </c>
      <c r="N499" s="20">
        <f>Metalmecánica!L13</f>
        <v>0</v>
      </c>
      <c r="O499" s="20">
        <f>Metalmecánica!M13</f>
        <v>0</v>
      </c>
      <c r="P499" s="20">
        <v>2025</v>
      </c>
    </row>
    <row r="500" spans="1:16" ht="14.25" customHeight="1">
      <c r="A500" s="20" t="s">
        <v>491</v>
      </c>
      <c r="B500" s="20" t="str">
        <f t="shared" si="42"/>
        <v>ESTRATEGIA 1</v>
      </c>
      <c r="C500" s="20" t="str">
        <f>Metalmecánica!E14</f>
        <v>OBJETIVO OPERATIVO 2</v>
      </c>
      <c r="D500" s="20" t="b">
        <f>Metalmecánica!B15</f>
        <v>0</v>
      </c>
      <c r="E500" s="20" t="str">
        <f>Metalmecánica!C15</f>
        <v>Baja</v>
      </c>
      <c r="F500" s="21" t="str">
        <f>Metalmecánica!D15</f>
        <v>2025-I (inicio ciclo)
2025-II(inicio ciclo)</v>
      </c>
      <c r="G500" s="20" t="str">
        <f>Metalmecánica!E15</f>
        <v>Socializar con los docentes el uso adecuado de la plataforma Moodle.</v>
      </c>
      <c r="H500" s="20" t="str">
        <f>Metalmecánica!F15</f>
        <v>Responsable de Moodle de la carrera</v>
      </c>
      <c r="I500" s="20" t="str">
        <f>Metalmecánica!G15</f>
        <v>Realizar la socialización y generar un informe sobre el uso del Moodle</v>
      </c>
      <c r="J500" s="20" t="str">
        <f>Metalmecánica!H15</f>
        <v>Informe de socialización / inducción a los docentes</v>
      </c>
      <c r="K500" s="62">
        <f>Metalmecánica!I15</f>
        <v>1</v>
      </c>
      <c r="L500" s="160">
        <f>Metalmecánica!J15</f>
        <v>0</v>
      </c>
      <c r="M500" s="20">
        <f>Metalmecánica!K15</f>
        <v>0</v>
      </c>
      <c r="N500" s="20">
        <f>Metalmecánica!L15</f>
        <v>0</v>
      </c>
      <c r="O500" s="20">
        <f>Metalmecánica!M15</f>
        <v>0</v>
      </c>
      <c r="P500" s="20">
        <v>2025</v>
      </c>
    </row>
    <row r="501" spans="1:16" ht="14.25" customHeight="1">
      <c r="A501" s="20" t="s">
        <v>491</v>
      </c>
      <c r="B501" s="20" t="str">
        <f t="shared" si="42"/>
        <v>ESTRATEGIA 1</v>
      </c>
      <c r="C501" s="20" t="str">
        <f>$C$500</f>
        <v>OBJETIVO OPERATIVO 2</v>
      </c>
      <c r="D501" s="20" t="b">
        <f>Metalmecánica!B16</f>
        <v>0</v>
      </c>
      <c r="E501" s="20" t="str">
        <f>Metalmecánica!C16</f>
        <v>Media</v>
      </c>
      <c r="F501" s="21" t="str">
        <f>Metalmecánica!D16</f>
        <v>2025-II( fin ciclo)
2025-I( fin ciclo)</v>
      </c>
      <c r="G501" s="20" t="str">
        <f>Metalmecánica!E16</f>
        <v>Revisar el aporte de cada docente en la plataforma Moodle</v>
      </c>
      <c r="H501" s="20" t="str">
        <f>Metalmecánica!F16</f>
        <v>Responsable de Moodle de la carrera</v>
      </c>
      <c r="I501" s="20" t="str">
        <f>Metalmecánica!G16</f>
        <v>Controlar el uso adecuado de la plataforma y generar un informe.</v>
      </c>
      <c r="J501" s="20" t="str">
        <f>Metalmecánica!H16</f>
        <v>Informe de actividades en la plataforma Moodle.</v>
      </c>
      <c r="K501" s="62">
        <f>Metalmecánica!I16</f>
        <v>1</v>
      </c>
      <c r="L501" s="160">
        <f>Metalmecánica!J16</f>
        <v>0</v>
      </c>
      <c r="M501" s="20">
        <f>Metalmecánica!K16</f>
        <v>0</v>
      </c>
      <c r="N501" s="20">
        <f>Metalmecánica!L16</f>
        <v>0</v>
      </c>
      <c r="O501" s="20">
        <f>Metalmecánica!M16</f>
        <v>0</v>
      </c>
      <c r="P501" s="20">
        <v>2025</v>
      </c>
    </row>
    <row r="502" spans="1:16" ht="14.25" customHeight="1">
      <c r="A502" s="20" t="s">
        <v>491</v>
      </c>
      <c r="B502" s="20" t="str">
        <f t="shared" si="42"/>
        <v>ESTRATEGIA 1</v>
      </c>
      <c r="C502" s="20" t="str">
        <f>Metalmecánica!E17</f>
        <v>OBJETIVO OPERATIVO 3</v>
      </c>
      <c r="D502" s="20" t="b">
        <f>Metalmecánica!B18</f>
        <v>0</v>
      </c>
      <c r="E502" s="20" t="str">
        <f>Metalmecánica!C18</f>
        <v>Alta</v>
      </c>
      <c r="F502" s="21" t="str">
        <f>Metalmecánica!D18</f>
        <v>2025-I(inicio ciclo)
2025-II (inicio ciclo)</v>
      </c>
      <c r="G502" s="20" t="str">
        <f>Metalmecánica!E18</f>
        <v>Planificar y desarrollar una reunión del colectivo académico</v>
      </c>
      <c r="H502" s="20" t="str">
        <f>Metalmecánica!F18</f>
        <v>Director/a carrera</v>
      </c>
      <c r="I502" s="20" t="str">
        <f>Metalmecánica!G18</f>
        <v>Realizar y evidenciar los colectivos académicos</v>
      </c>
      <c r="J502" s="20" t="str">
        <f>Metalmecánica!H18</f>
        <v>Convocatoria al colectivo de académico</v>
      </c>
      <c r="K502" s="62">
        <f>Metalmecánica!I18</f>
        <v>1</v>
      </c>
      <c r="L502" s="160">
        <f>Metalmecánica!J18</f>
        <v>0</v>
      </c>
      <c r="M502" s="20">
        <f>Metalmecánica!K18</f>
        <v>0</v>
      </c>
      <c r="N502" s="20">
        <f>Metalmecánica!L18</f>
        <v>0</v>
      </c>
      <c r="O502" s="20">
        <f>Metalmecánica!M18</f>
        <v>0</v>
      </c>
      <c r="P502" s="20">
        <v>2025</v>
      </c>
    </row>
    <row r="503" spans="1:16" ht="14.25" customHeight="1">
      <c r="A503" s="20" t="s">
        <v>491</v>
      </c>
      <c r="B503" s="20" t="str">
        <f t="shared" si="42"/>
        <v>ESTRATEGIA 1</v>
      </c>
      <c r="C503" s="20" t="str">
        <f>$C$502</f>
        <v>OBJETIVO OPERATIVO 3</v>
      </c>
      <c r="D503" s="20" t="b">
        <f>Metalmecánica!B19</f>
        <v>0</v>
      </c>
      <c r="E503" s="20" t="str">
        <f>Metalmecánica!C19</f>
        <v>Media</v>
      </c>
      <c r="F503" s="21" t="str">
        <f>Metalmecánica!D19</f>
        <v>2025-II(fin de ciclo)
2025-I(fin de ciclo)</v>
      </c>
      <c r="G503" s="20" t="str">
        <f>Metalmecánica!E19</f>
        <v>Revisión y actualización de los PEAS</v>
      </c>
      <c r="H503" s="20" t="str">
        <f>Metalmecánica!F19</f>
        <v>Director/a carrera
Docentes</v>
      </c>
      <c r="I503" s="20" t="str">
        <f>Metalmecánica!G19</f>
        <v>Revisar si la bibliografía de la carrera es la adecuada en colectivos  según PEAS y Colectivos para el acervo bibliográfico</v>
      </c>
      <c r="J503" s="20" t="str">
        <f>Metalmecánica!H19</f>
        <v>Acervo bibliográfico de todas las asignaturas de la carrera, Informes de colectivos y PEAS revisados</v>
      </c>
      <c r="K503" s="62">
        <f>Metalmecánica!I19</f>
        <v>1</v>
      </c>
      <c r="L503" s="160">
        <f>Metalmecánica!J19</f>
        <v>0</v>
      </c>
      <c r="M503" s="20">
        <f>Metalmecánica!K19</f>
        <v>0</v>
      </c>
      <c r="N503" s="20">
        <f>Metalmecánica!L19</f>
        <v>0</v>
      </c>
      <c r="O503" s="20">
        <f>Metalmecánica!M19</f>
        <v>0</v>
      </c>
      <c r="P503" s="20">
        <v>2025</v>
      </c>
    </row>
    <row r="504" spans="1:16" ht="14.25" customHeight="1">
      <c r="A504" s="20" t="s">
        <v>491</v>
      </c>
      <c r="B504" s="20" t="str">
        <f t="shared" si="42"/>
        <v>ESTRATEGIA 1</v>
      </c>
      <c r="C504" s="20" t="str">
        <f>$C$502</f>
        <v>OBJETIVO OPERATIVO 3</v>
      </c>
      <c r="D504" s="20" t="b">
        <f>Metalmecánica!B20</f>
        <v>0</v>
      </c>
      <c r="E504" s="20" t="str">
        <f>Metalmecánica!C20</f>
        <v>Media</v>
      </c>
      <c r="F504" s="21" t="str">
        <f>Metalmecánica!D20</f>
        <v>2025-II(fin de ciclo)
2025-I(fin de ciclo)</v>
      </c>
      <c r="G504" s="20" t="str">
        <f>Metalmecánica!E20</f>
        <v>Actas de reunión por colectivo académico</v>
      </c>
      <c r="H504" s="20" t="str">
        <f>Metalmecánica!F20</f>
        <v>Director/a carrera
Docentes</v>
      </c>
      <c r="I504" s="20" t="str">
        <f>Metalmecánica!G20</f>
        <v>Evidenciar el trabajo de colectivos</v>
      </c>
      <c r="J504" s="20" t="str">
        <f>Metalmecánica!H20</f>
        <v>Actas de colectivos</v>
      </c>
      <c r="K504" s="62">
        <f>Metalmecánica!I20</f>
        <v>1</v>
      </c>
      <c r="L504" s="160">
        <f>Metalmecánica!J20</f>
        <v>0</v>
      </c>
      <c r="M504" s="20">
        <f>Metalmecánica!K20</f>
        <v>0</v>
      </c>
      <c r="N504" s="20">
        <f>Metalmecánica!L20</f>
        <v>0</v>
      </c>
      <c r="O504" s="20">
        <f>Metalmecánica!M20</f>
        <v>0</v>
      </c>
      <c r="P504" s="20">
        <v>2025</v>
      </c>
    </row>
    <row r="505" spans="1:16" ht="14.25" customHeight="1">
      <c r="A505" s="20" t="s">
        <v>491</v>
      </c>
      <c r="B505" s="20" t="str">
        <f t="shared" si="42"/>
        <v>ESTRATEGIA 1</v>
      </c>
      <c r="C505" s="20" t="str">
        <f>Metalmecánica!E21</f>
        <v>OBJETIVO OPERATIVO 4</v>
      </c>
      <c r="D505" s="20" t="b">
        <f>Metalmecánica!B22</f>
        <v>0</v>
      </c>
      <c r="E505" s="20" t="str">
        <f>Metalmecánica!C22</f>
        <v>Baja</v>
      </c>
      <c r="F505" s="21" t="str">
        <f>Metalmecánica!D22</f>
        <v>2025-I(inicio ciclo)
2025-II (inicio ciclo)</v>
      </c>
      <c r="G505" s="20" t="str">
        <f>Metalmecánica!E22</f>
        <v>Recopilar las fichas de afinidad de los docentes de acuerdo al nivel de estudio.</v>
      </c>
      <c r="H505" s="20" t="str">
        <f>Metalmecánica!F22</f>
        <v>Director/a carrera</v>
      </c>
      <c r="I505" s="20" t="str">
        <f>Metalmecánica!G22</f>
        <v>Mantener actualizadas las fichas de afinidad de los docentes de acuerdo a la pertinencia en la carrera</v>
      </c>
      <c r="J505" s="20" t="str">
        <f>Metalmecánica!H22</f>
        <v>Fichas de afinidad de los docentes.</v>
      </c>
      <c r="K505" s="62">
        <f>Metalmecánica!I22</f>
        <v>1</v>
      </c>
      <c r="L505" s="160">
        <f>Metalmecánica!J22</f>
        <v>0</v>
      </c>
      <c r="M505" s="20">
        <f>Metalmecánica!K22</f>
        <v>0</v>
      </c>
      <c r="N505" s="20">
        <f>Metalmecánica!L22</f>
        <v>0</v>
      </c>
      <c r="O505" s="20">
        <f>Metalmecánica!M22</f>
        <v>0</v>
      </c>
      <c r="P505" s="20">
        <v>2025</v>
      </c>
    </row>
    <row r="506" spans="1:16" ht="14.25" customHeight="1">
      <c r="A506" s="20" t="s">
        <v>491</v>
      </c>
      <c r="B506" s="20" t="str">
        <f t="shared" si="42"/>
        <v>ESTRATEGIA 1</v>
      </c>
      <c r="C506" s="20" t="str">
        <f>$C$505</f>
        <v>OBJETIVO OPERATIVO 4</v>
      </c>
      <c r="D506" s="20">
        <f>Metalmecánica!B23</f>
        <v>0</v>
      </c>
      <c r="E506" s="20" t="str">
        <f>Metalmecánica!C23</f>
        <v>Alta</v>
      </c>
      <c r="F506" s="21" t="str">
        <f>Metalmecánica!D23</f>
        <v>2025-I(inicio de ciclo)
2025-II(inicio de ciclo)</v>
      </c>
      <c r="G506" s="20" t="str">
        <f>Metalmecánica!E23</f>
        <v>Elaboración del distributivo docente de la carrera</v>
      </c>
      <c r="H506" s="20" t="str">
        <f>Metalmecánica!F23</f>
        <v>Director/a carrera</v>
      </c>
      <c r="I506" s="20" t="str">
        <f>Metalmecánica!G23</f>
        <v>Evidenciar la carga horaria y distributivos de los docentes</v>
      </c>
      <c r="J506" s="20" t="str">
        <f>Metalmecánica!H23</f>
        <v>Distributivo docente aprobado.</v>
      </c>
      <c r="K506" s="62">
        <f>Metalmecánica!I23</f>
        <v>1</v>
      </c>
      <c r="L506" s="160">
        <f>Metalmecánica!J23</f>
        <v>0</v>
      </c>
      <c r="M506" s="20">
        <f>Metalmecánica!K23</f>
        <v>0</v>
      </c>
      <c r="N506" s="20">
        <f>Metalmecánica!L23</f>
        <v>0</v>
      </c>
      <c r="O506" s="20">
        <f>Metalmecánica!M23</f>
        <v>0</v>
      </c>
      <c r="P506" s="20">
        <v>2025</v>
      </c>
    </row>
    <row r="507" spans="1:16" ht="14.25" customHeight="1">
      <c r="A507" s="20" t="s">
        <v>491</v>
      </c>
      <c r="B507" s="20" t="str">
        <f t="shared" si="42"/>
        <v>ESTRATEGIA 1</v>
      </c>
      <c r="C507" s="20" t="str">
        <f>$C$505</f>
        <v>OBJETIVO OPERATIVO 4</v>
      </c>
      <c r="D507" s="20" t="b">
        <f>Metalmecánica!B24</f>
        <v>0</v>
      </c>
      <c r="E507" s="20" t="str">
        <f>Metalmecánica!C24</f>
        <v>Media</v>
      </c>
      <c r="F507" s="21" t="str">
        <f>Metalmecánica!D24</f>
        <v>2025-I(inicio de ciclo)
2025-II(inicio de ciclo)</v>
      </c>
      <c r="G507" s="20" t="str">
        <f>Metalmecánica!E24</f>
        <v>Designar responsables de la administración de la plataforma, tutorías , prácticas, vinculación , etc.</v>
      </c>
      <c r="H507" s="20" t="str">
        <f>Metalmecánica!F24</f>
        <v>Director/a carrera</v>
      </c>
      <c r="I507" s="20" t="str">
        <f>Metalmecánica!G24</f>
        <v>Realizar las designaciones y evidenciar los responsables y tutores de la carrera</v>
      </c>
      <c r="J507" s="20" t="str">
        <f>Metalmecánica!H24</f>
        <v>Oficios de designaciones de responsables.</v>
      </c>
      <c r="K507" s="62">
        <f>Metalmecánica!I24</f>
        <v>1</v>
      </c>
      <c r="L507" s="160">
        <f>Metalmecánica!J24</f>
        <v>0</v>
      </c>
      <c r="M507" s="20">
        <f>Metalmecánica!K24</f>
        <v>0</v>
      </c>
      <c r="N507" s="20">
        <f>Metalmecánica!L24</f>
        <v>0</v>
      </c>
      <c r="O507" s="20">
        <f>Metalmecánica!M24</f>
        <v>0</v>
      </c>
      <c r="P507" s="20">
        <v>2025</v>
      </c>
    </row>
    <row r="508" spans="1:16" ht="14.25" customHeight="1">
      <c r="A508" s="20" t="s">
        <v>491</v>
      </c>
      <c r="B508" s="20" t="str">
        <f>Metalmecánica!B25</f>
        <v>ESTRATEGIA 2</v>
      </c>
      <c r="C508" s="20" t="str">
        <f>Metalmecánica!E25</f>
        <v>OBJETIVO OPERATIVO 1</v>
      </c>
      <c r="D508" s="20" t="b">
        <f>Metalmecánica!B26</f>
        <v>0</v>
      </c>
      <c r="E508" s="20" t="str">
        <f>Metalmecánica!C26</f>
        <v>Alta</v>
      </c>
      <c r="F508" s="21" t="str">
        <f>Metalmecánica!D26</f>
        <v>2025-I(Inicio de ciclo)
2025-II(Inicio de ciclo)</v>
      </c>
      <c r="G508" s="20" t="str">
        <f>Metalmecánica!E26</f>
        <v>Elaborar y presentar el calendario de actividades de la o las carreras, horarios de clases y laboratorios.</v>
      </c>
      <c r="H508" s="20" t="str">
        <f>Metalmecánica!F26</f>
        <v>Director/a carrera</v>
      </c>
      <c r="I508" s="20" t="str">
        <f>Metalmecánica!G26</f>
        <v>Realizar los documentos necesarios para el desarrollo de las actividades de cada periodo de la carrera</v>
      </c>
      <c r="J508" s="20" t="str">
        <f>Metalmecánica!H26</f>
        <v>Calendario y horarios aprobados</v>
      </c>
      <c r="K508" s="62">
        <f>Metalmecánica!I26</f>
        <v>1</v>
      </c>
      <c r="L508" s="160">
        <f>Metalmecánica!J26</f>
        <v>0</v>
      </c>
      <c r="M508" s="20">
        <f>Metalmecánica!K26</f>
        <v>0</v>
      </c>
      <c r="N508" s="20">
        <f>Metalmecánica!L26</f>
        <v>0</v>
      </c>
      <c r="O508" s="20">
        <f>Metalmecánica!M26</f>
        <v>0</v>
      </c>
      <c r="P508" s="20">
        <v>2025</v>
      </c>
    </row>
    <row r="509" spans="1:16" ht="14.25" customHeight="1">
      <c r="A509" s="20" t="s">
        <v>491</v>
      </c>
      <c r="B509" s="20" t="str">
        <f t="shared" ref="B509:B519" si="43">$B$508</f>
        <v>ESTRATEGIA 2</v>
      </c>
      <c r="C509" s="20" t="str">
        <f t="shared" ref="C509:C519" si="44">$C$508</f>
        <v>OBJETIVO OPERATIVO 1</v>
      </c>
      <c r="D509" s="20" t="b">
        <f>Metalmecánica!B27</f>
        <v>0</v>
      </c>
      <c r="E509" s="20" t="str">
        <f>Metalmecánica!C27</f>
        <v>Media</v>
      </c>
      <c r="F509" s="21" t="str">
        <f>Metalmecánica!D27</f>
        <v>2025-I(Todo el ciclo)
2025-II(Todo de ciclo)</v>
      </c>
      <c r="G509" s="20" t="str">
        <f>Metalmecánica!E27</f>
        <v>Requerimiento y aprobación de Documentos académicos. (Sílabos, guías practicas e informes de avance de Silabo)</v>
      </c>
      <c r="H509" s="20" t="str">
        <f>Metalmecánica!F27</f>
        <v>Director/a carrera - gestor académico</v>
      </c>
      <c r="I509" s="20" t="str">
        <f>Metalmecánica!G27</f>
        <v>Solicitud de documentos académicos por materias</v>
      </c>
      <c r="J509" s="20" t="str">
        <f>Metalmecánica!H27</f>
        <v>Documentación aprobada.</v>
      </c>
      <c r="K509" s="62">
        <f>Metalmecánica!I27</f>
        <v>1</v>
      </c>
      <c r="L509" s="160">
        <f>Metalmecánica!J27</f>
        <v>0</v>
      </c>
      <c r="M509" s="20">
        <f>Metalmecánica!K27</f>
        <v>0</v>
      </c>
      <c r="N509" s="20">
        <f>Metalmecánica!L27</f>
        <v>0</v>
      </c>
      <c r="O509" s="20">
        <f>Metalmecánica!M27</f>
        <v>0</v>
      </c>
      <c r="P509" s="20">
        <v>2025</v>
      </c>
    </row>
    <row r="510" spans="1:16" ht="14.25" customHeight="1">
      <c r="A510" s="20" t="s">
        <v>491</v>
      </c>
      <c r="B510" s="20" t="str">
        <f t="shared" si="43"/>
        <v>ESTRATEGIA 2</v>
      </c>
      <c r="C510" s="20" t="str">
        <f t="shared" si="44"/>
        <v>OBJETIVO OPERATIVO 1</v>
      </c>
      <c r="D510" s="20" t="b">
        <f>Metalmecánica!B28</f>
        <v>0</v>
      </c>
      <c r="E510" s="20" t="str">
        <f>Metalmecánica!C28</f>
        <v>Media</v>
      </c>
      <c r="F510" s="21" t="str">
        <f>Metalmecánica!D28</f>
        <v>2025-I(Todo el ciclo)
2025-II(Todo de ciclo)</v>
      </c>
      <c r="G510" s="20" t="str">
        <f>Metalmecánica!E28</f>
        <v>Seguimiento al cumplimiento de la documentación académica.</v>
      </c>
      <c r="H510" s="20" t="str">
        <f>Metalmecánica!F28</f>
        <v>Director/a carrera - gestor académico</v>
      </c>
      <c r="I510" s="20" t="str">
        <f>Metalmecánica!G28</f>
        <v>Revisión de documentos académicos por materias</v>
      </c>
      <c r="J510" s="20" t="str">
        <f>Metalmecánica!H28</f>
        <v>Informe de carrera sobre la documentación recibida.</v>
      </c>
      <c r="K510" s="62">
        <f>Metalmecánica!I28</f>
        <v>1</v>
      </c>
      <c r="L510" s="160">
        <f>Metalmecánica!J28</f>
        <v>0</v>
      </c>
      <c r="M510" s="20">
        <f>Metalmecánica!K28</f>
        <v>0</v>
      </c>
      <c r="N510" s="20">
        <f>Metalmecánica!L28</f>
        <v>0</v>
      </c>
      <c r="O510" s="20">
        <f>Metalmecánica!M28</f>
        <v>0</v>
      </c>
      <c r="P510" s="20">
        <v>2025</v>
      </c>
    </row>
    <row r="511" spans="1:16" ht="14.25" customHeight="1">
      <c r="A511" s="20" t="s">
        <v>491</v>
      </c>
      <c r="B511" s="20" t="str">
        <f t="shared" si="43"/>
        <v>ESTRATEGIA 2</v>
      </c>
      <c r="C511" s="20" t="str">
        <f t="shared" si="44"/>
        <v>OBJETIVO OPERATIVO 1</v>
      </c>
      <c r="D511" s="20" t="b">
        <f>Metalmecánica!B29</f>
        <v>0</v>
      </c>
      <c r="E511" s="20" t="str">
        <f>Metalmecánica!C29</f>
        <v>Baja</v>
      </c>
      <c r="F511" s="21" t="str">
        <f>Metalmecánica!D29</f>
        <v>2025-I(Todo el ciclo)
2025-II(Todo de ciclo)</v>
      </c>
      <c r="G511" s="20" t="str">
        <f>Metalmecánica!E29</f>
        <v>Reuniones de carrera  para socialización y toma de decisiones</v>
      </c>
      <c r="H511" s="20" t="str">
        <f>Metalmecánica!F29</f>
        <v>Director/a carrera - gestor académico</v>
      </c>
      <c r="I511" s="20" t="str">
        <f>Metalmecánica!G29</f>
        <v>Reuniones de carrera de acuerdo a requerimientos</v>
      </c>
      <c r="J511" s="20" t="str">
        <f>Metalmecánica!H29</f>
        <v>Convocatorias, actas e informes de reuniones de carrera.</v>
      </c>
      <c r="K511" s="62">
        <f>Metalmecánica!I29</f>
        <v>1</v>
      </c>
      <c r="L511" s="160">
        <f>Metalmecánica!J29</f>
        <v>0</v>
      </c>
      <c r="M511" s="20">
        <f>Metalmecánica!K29</f>
        <v>0</v>
      </c>
      <c r="N511" s="20">
        <f>Metalmecánica!L29</f>
        <v>0</v>
      </c>
      <c r="O511" s="20">
        <f>Metalmecánica!M29</f>
        <v>0</v>
      </c>
      <c r="P511" s="20">
        <v>2025</v>
      </c>
    </row>
    <row r="512" spans="1:16" ht="14.25" customHeight="1">
      <c r="A512" s="20" t="s">
        <v>491</v>
      </c>
      <c r="B512" s="20" t="str">
        <f t="shared" si="43"/>
        <v>ESTRATEGIA 2</v>
      </c>
      <c r="C512" s="20" t="str">
        <f t="shared" si="44"/>
        <v>OBJETIVO OPERATIVO 1</v>
      </c>
      <c r="D512" s="20" t="b">
        <f>Metalmecánica!B30</f>
        <v>0</v>
      </c>
      <c r="E512" s="20" t="str">
        <f>Metalmecánica!C30</f>
        <v>Baja</v>
      </c>
      <c r="F512" s="21">
        <f>Metalmecánica!D30</f>
        <v>45838</v>
      </c>
      <c r="G512" s="20" t="str">
        <f>Metalmecánica!E30</f>
        <v>Informe semestral POA 2025</v>
      </c>
      <c r="H512" s="20" t="str">
        <f>Metalmecánica!F30</f>
        <v>Director/a carrera - gestor académico</v>
      </c>
      <c r="I512" s="20" t="str">
        <f>Metalmecánica!G30</f>
        <v>Informar sobre el avance del  POA</v>
      </c>
      <c r="J512" s="20" t="str">
        <f>Metalmecánica!H30</f>
        <v>Informe semestral seguimiento POA 2025</v>
      </c>
      <c r="K512" s="62">
        <f>Metalmecánica!I30</f>
        <v>1</v>
      </c>
      <c r="L512" s="160">
        <f>Metalmecánica!J30</f>
        <v>0</v>
      </c>
      <c r="M512" s="20">
        <f>Metalmecánica!K30</f>
        <v>0</v>
      </c>
      <c r="N512" s="20">
        <f>Metalmecánica!L30</f>
        <v>0</v>
      </c>
      <c r="O512" s="20">
        <f>Metalmecánica!M30</f>
        <v>0</v>
      </c>
      <c r="P512" s="20">
        <v>2025</v>
      </c>
    </row>
    <row r="513" spans="1:16" ht="14.25" customHeight="1">
      <c r="A513" s="20" t="s">
        <v>491</v>
      </c>
      <c r="B513" s="20" t="str">
        <f t="shared" si="43"/>
        <v>ESTRATEGIA 2</v>
      </c>
      <c r="C513" s="20" t="str">
        <f t="shared" si="44"/>
        <v>OBJETIVO OPERATIVO 1</v>
      </c>
      <c r="D513" s="20" t="b">
        <f>Metalmecánica!B31</f>
        <v>0</v>
      </c>
      <c r="E513" s="20" t="str">
        <f>Metalmecánica!C31</f>
        <v>Baja</v>
      </c>
      <c r="F513" s="21">
        <f>Metalmecánica!D31</f>
        <v>45991</v>
      </c>
      <c r="G513" s="20" t="str">
        <f>Metalmecánica!E31</f>
        <v>Informe final POA 2025</v>
      </c>
      <c r="H513" s="20" t="str">
        <f>Metalmecánica!F31</f>
        <v>Director/a carrera - gestor académico</v>
      </c>
      <c r="I513" s="20" t="str">
        <f>Metalmecánica!G31</f>
        <v>Informar sobre el alcance final del  POA</v>
      </c>
      <c r="J513" s="20" t="str">
        <f>Metalmecánica!H31</f>
        <v>Informe final POA 2025</v>
      </c>
      <c r="K513" s="62">
        <f>Metalmecánica!I31</f>
        <v>1</v>
      </c>
      <c r="L513" s="160">
        <f>Metalmecánica!J31</f>
        <v>0</v>
      </c>
      <c r="M513" s="20">
        <f>Metalmecánica!K31</f>
        <v>0</v>
      </c>
      <c r="N513" s="20">
        <f>Metalmecánica!L31</f>
        <v>0</v>
      </c>
      <c r="O513" s="20" t="str">
        <f>Metalmecánica!M31</f>
        <v>Segundo semestre</v>
      </c>
      <c r="P513" s="20">
        <v>2025</v>
      </c>
    </row>
    <row r="514" spans="1:16" ht="14.25" customHeight="1">
      <c r="A514" s="20" t="s">
        <v>491</v>
      </c>
      <c r="B514" s="20" t="str">
        <f t="shared" si="43"/>
        <v>ESTRATEGIA 2</v>
      </c>
      <c r="C514" s="20" t="str">
        <f t="shared" si="44"/>
        <v>OBJETIVO OPERATIVO 1</v>
      </c>
      <c r="D514" s="20" t="b">
        <f>Metalmecánica!B32</f>
        <v>0</v>
      </c>
      <c r="E514" s="20" t="str">
        <f>Metalmecánica!C32</f>
        <v>Baja</v>
      </c>
      <c r="F514" s="21">
        <f>Metalmecánica!D32</f>
        <v>46011</v>
      </c>
      <c r="G514" s="20" t="str">
        <f>Metalmecánica!E32</f>
        <v>Elaborar la Planificación Operativa Anual 2025</v>
      </c>
      <c r="H514" s="20" t="str">
        <f>Metalmecánica!F32</f>
        <v>Director/a carrera - gestor académico</v>
      </c>
      <c r="I514" s="20" t="str">
        <f>Metalmecánica!G32</f>
        <v>Realizar la planificación para el 2026</v>
      </c>
      <c r="J514" s="20" t="str">
        <f>Metalmecánica!H32</f>
        <v>POA 2026</v>
      </c>
      <c r="K514" s="62">
        <f>Metalmecánica!I32</f>
        <v>1</v>
      </c>
      <c r="L514" s="160">
        <f>Metalmecánica!J32</f>
        <v>0</v>
      </c>
      <c r="M514" s="20">
        <f>Metalmecánica!K32</f>
        <v>0</v>
      </c>
      <c r="N514" s="20">
        <f>Metalmecánica!L32</f>
        <v>0</v>
      </c>
      <c r="O514" s="20" t="str">
        <f>Metalmecánica!M32</f>
        <v>Segundo Semestre</v>
      </c>
      <c r="P514" s="20">
        <v>2025</v>
      </c>
    </row>
    <row r="515" spans="1:16" ht="14.25" customHeight="1">
      <c r="A515" s="20" t="s">
        <v>491</v>
      </c>
      <c r="B515" s="20" t="str">
        <f t="shared" si="43"/>
        <v>ESTRATEGIA 2</v>
      </c>
      <c r="C515" s="20" t="str">
        <f t="shared" si="44"/>
        <v>OBJETIVO OPERATIVO 1</v>
      </c>
      <c r="D515" s="20" t="b">
        <f>Metalmecánica!B33</f>
        <v>0</v>
      </c>
      <c r="E515" s="20" t="str">
        <f>Metalmecánica!C33</f>
        <v>Media</v>
      </c>
      <c r="F515" s="21" t="str">
        <f>Metalmecánica!D33</f>
        <v>2025-I (inicio de ciclo)
2025-II (inicio de ciclo)</v>
      </c>
      <c r="G515" s="20" t="str">
        <f>Metalmecánica!E33</f>
        <v>Designación de tutores de curso</v>
      </c>
      <c r="H515" s="20" t="str">
        <f>Metalmecánica!F33</f>
        <v>Director/a carrera</v>
      </c>
      <c r="I515" s="20" t="str">
        <f>Metalmecánica!G33</f>
        <v>Realizar las designaciones y evidenciar los responsables y tutores de la carrera</v>
      </c>
      <c r="J515" s="20" t="str">
        <f>Metalmecánica!H33</f>
        <v>Documento de designación de tutores por parte del director de carrera</v>
      </c>
      <c r="K515" s="62">
        <f>Metalmecánica!I33</f>
        <v>1</v>
      </c>
      <c r="L515" s="160">
        <f>Metalmecánica!J33</f>
        <v>0</v>
      </c>
      <c r="M515" s="20">
        <f>Metalmecánica!K33</f>
        <v>0</v>
      </c>
      <c r="N515" s="20">
        <f>Metalmecánica!L33</f>
        <v>0</v>
      </c>
      <c r="O515" s="20">
        <f>Metalmecánica!M33</f>
        <v>0</v>
      </c>
      <c r="P515" s="20">
        <v>2025</v>
      </c>
    </row>
    <row r="516" spans="1:16" ht="14.25" customHeight="1">
      <c r="A516" s="20" t="s">
        <v>491</v>
      </c>
      <c r="B516" s="20" t="str">
        <f t="shared" si="43"/>
        <v>ESTRATEGIA 2</v>
      </c>
      <c r="C516" s="20" t="str">
        <f t="shared" si="44"/>
        <v>OBJETIVO OPERATIVO 1</v>
      </c>
      <c r="D516" s="20" t="b">
        <f>Metalmecánica!B34</f>
        <v>0</v>
      </c>
      <c r="E516" s="20" t="str">
        <f>Metalmecánica!C34</f>
        <v>Media</v>
      </c>
      <c r="F516" s="21" t="str">
        <f>Metalmecánica!D34</f>
        <v>2025-I(Todo el ciclo)
2025-II(Todo el ciclo)</v>
      </c>
      <c r="G516" s="20" t="str">
        <f>Metalmecánica!E34</f>
        <v>Ejecutar las actividades de la fase de SEGUIMIENTO del modelo metodológico del proceso de Seguimiento Curricular</v>
      </c>
      <c r="H516" s="20" t="str">
        <f>Metalmecánica!F34</f>
        <v>Director/a de carrera - Gestor/a académico
Tutores de curso</v>
      </c>
      <c r="I516" s="20" t="str">
        <f>Metalmecánica!G34</f>
        <v>Realizar el Seguimiento del modelo metodológico</v>
      </c>
      <c r="J516" s="20" t="str">
        <f>Metalmecánica!H34</f>
        <v>Fase SEGUIMIENTO:
INICIO: Socialización de Tutorías Académicas
DURANTE: Registro de Calificaciones del Primer Parcial
FINAL : Registro de Calificación Finales</v>
      </c>
      <c r="K516" s="62">
        <f>Metalmecánica!I34</f>
        <v>1</v>
      </c>
      <c r="L516" s="160">
        <f>Metalmecánica!J34</f>
        <v>0</v>
      </c>
      <c r="M516" s="20">
        <f>Metalmecánica!K34</f>
        <v>0</v>
      </c>
      <c r="N516" s="20">
        <f>Metalmecánica!L34</f>
        <v>0</v>
      </c>
      <c r="O516" s="20">
        <f>Metalmecánica!M34</f>
        <v>0</v>
      </c>
      <c r="P516" s="20">
        <v>2025</v>
      </c>
    </row>
    <row r="517" spans="1:16" ht="14.25" customHeight="1">
      <c r="A517" s="20" t="s">
        <v>491</v>
      </c>
      <c r="B517" s="20" t="str">
        <f t="shared" si="43"/>
        <v>ESTRATEGIA 2</v>
      </c>
      <c r="C517" s="20" t="str">
        <f t="shared" si="44"/>
        <v>OBJETIVO OPERATIVO 1</v>
      </c>
      <c r="D517" s="20" t="b">
        <f>Metalmecánica!B35</f>
        <v>0</v>
      </c>
      <c r="E517" s="20" t="str">
        <f>Metalmecánica!C35</f>
        <v>Media</v>
      </c>
      <c r="F517" s="21" t="str">
        <f>Metalmecánica!D35</f>
        <v>2025-I(Todo el ciclo)
2025-II(Todo el ciclo)</v>
      </c>
      <c r="G517" s="20" t="str">
        <f>Metalmecánica!E35</f>
        <v>Ejecutar las actividades de la fase de CONTROL del modelo metodológico del proceso de Seguimiento Curricular</v>
      </c>
      <c r="H517" s="20" t="str">
        <f>Metalmecánica!F35</f>
        <v>Director/a de carrera - Gestor/a académico
Tutores de curso</v>
      </c>
      <c r="I517" s="20" t="str">
        <f>Metalmecánica!G35</f>
        <v>Realizar el Control del modelo metodológico</v>
      </c>
      <c r="J517" s="20" t="str">
        <f>Metalmecánica!H35</f>
        <v>Fase CONTROL:
INICIO: Matriz consolidada de resultados de Pruebas de Diagnostico
DURANTE: Matriz consolidada de resultados de Calificaciones del Primer Parcial
FINAL : Matriz consolidada de resultados de Calificaciones Finales</v>
      </c>
      <c r="K517" s="62">
        <f>Metalmecánica!I35</f>
        <v>1</v>
      </c>
      <c r="L517" s="160">
        <f>Metalmecánica!J35</f>
        <v>0</v>
      </c>
      <c r="M517" s="20">
        <f>Metalmecánica!K35</f>
        <v>0</v>
      </c>
      <c r="N517" s="20">
        <f>Metalmecánica!L35</f>
        <v>0</v>
      </c>
      <c r="O517" s="20">
        <f>Metalmecánica!M35</f>
        <v>0</v>
      </c>
      <c r="P517" s="20">
        <v>2025</v>
      </c>
    </row>
    <row r="518" spans="1:16" ht="14.25" customHeight="1">
      <c r="A518" s="20" t="s">
        <v>491</v>
      </c>
      <c r="B518" s="20" t="str">
        <f t="shared" si="43"/>
        <v>ESTRATEGIA 2</v>
      </c>
      <c r="C518" s="20" t="str">
        <f t="shared" si="44"/>
        <v>OBJETIVO OPERATIVO 1</v>
      </c>
      <c r="D518" s="20" t="b">
        <f>Metalmecánica!B36</f>
        <v>0</v>
      </c>
      <c r="E518" s="20" t="str">
        <f>Metalmecánica!C36</f>
        <v>Media</v>
      </c>
      <c r="F518" s="21" t="str">
        <f>Metalmecánica!D36</f>
        <v>2025-I(Todo el ciclo)
2025-II(Todo el ciclo)</v>
      </c>
      <c r="G518" s="20" t="str">
        <f>Metalmecánica!E36</f>
        <v>Ejecutar las actividades de la fase de EVALUACIÓN del modelo metodológico del proceso de Seguimiento Curricular</v>
      </c>
      <c r="H518" s="20" t="str">
        <f>Metalmecánica!F36</f>
        <v>Director/a de carrera - Gestor/a académico
Tutores de curso</v>
      </c>
      <c r="I518" s="20" t="str">
        <f>Metalmecánica!G36</f>
        <v>Realizar la Evaluación del modelo metodológico</v>
      </c>
      <c r="J518" s="20" t="str">
        <f>Metalmecánica!H36</f>
        <v>Fase EVALAUCIÓN:
INICIO: Acta de reunión de inicio de ciclo estudiantes
DURANTE: Acta de reunión del Primer Parcial Docentes - Estudiantes
FINAL : Acta de reunión Final - Docentes - Estudiantes</v>
      </c>
      <c r="K518" s="62">
        <f>Metalmecánica!I36</f>
        <v>1</v>
      </c>
      <c r="L518" s="160">
        <f>Metalmecánica!J36</f>
        <v>0</v>
      </c>
      <c r="M518" s="20">
        <f>Metalmecánica!K36</f>
        <v>0</v>
      </c>
      <c r="N518" s="20">
        <f>Metalmecánica!L36</f>
        <v>0</v>
      </c>
      <c r="O518" s="20">
        <f>Metalmecánica!M36</f>
        <v>0</v>
      </c>
      <c r="P518" s="20">
        <v>2025</v>
      </c>
    </row>
    <row r="519" spans="1:16" ht="14.25" customHeight="1">
      <c r="A519" s="20" t="s">
        <v>491</v>
      </c>
      <c r="B519" s="20" t="str">
        <f t="shared" si="43"/>
        <v>ESTRATEGIA 2</v>
      </c>
      <c r="C519" s="20" t="str">
        <f t="shared" si="44"/>
        <v>OBJETIVO OPERATIVO 1</v>
      </c>
      <c r="D519" s="20" t="b">
        <f>Metalmecánica!B37</f>
        <v>0</v>
      </c>
      <c r="E519" s="20" t="str">
        <f>Metalmecánica!C37</f>
        <v>Baja</v>
      </c>
      <c r="F519" s="21" t="str">
        <f>Metalmecánica!D37</f>
        <v>2025-II(Fin de ciclo)
2025-I(Fin de Ciclo)</v>
      </c>
      <c r="G519" s="20" t="str">
        <f>Metalmecánica!E37</f>
        <v>Elaboración del Plan de Mejoramiento del proceso enseñanza aprendizaje</v>
      </c>
      <c r="H519" s="20" t="str">
        <f>Metalmecánica!F37</f>
        <v>Director/a carrera
Responsable de Seguimiento a graduados de la carrera</v>
      </c>
      <c r="I519" s="20" t="str">
        <f>Metalmecánica!G37</f>
        <v>De acuerdo a los resultados generar el Plan de Mejoramiento enseñanza aprendizaje</v>
      </c>
      <c r="J519" s="20" t="str">
        <f>Metalmecánica!H37</f>
        <v>Informe de plan de mejoramiento curricular</v>
      </c>
      <c r="K519" s="62">
        <f>Metalmecánica!I37</f>
        <v>1</v>
      </c>
      <c r="L519" s="160">
        <f>Metalmecánica!J37</f>
        <v>0</v>
      </c>
      <c r="M519" s="20">
        <f>Metalmecánica!K37</f>
        <v>0</v>
      </c>
      <c r="N519" s="20">
        <f>Metalmecánica!L37</f>
        <v>0</v>
      </c>
      <c r="O519" s="20">
        <f>Metalmecánica!M37</f>
        <v>0</v>
      </c>
      <c r="P519" s="20">
        <v>2025</v>
      </c>
    </row>
    <row r="520" spans="1:16" ht="14.25" customHeight="1">
      <c r="A520" s="20" t="s">
        <v>491</v>
      </c>
      <c r="B520" s="20" t="str">
        <f t="shared" ref="B520:B525" si="45">$B$519</f>
        <v>ESTRATEGIA 2</v>
      </c>
      <c r="C520" s="20" t="str">
        <f>Metalmecánica!E38</f>
        <v>OBJETIVO OPERATIVO 2</v>
      </c>
      <c r="D520" s="20" t="b">
        <f>Metalmecánica!B39</f>
        <v>1</v>
      </c>
      <c r="E520" s="20" t="str">
        <f>Metalmecánica!C39</f>
        <v>Media</v>
      </c>
      <c r="F520" s="21" t="str">
        <f>Metalmecánica!D39</f>
        <v>2025-II(Inicio de ciclo)</v>
      </c>
      <c r="G520" s="20" t="str">
        <f>Metalmecánica!E39</f>
        <v>Diseñar, gestionar e implementar cursos o programas de inducción y de actualización para docentes y estudiantes.</v>
      </c>
      <c r="H520" s="20" t="str">
        <f>Metalmecánica!F39</f>
        <v>Director/a carrera - gestor académico</v>
      </c>
      <c r="I520" s="20" t="str">
        <f>Metalmecánica!G39</f>
        <v>Generar la capacitación docente</v>
      </c>
      <c r="J520" s="20" t="str">
        <f>Metalmecánica!H39</f>
        <v>Informes de cursos y o programas.</v>
      </c>
      <c r="K520" s="62">
        <f>Metalmecánica!I39</f>
        <v>1</v>
      </c>
      <c r="L520" s="160">
        <f>Metalmecánica!J39</f>
        <v>0</v>
      </c>
      <c r="M520" s="20">
        <f>Metalmecánica!K39</f>
        <v>0</v>
      </c>
      <c r="N520" s="20">
        <f>Metalmecánica!L39</f>
        <v>0</v>
      </c>
      <c r="O520" s="20">
        <f>Metalmecánica!M39</f>
        <v>0</v>
      </c>
      <c r="P520" s="20">
        <v>2025</v>
      </c>
    </row>
    <row r="521" spans="1:16" ht="14.25" customHeight="1">
      <c r="A521" s="20" t="s">
        <v>491</v>
      </c>
      <c r="B521" s="20" t="str">
        <f t="shared" si="45"/>
        <v>ESTRATEGIA 2</v>
      </c>
      <c r="C521" s="20" t="str">
        <f>$C$520</f>
        <v>OBJETIVO OPERATIVO 2</v>
      </c>
      <c r="D521" s="20" t="b">
        <f>Metalmecánica!B40</f>
        <v>1</v>
      </c>
      <c r="E521" s="20" t="str">
        <f>Metalmecánica!C40</f>
        <v>Media</v>
      </c>
      <c r="F521" s="21" t="str">
        <f>Metalmecánica!D40</f>
        <v>2025-II(Inicio de ciclo)</v>
      </c>
      <c r="G521" s="20" t="str">
        <f>Metalmecánica!E40</f>
        <v>Capacitar a los estudiantes sobre la utilización de la Plataforma Moodle.</v>
      </c>
      <c r="H521" s="20" t="str">
        <f>Metalmecánica!F40</f>
        <v>responsable plataforma Moodle de la carrera</v>
      </c>
      <c r="I521" s="20" t="str">
        <f>Metalmecánica!G40</f>
        <v>Generar la capacitación estudiantil sobre el Moodle</v>
      </c>
      <c r="J521" s="20" t="str">
        <f>Metalmecánica!H40</f>
        <v>Informe sobre la capacitación</v>
      </c>
      <c r="K521" s="62">
        <f>Metalmecánica!I40</f>
        <v>1</v>
      </c>
      <c r="L521" s="160">
        <f>Metalmecánica!J40</f>
        <v>0</v>
      </c>
      <c r="M521" s="20">
        <f>Metalmecánica!K40</f>
        <v>0</v>
      </c>
      <c r="N521" s="20">
        <f>Metalmecánica!L40</f>
        <v>0</v>
      </c>
      <c r="O521" s="20">
        <f>Metalmecánica!M40</f>
        <v>0</v>
      </c>
      <c r="P521" s="20">
        <v>2025</v>
      </c>
    </row>
    <row r="522" spans="1:16" ht="14.25" customHeight="1">
      <c r="A522" s="20" t="s">
        <v>491</v>
      </c>
      <c r="B522" s="20" t="str">
        <f t="shared" si="45"/>
        <v>ESTRATEGIA 2</v>
      </c>
      <c r="C522" s="20" t="str">
        <f>$C$520</f>
        <v>OBJETIVO OPERATIVO 2</v>
      </c>
      <c r="D522" s="20" t="b">
        <f>Metalmecánica!B41</f>
        <v>1</v>
      </c>
      <c r="E522" s="20" t="str">
        <f>Metalmecánica!C41</f>
        <v>Baja</v>
      </c>
      <c r="F522" s="21" t="str">
        <f>Metalmecánica!D41</f>
        <v>2025-II(Fin de ciclo)</v>
      </c>
      <c r="G522" s="20" t="str">
        <f>Metalmecánica!E41</f>
        <v>Elaborar y ejecutar la planificación de oferta complementaria.</v>
      </c>
      <c r="H522" s="20" t="str">
        <f>Metalmecánica!F41</f>
        <v>Docentes de la carrera</v>
      </c>
      <c r="I522" s="20" t="str">
        <f>Metalmecánica!G41</f>
        <v>Analizar y realizar la oferta complementaria</v>
      </c>
      <c r="J522" s="20" t="str">
        <f>Metalmecánica!H41</f>
        <v>Informe de ejecución de la oferta complementaria.</v>
      </c>
      <c r="K522" s="62">
        <f>Metalmecánica!I41</f>
        <v>1</v>
      </c>
      <c r="L522" s="160">
        <f>Metalmecánica!J41</f>
        <v>0</v>
      </c>
      <c r="M522" s="20">
        <f>Metalmecánica!K41</f>
        <v>0</v>
      </c>
      <c r="N522" s="20">
        <f>Metalmecánica!L41</f>
        <v>0</v>
      </c>
      <c r="O522" s="20">
        <f>Metalmecánica!M41</f>
        <v>0</v>
      </c>
      <c r="P522" s="20">
        <v>2025</v>
      </c>
    </row>
    <row r="523" spans="1:16" ht="14.25" customHeight="1">
      <c r="A523" s="20" t="s">
        <v>491</v>
      </c>
      <c r="B523" s="20" t="str">
        <f t="shared" si="45"/>
        <v>ESTRATEGIA 2</v>
      </c>
      <c r="C523" s="20" t="str">
        <f>Metalmecánica!E42</f>
        <v>OBJETIVO OPERATIVO 3</v>
      </c>
      <c r="D523" s="20" t="b">
        <f>Metalmecánica!B43</f>
        <v>1</v>
      </c>
      <c r="E523" s="20" t="str">
        <f>Metalmecánica!C43</f>
        <v>Alta</v>
      </c>
      <c r="F523" s="21" t="str">
        <f>Metalmecánica!D43</f>
        <v>2025-I(Inicio de ciclo)</v>
      </c>
      <c r="G523" s="20" t="str">
        <f>Metalmecánica!E43</f>
        <v>Revisión de requisitos de la opción de titulación de los estudiantes.</v>
      </c>
      <c r="H523" s="20" t="str">
        <f>Metalmecánica!F43</f>
        <v>Director de carrera / Coordinador de carreras</v>
      </c>
      <c r="I523" s="20" t="str">
        <f>Metalmecánica!G43</f>
        <v>Realizar el análisis de la opción de titulación para los estudiantes</v>
      </c>
      <c r="J523" s="20" t="str">
        <f>Metalmecánica!H43</f>
        <v>Recopilar los documentos de los estudiantes de titulación.</v>
      </c>
      <c r="K523" s="62">
        <f>Metalmecánica!I43</f>
        <v>1</v>
      </c>
      <c r="L523" s="160">
        <f>Metalmecánica!J43</f>
        <v>0</v>
      </c>
      <c r="M523" s="20">
        <f>Metalmecánica!K43</f>
        <v>0</v>
      </c>
      <c r="N523" s="20">
        <f>Metalmecánica!L43</f>
        <v>0</v>
      </c>
      <c r="O523" s="20">
        <f>Metalmecánica!M43</f>
        <v>0</v>
      </c>
      <c r="P523" s="20">
        <v>2025</v>
      </c>
    </row>
    <row r="524" spans="1:16" ht="14.25" customHeight="1">
      <c r="A524" s="20" t="s">
        <v>491</v>
      </c>
      <c r="B524" s="20" t="str">
        <f t="shared" si="45"/>
        <v>ESTRATEGIA 2</v>
      </c>
      <c r="C524" s="20" t="str">
        <f>$C$523</f>
        <v>OBJETIVO OPERATIVO 3</v>
      </c>
      <c r="D524" s="20" t="b">
        <f>Metalmecánica!B44</f>
        <v>1</v>
      </c>
      <c r="E524" s="20" t="str">
        <f>Metalmecánica!C44</f>
        <v>Alta</v>
      </c>
      <c r="F524" s="21" t="str">
        <f>Metalmecánica!D44</f>
        <v>2025-I(Inicio de ciclo)</v>
      </c>
      <c r="G524" s="20" t="str">
        <f>Metalmecánica!E44</f>
        <v>Coordinación para aprobación de documentación de la integración curricular.</v>
      </c>
      <c r="H524" s="20" t="str">
        <f>Metalmecánica!F44</f>
        <v>Director de carrera / Coordinador de carreras</v>
      </c>
      <c r="I524" s="20" t="str">
        <f>Metalmecánica!G44</f>
        <v>Revisar y coordinar la aprobación de documentos para el ingreso a la unidad de integración curricular</v>
      </c>
      <c r="J524" s="20" t="str">
        <f>Metalmecánica!H44</f>
        <v>Aprobación de la documentación a titulación.</v>
      </c>
      <c r="K524" s="62">
        <f>Metalmecánica!I44</f>
        <v>1</v>
      </c>
      <c r="L524" s="160">
        <f>Metalmecánica!J44</f>
        <v>0</v>
      </c>
      <c r="M524" s="20">
        <f>Metalmecánica!K44</f>
        <v>0</v>
      </c>
      <c r="N524" s="20">
        <f>Metalmecánica!L44</f>
        <v>0</v>
      </c>
      <c r="O524" s="20">
        <f>Metalmecánica!M44</f>
        <v>0</v>
      </c>
      <c r="P524" s="20">
        <v>2025</v>
      </c>
    </row>
    <row r="525" spans="1:16" ht="14.25" customHeight="1">
      <c r="A525" s="20" t="s">
        <v>491</v>
      </c>
      <c r="B525" s="20" t="str">
        <f t="shared" si="45"/>
        <v>ESTRATEGIA 2</v>
      </c>
      <c r="C525" s="20" t="str">
        <f>$C$523</f>
        <v>OBJETIVO OPERATIVO 3</v>
      </c>
      <c r="D525" s="20" t="b">
        <f>Metalmecánica!B45</f>
        <v>1</v>
      </c>
      <c r="E525" s="20" t="str">
        <f>Metalmecánica!C45</f>
        <v>Alta</v>
      </c>
      <c r="F525" s="21" t="str">
        <f>Metalmecánica!D45</f>
        <v>2025-I(Fin de ciclo)</v>
      </c>
      <c r="G525" s="20" t="str">
        <f>Metalmecánica!E45</f>
        <v>Coordinación del evento de incorporación.</v>
      </c>
      <c r="H525" s="20" t="str">
        <f>Metalmecánica!F45</f>
        <v>Director de carrera / Coordinador de carreras</v>
      </c>
      <c r="I525" s="20" t="str">
        <f>Metalmecánica!G45</f>
        <v>Realizar la lista de estudiantes a titularse</v>
      </c>
      <c r="J525" s="20" t="str">
        <f>Metalmecánica!H45</f>
        <v>Matriz de datos de estudiantes a titularse</v>
      </c>
      <c r="K525" s="62">
        <f>Metalmecánica!I45</f>
        <v>1</v>
      </c>
      <c r="L525" s="160">
        <f>Metalmecánica!J45</f>
        <v>0</v>
      </c>
      <c r="M525" s="20">
        <f>Metalmecánica!K45</f>
        <v>0</v>
      </c>
      <c r="N525" s="20">
        <f>Metalmecánica!L45</f>
        <v>0</v>
      </c>
      <c r="O525" s="20">
        <f>Metalmecánica!M45</f>
        <v>0</v>
      </c>
      <c r="P525" s="20">
        <v>2025</v>
      </c>
    </row>
    <row r="526" spans="1:16" ht="14.25" customHeight="1">
      <c r="A526" s="20" t="s">
        <v>491</v>
      </c>
      <c r="B526" s="20" t="str">
        <f>Metalmecánica!B46</f>
        <v>ESTRATEGIA 3</v>
      </c>
      <c r="C526" s="20" t="str">
        <f>Metalmecánica!E46</f>
        <v>OBJETIVO OPERATIVO 1</v>
      </c>
      <c r="D526" s="20" t="b">
        <f>Metalmecánica!B47</f>
        <v>0</v>
      </c>
      <c r="E526" s="20" t="str">
        <f>Metalmecánica!C47</f>
        <v>Media</v>
      </c>
      <c r="F526" s="21" t="str">
        <f>Metalmecánica!D47</f>
        <v>2025-I(Todo el ciclo)
2025-II(Todo de ciclo)</v>
      </c>
      <c r="G526" s="20" t="str">
        <f>Metalmecánica!E47</f>
        <v>Colaborar con la comisión de Vinculación en la construcción de los documentos necesarios para la firma de convenios.</v>
      </c>
      <c r="H526" s="20" t="str">
        <f>Metalmecánica!F47</f>
        <v>Director/a carrera -responsable de practicas y vinculación</v>
      </c>
      <c r="I526" s="20" t="str">
        <f>Metalmecánica!G47</f>
        <v>Brindar apoyo y realizar ITV de vinculación de la carrera</v>
      </c>
      <c r="J526" s="20" t="str">
        <f>Metalmecánica!H47</f>
        <v>ITV  y los convenios.</v>
      </c>
      <c r="K526" s="62">
        <f>Metalmecánica!I47</f>
        <v>1</v>
      </c>
      <c r="L526" s="160">
        <f>Metalmecánica!J47</f>
        <v>0</v>
      </c>
      <c r="M526" s="20">
        <f>Metalmecánica!K47</f>
        <v>0</v>
      </c>
      <c r="N526" s="20">
        <f>Metalmecánica!L47</f>
        <v>0</v>
      </c>
      <c r="O526" s="20" t="str">
        <f>Metalmecánica!M47</f>
        <v>Segundo semestre</v>
      </c>
      <c r="P526" s="20">
        <v>2025</v>
      </c>
    </row>
    <row r="527" spans="1:16" ht="14.25" customHeight="1">
      <c r="A527" s="20" t="s">
        <v>491</v>
      </c>
      <c r="B527" s="20" t="str">
        <f>$B$526</f>
        <v>ESTRATEGIA 3</v>
      </c>
      <c r="C527" s="20" t="str">
        <f>$C$526</f>
        <v>OBJETIVO OPERATIVO 1</v>
      </c>
      <c r="D527" s="20" t="b">
        <f>Metalmecánica!B48</f>
        <v>0</v>
      </c>
      <c r="E527" s="20" t="str">
        <f>Metalmecánica!C48</f>
        <v>Baja</v>
      </c>
      <c r="F527" s="21" t="str">
        <f>Metalmecánica!D48</f>
        <v>2025-II( fin ciclo)
2025-I( fin ciclo)</v>
      </c>
      <c r="G527" s="20" t="str">
        <f>Metalmecánica!E48</f>
        <v>Divulgación de los resultados de los proyectos de vinculación, asistiendo a las ferias convocados por diferentes organizaciones.</v>
      </c>
      <c r="H527" s="20" t="str">
        <f>Metalmecánica!F48</f>
        <v>Director/a carrera -responsable de practicas y vinculación</v>
      </c>
      <c r="I527" s="20" t="str">
        <f>Metalmecánica!G48</f>
        <v>Realizar la divulgación de los resultados de los proyectos de vinculación</v>
      </c>
      <c r="J527" s="20" t="str">
        <f>Metalmecánica!H48</f>
        <v>Informe de la divulgación.</v>
      </c>
      <c r="K527" s="62">
        <f>Metalmecánica!I48</f>
        <v>1</v>
      </c>
      <c r="L527" s="160">
        <f>Metalmecánica!J48</f>
        <v>0</v>
      </c>
      <c r="M527" s="20">
        <f>Metalmecánica!K48</f>
        <v>0</v>
      </c>
      <c r="N527" s="20">
        <f>Metalmecánica!L48</f>
        <v>0</v>
      </c>
      <c r="O527" s="20">
        <f>Metalmecánica!M48</f>
        <v>0</v>
      </c>
      <c r="P527" s="20">
        <v>2025</v>
      </c>
    </row>
    <row r="528" spans="1:16" ht="14.25" customHeight="1">
      <c r="A528" s="20" t="s">
        <v>491</v>
      </c>
      <c r="B528" s="20" t="str">
        <f>$B$526</f>
        <v>ESTRATEGIA 3</v>
      </c>
      <c r="C528" s="20" t="str">
        <f>$C$526</f>
        <v>OBJETIVO OPERATIVO 1</v>
      </c>
      <c r="D528" s="20" t="b">
        <f>Metalmecánica!B49</f>
        <v>0</v>
      </c>
      <c r="E528" s="20" t="str">
        <f>Metalmecánica!C49</f>
        <v>Baja</v>
      </c>
      <c r="F528" s="21" t="str">
        <f>Metalmecánica!D49</f>
        <v>2025-I (inicio ciclo)
2025-II(inicio ciclo)</v>
      </c>
      <c r="G528" s="20" t="str">
        <f>Metalmecánica!E49</f>
        <v>Socializar con los estudiantes el reglamento de vinculación</v>
      </c>
      <c r="H528" s="20" t="str">
        <f>Metalmecánica!F49</f>
        <v>Director/a carrera -responsable de practicas y vinculación</v>
      </c>
      <c r="I528" s="20" t="str">
        <f>Metalmecánica!G49</f>
        <v>Realizar la socialización del reglamento de vinculación con los estudiantes</v>
      </c>
      <c r="J528" s="20" t="str">
        <f>Metalmecánica!H49</f>
        <v>Informe de socialización del reglamento.</v>
      </c>
      <c r="K528" s="62">
        <f>Metalmecánica!I49</f>
        <v>1</v>
      </c>
      <c r="L528" s="160">
        <f>Metalmecánica!J49</f>
        <v>0</v>
      </c>
      <c r="M528" s="20">
        <f>Metalmecánica!K49</f>
        <v>0</v>
      </c>
      <c r="N528" s="20">
        <f>Metalmecánica!L49</f>
        <v>0</v>
      </c>
      <c r="O528" s="20">
        <f>Metalmecánica!M49</f>
        <v>0</v>
      </c>
      <c r="P528" s="20">
        <v>2025</v>
      </c>
    </row>
    <row r="529" spans="1:16" ht="14.25" customHeight="1">
      <c r="A529" s="20" t="s">
        <v>491</v>
      </c>
      <c r="B529" s="20" t="str">
        <f>$B$526</f>
        <v>ESTRATEGIA 3</v>
      </c>
      <c r="C529" s="20" t="str">
        <f>Metalmecánica!E50</f>
        <v>OBJETIVO OPERATIVO 2</v>
      </c>
      <c r="D529" s="20" t="b">
        <f>Metalmecánica!B51</f>
        <v>1</v>
      </c>
      <c r="E529" s="20" t="str">
        <f>Metalmecánica!C51</f>
        <v>Alta</v>
      </c>
      <c r="F529" s="21" t="str">
        <f>Metalmecánica!D51</f>
        <v>2025-I (inicio ciclo)
2025-II(inicio ciclo)</v>
      </c>
      <c r="G529" s="20" t="str">
        <f>Metalmecánica!E51</f>
        <v>Conocer las líneas de investigación de la carrera</v>
      </c>
      <c r="H529" s="20" t="str">
        <f>Metalmecánica!F51</f>
        <v>Director de carrera</v>
      </c>
      <c r="I529" s="20" t="str">
        <f>Metalmecánica!G51</f>
        <v>Analizar y realizar las líneas de investigación de la carrera</v>
      </c>
      <c r="J529" s="20" t="str">
        <f>Metalmecánica!H51</f>
        <v>Informe de socialización de las líneas de investigación de la carrera</v>
      </c>
      <c r="K529" s="62">
        <f>Metalmecánica!I51</f>
        <v>1</v>
      </c>
      <c r="L529" s="160">
        <f>Metalmecánica!J51</f>
        <v>0</v>
      </c>
      <c r="M529" s="20">
        <f>Metalmecánica!K51</f>
        <v>0</v>
      </c>
      <c r="N529" s="20">
        <f>Metalmecánica!L51</f>
        <v>0</v>
      </c>
      <c r="O529" s="20">
        <f>Metalmecánica!M51</f>
        <v>0</v>
      </c>
      <c r="P529" s="20">
        <v>2025</v>
      </c>
    </row>
    <row r="530" spans="1:16" ht="14.25" customHeight="1">
      <c r="A530" s="20" t="s">
        <v>491</v>
      </c>
      <c r="B530" s="20" t="str">
        <f>$B$526</f>
        <v>ESTRATEGIA 3</v>
      </c>
      <c r="C530" s="20" t="str">
        <f>$C$529</f>
        <v>OBJETIVO OPERATIVO 2</v>
      </c>
      <c r="D530" s="20" t="b">
        <f>Metalmecánica!B52</f>
        <v>1</v>
      </c>
      <c r="E530" s="20" t="str">
        <f>Metalmecánica!C52</f>
        <v>Alta</v>
      </c>
      <c r="F530" s="21" t="str">
        <f>Metalmecánica!D52</f>
        <v>2025-I(Todo el ciclo)
2025-II(Todo de ciclo)</v>
      </c>
      <c r="G530" s="20" t="str">
        <f>Metalmecánica!E52</f>
        <v>Desarrollar investigación científica y tecnológica que contribuya con la construcción de soluciones para los problemas del país, en relación con los objetivos del régimen de desarrollo.</v>
      </c>
      <c r="H530" s="20" t="str">
        <f>Metalmecánica!F52</f>
        <v>Director de Carrera
Docentes de la carrera
Comisión de Investigación</v>
      </c>
      <c r="I530" s="20" t="str">
        <f>Metalmecánica!G52</f>
        <v>Incentivar y desarrollar la investigación de los docentes de la carrera en base a las líneas de la carrera</v>
      </c>
      <c r="J530" s="20" t="str">
        <f>Metalmecánica!H52</f>
        <v>Artículos publicados por los docentes de la carrera</v>
      </c>
      <c r="K530" s="62">
        <f>Metalmecánica!I52</f>
        <v>1</v>
      </c>
      <c r="L530" s="160">
        <f>Metalmecánica!J52</f>
        <v>0</v>
      </c>
      <c r="M530" s="20">
        <f>Metalmecánica!K52</f>
        <v>0</v>
      </c>
      <c r="N530" s="20">
        <f>Metalmecánica!L52</f>
        <v>0</v>
      </c>
      <c r="O530" s="20" t="str">
        <f>Metalmecánica!M52</f>
        <v>Segundo semestre</v>
      </c>
      <c r="P530" s="20">
        <v>2025</v>
      </c>
    </row>
    <row r="531" spans="1:16" ht="14.25" customHeight="1">
      <c r="A531" s="20" t="s">
        <v>491</v>
      </c>
      <c r="B531" s="20" t="str">
        <f>$B$526</f>
        <v>ESTRATEGIA 3</v>
      </c>
      <c r="C531" s="20" t="str">
        <f>Metalmecánica!E53</f>
        <v>OBJETIVO OPERATIVO 3</v>
      </c>
      <c r="D531" s="20" t="b">
        <f>Metalmecánica!B54</f>
        <v>1</v>
      </c>
      <c r="E531" s="20" t="str">
        <f>Metalmecánica!C54</f>
        <v>Baja</v>
      </c>
      <c r="F531" s="21" t="str">
        <f>Metalmecánica!D54</f>
        <v>2025-I(Todo el ciclo)
2025-II(Todo de ciclo)</v>
      </c>
      <c r="G531" s="20" t="str">
        <f>Metalmecánica!E54</f>
        <v>Ejecutar la formación en valores y desarrollo de habilidades blandas.</v>
      </c>
      <c r="H531" s="20" t="str">
        <f>Metalmecánica!F54</f>
        <v>Director de carrera
Gestor académico
Bienestar institucional</v>
      </c>
      <c r="I531" s="20" t="str">
        <f>Metalmecánica!G54</f>
        <v>Realizar un curso de habilidades blandas que se desarrollara para todo el instituto</v>
      </c>
      <c r="J531" s="20" t="str">
        <f>Metalmecánica!H54</f>
        <v>Informe de formación en valores y desarrollo de habilidades blandas</v>
      </c>
      <c r="K531" s="62">
        <f>Metalmecánica!I54</f>
        <v>0.5</v>
      </c>
      <c r="L531" s="160">
        <f>Metalmecánica!J54</f>
        <v>0</v>
      </c>
      <c r="M531" s="20">
        <f>Metalmecánica!K54</f>
        <v>0</v>
      </c>
      <c r="N531" s="20">
        <f>Metalmecánica!L54</f>
        <v>0</v>
      </c>
      <c r="O531" s="20">
        <f>Metalmecánica!M54</f>
        <v>0</v>
      </c>
      <c r="P531" s="20">
        <v>2025</v>
      </c>
    </row>
    <row r="532" spans="1:16" ht="14.25" customHeight="1">
      <c r="A532" s="20" t="s">
        <v>491</v>
      </c>
      <c r="B532" s="20" t="str">
        <f>Metalmecánica!B55</f>
        <v>ESTRATEGIA 4</v>
      </c>
      <c r="C532" s="20" t="str">
        <f>Metalmecánica!E55</f>
        <v>OBJETIVO OPERATIVO 1</v>
      </c>
      <c r="D532" s="20" t="b">
        <f>Metalmecánica!B56</f>
        <v>0</v>
      </c>
      <c r="E532" s="20" t="str">
        <f>Metalmecánica!C56</f>
        <v>Baja</v>
      </c>
      <c r="F532" s="21" t="str">
        <f>Metalmecánica!D56</f>
        <v>2025-I (fin ciclo)
2025-II(fin ciclo)</v>
      </c>
      <c r="G532" s="20" t="str">
        <f>Metalmecánica!E56</f>
        <v>Elaboración de matrices de la oferta académica institucional.</v>
      </c>
      <c r="H532" s="20" t="str">
        <f>Metalmecánica!F56</f>
        <v>Director de Carrera
Gestor Académico</v>
      </c>
      <c r="I532" s="20" t="str">
        <f>Metalmecánica!G56</f>
        <v>Generación de matrices de oferta académica para la captación de más estudiantes</v>
      </c>
      <c r="J532" s="20" t="str">
        <f>Metalmecánica!H56</f>
        <v>Matrices de la oferta académica.</v>
      </c>
      <c r="K532" s="62">
        <f>Metalmecánica!I56</f>
        <v>1</v>
      </c>
      <c r="L532" s="160">
        <f>Metalmecánica!J56</f>
        <v>0</v>
      </c>
      <c r="M532" s="20">
        <f>Metalmecánica!K56</f>
        <v>0</v>
      </c>
      <c r="N532" s="20">
        <f>Metalmecánica!L56</f>
        <v>0</v>
      </c>
      <c r="O532" s="20">
        <f>Metalmecánica!M56</f>
        <v>0</v>
      </c>
      <c r="P532" s="20">
        <v>2025</v>
      </c>
    </row>
    <row r="533" spans="1:16" ht="14.25" customHeight="1">
      <c r="A533" s="20" t="s">
        <v>491</v>
      </c>
      <c r="B533" s="20" t="str">
        <f>$B$532</f>
        <v>ESTRATEGIA 4</v>
      </c>
      <c r="C533" s="20" t="str">
        <f>$C$532</f>
        <v>OBJETIVO OPERATIVO 1</v>
      </c>
      <c r="D533" s="20" t="b">
        <f>Metalmecánica!B57</f>
        <v>0</v>
      </c>
      <c r="E533" s="20" t="str">
        <f>Metalmecánica!C57</f>
        <v>Baja</v>
      </c>
      <c r="F533" s="21" t="str">
        <f>Metalmecánica!D57</f>
        <v xml:space="preserve">
2025-II(fin ciclo)</v>
      </c>
      <c r="G533" s="20" t="str">
        <f>Metalmecánica!E57</f>
        <v>Planificación de demanda estudiantil.</v>
      </c>
      <c r="H533" s="20" t="str">
        <f>Metalmecánica!F57</f>
        <v>Director de Carrera
Gestor Académico</v>
      </c>
      <c r="I533" s="20" t="str">
        <f>Metalmecánica!G57</f>
        <v>Planificar la demanda institucional en base a históricos de periodos anteriores</v>
      </c>
      <c r="J533" s="20" t="str">
        <f>Metalmecánica!H57</f>
        <v>Listado certificado  de matriculados de la carrera</v>
      </c>
      <c r="K533" s="62">
        <f>Metalmecánica!I57</f>
        <v>1</v>
      </c>
      <c r="L533" s="160">
        <f>Metalmecánica!J57</f>
        <v>0</v>
      </c>
      <c r="M533" s="20">
        <f>Metalmecánica!K57</f>
        <v>0</v>
      </c>
      <c r="N533" s="20">
        <f>Metalmecánica!L57</f>
        <v>0</v>
      </c>
      <c r="O533" s="20">
        <f>Metalmecánica!M57</f>
        <v>0</v>
      </c>
      <c r="P533" s="20">
        <v>2025</v>
      </c>
    </row>
    <row r="534" spans="1:16" ht="14.25" customHeight="1">
      <c r="A534" s="20" t="s">
        <v>491</v>
      </c>
      <c r="B534" s="20" t="str">
        <f>$B$532</f>
        <v>ESTRATEGIA 4</v>
      </c>
      <c r="C534" s="20" t="str">
        <f>$C$532</f>
        <v>OBJETIVO OPERATIVO 1</v>
      </c>
      <c r="D534" s="20" t="b">
        <f>Metalmecánica!B58</f>
        <v>0</v>
      </c>
      <c r="E534" s="20" t="str">
        <f>Metalmecánica!C58</f>
        <v>Media</v>
      </c>
      <c r="F534" s="21" t="str">
        <f>Metalmecánica!D58</f>
        <v>2025-II(fin ciclo)</v>
      </c>
      <c r="G534" s="20" t="str">
        <f>Metalmecánica!E58</f>
        <v>Análisis de capacidad operativa de la institución.</v>
      </c>
      <c r="H534" s="20" t="str">
        <f>Metalmecánica!F58</f>
        <v>Director de Carrera
Gestor Académico</v>
      </c>
      <c r="I534" s="20" t="str">
        <f>Metalmecánica!G58</f>
        <v>Análisis de requerimientos sustantivo y no sustantivo de la carrera</v>
      </c>
      <c r="J534" s="20" t="str">
        <f>Metalmecánica!H58</f>
        <v>Resolución de aprobación por OCS de Estandarización de Carrera</v>
      </c>
      <c r="K534" s="62">
        <f>Metalmecánica!I58</f>
        <v>1</v>
      </c>
      <c r="L534" s="160">
        <f>Metalmecánica!J58</f>
        <v>0</v>
      </c>
      <c r="M534" s="20">
        <f>Metalmecánica!K58</f>
        <v>0</v>
      </c>
      <c r="N534" s="20">
        <f>Metalmecánica!L58</f>
        <v>0</v>
      </c>
      <c r="O534" s="20">
        <f>Metalmecánica!M58</f>
        <v>0</v>
      </c>
      <c r="P534" s="20">
        <v>2025</v>
      </c>
    </row>
    <row r="535" spans="1:16" ht="14.25" customHeight="1">
      <c r="A535" s="20" t="s">
        <v>492</v>
      </c>
      <c r="B535" s="20" t="str">
        <f>Madera!B10</f>
        <v>ESTRATEGIA 1</v>
      </c>
      <c r="C535" s="20" t="str">
        <f>Madera!E10</f>
        <v>OBJETIVO OPERATIVO 1</v>
      </c>
      <c r="D535" s="20" t="b">
        <f>Madera!B11</f>
        <v>0</v>
      </c>
      <c r="E535" s="20" t="str">
        <f>Madera!C11</f>
        <v>Media</v>
      </c>
      <c r="F535" s="21" t="str">
        <f>Madera!D11</f>
        <v>2025-I ( Inicio ciclo)</v>
      </c>
      <c r="G535" s="20" t="str">
        <f>Madera!E11</f>
        <v>Planificar y estructurar las capacitaciones en el área técnica y didáctica.</v>
      </c>
      <c r="H535" s="20" t="str">
        <f>Madera!F11</f>
        <v>Director/a carrera
Docentes</v>
      </c>
      <c r="I535" s="20" t="str">
        <f>Madera!G11</f>
        <v>Desarrollo del plan de capacitación docente</v>
      </c>
      <c r="J535" s="20" t="str">
        <f>Madera!H11</f>
        <v>Plan de capacitación docente.</v>
      </c>
      <c r="K535" s="62">
        <f>Madera!I11</f>
        <v>0</v>
      </c>
      <c r="L535" s="160">
        <f>Madera!J11</f>
        <v>0</v>
      </c>
      <c r="M535" s="20">
        <f>Madera!K11</f>
        <v>0</v>
      </c>
      <c r="N535" s="20">
        <f>Madera!L11</f>
        <v>0</v>
      </c>
      <c r="O535" s="20" t="str">
        <f>Madera!M11</f>
        <v>NO ENTREGADO</v>
      </c>
      <c r="P535" s="20">
        <v>2025</v>
      </c>
    </row>
    <row r="536" spans="1:16" ht="14.25" customHeight="1">
      <c r="A536" s="20" t="s">
        <v>492</v>
      </c>
      <c r="B536" s="20" t="str">
        <f t="shared" ref="B536:B545" si="46">$B$535</f>
        <v>ESTRATEGIA 1</v>
      </c>
      <c r="C536" s="20" t="str">
        <f>$C$535</f>
        <v>OBJETIVO OPERATIVO 1</v>
      </c>
      <c r="D536" s="20" t="b">
        <f>Madera!B12</f>
        <v>0</v>
      </c>
      <c r="E536" s="20" t="str">
        <f>Madera!C12</f>
        <v>Baja</v>
      </c>
      <c r="F536" s="21" t="str">
        <f>Madera!D12</f>
        <v>2025-II ( fin ciclo)</v>
      </c>
      <c r="G536" s="20" t="str">
        <f>Madera!E12</f>
        <v>Ejecutar las capacitaciones planificadas.</v>
      </c>
      <c r="H536" s="20" t="str">
        <f>Madera!F12</f>
        <v>Director/a carrera
Docentes</v>
      </c>
      <c r="I536" s="20" t="str">
        <f>Madera!G12</f>
        <v>informar sobre el plan de capacitación docente</v>
      </c>
      <c r="J536" s="20" t="str">
        <f>Madera!H12</f>
        <v>Informe de ejecución del plan de capacitación docente.</v>
      </c>
      <c r="K536" s="62">
        <f>Madera!I12</f>
        <v>0</v>
      </c>
      <c r="L536" s="160">
        <f>Madera!J12</f>
        <v>0</v>
      </c>
      <c r="M536" s="20">
        <f>Madera!K12</f>
        <v>0</v>
      </c>
      <c r="N536" s="20">
        <f>Madera!L12</f>
        <v>0</v>
      </c>
      <c r="O536" s="20" t="str">
        <f>Madera!M12</f>
        <v>NO ENTREGADO</v>
      </c>
      <c r="P536" s="20">
        <v>2025</v>
      </c>
    </row>
    <row r="537" spans="1:16" ht="14.25" customHeight="1">
      <c r="A537" s="20" t="s">
        <v>492</v>
      </c>
      <c r="B537" s="20" t="str">
        <f t="shared" si="46"/>
        <v>ESTRATEGIA 1</v>
      </c>
      <c r="C537" s="20" t="str">
        <f>$C$535</f>
        <v>OBJETIVO OPERATIVO 1</v>
      </c>
      <c r="D537" s="20" t="b">
        <f>Madera!B13</f>
        <v>0</v>
      </c>
      <c r="E537" s="20" t="str">
        <f>Madera!C13</f>
        <v>Media</v>
      </c>
      <c r="F537" s="21" t="str">
        <f>Madera!D13</f>
        <v>2024-II( fin ciclo)
2025-I( fin ciclo)</v>
      </c>
      <c r="G537" s="20" t="str">
        <f>Madera!E13</f>
        <v>Entregar los resultados de los procesos de Evaluación al desempeño Docente y acciones realizadas.</v>
      </c>
      <c r="H537" s="20" t="str">
        <f>Madera!F13</f>
        <v>Director/a carrera
Docentes</v>
      </c>
      <c r="I537" s="20" t="str">
        <f>Madera!G13</f>
        <v>Generar una matriz para el registro de entrega de evaluaciones docentes</v>
      </c>
      <c r="J537" s="20" t="str">
        <f>Madera!H13</f>
        <v>Registro de entrega de evaluaciones a los docentes</v>
      </c>
      <c r="K537" s="62">
        <f>Madera!I13</f>
        <v>0</v>
      </c>
      <c r="L537" s="160">
        <f>Madera!J13</f>
        <v>0</v>
      </c>
      <c r="M537" s="20">
        <f>Madera!K13</f>
        <v>0</v>
      </c>
      <c r="N537" s="20">
        <f>Madera!L13</f>
        <v>0</v>
      </c>
      <c r="O537" s="20" t="str">
        <f>Madera!M13</f>
        <v>NO ENTREGADO</v>
      </c>
      <c r="P537" s="20">
        <v>2025</v>
      </c>
    </row>
    <row r="538" spans="1:16" ht="14.25" customHeight="1">
      <c r="A538" s="20" t="s">
        <v>492</v>
      </c>
      <c r="B538" s="20" t="str">
        <f t="shared" si="46"/>
        <v>ESTRATEGIA 1</v>
      </c>
      <c r="C538" s="20" t="str">
        <f>Madera!E14</f>
        <v>OBJETIVO OPERATIVO 2</v>
      </c>
      <c r="D538" s="20" t="b">
        <f>Madera!B15</f>
        <v>0</v>
      </c>
      <c r="E538" s="20" t="str">
        <f>Madera!C15</f>
        <v>Baja</v>
      </c>
      <c r="F538" s="21" t="str">
        <f>Madera!D15</f>
        <v>2025-I (inicio ciclo)
2025-II(inicio ciclo)</v>
      </c>
      <c r="G538" s="20" t="str">
        <f>Madera!E15</f>
        <v>Socializar con los docentes el uso adecuado de la plataforma Moodle.</v>
      </c>
      <c r="H538" s="20" t="str">
        <f>Madera!F15</f>
        <v>Responsable de Moodle de la carrera</v>
      </c>
      <c r="I538" s="20" t="str">
        <f>Madera!G15</f>
        <v>Realizar la socialización y generar un informe sobre el uso del Moodle</v>
      </c>
      <c r="J538" s="20" t="str">
        <f>Madera!H15</f>
        <v>Informe de socialización / inducción a los docentes</v>
      </c>
      <c r="K538" s="62">
        <f>Madera!I15</f>
        <v>0</v>
      </c>
      <c r="L538" s="160">
        <f>Madera!J15</f>
        <v>0</v>
      </c>
      <c r="M538" s="20">
        <f>Madera!K15</f>
        <v>0</v>
      </c>
      <c r="N538" s="20">
        <f>Madera!L15</f>
        <v>0</v>
      </c>
      <c r="O538" s="20" t="str">
        <f>Madera!M15</f>
        <v>NO ENTREGADO</v>
      </c>
      <c r="P538" s="20">
        <v>2025</v>
      </c>
    </row>
    <row r="539" spans="1:16" ht="14.25" customHeight="1">
      <c r="A539" s="20" t="s">
        <v>492</v>
      </c>
      <c r="B539" s="20" t="str">
        <f t="shared" si="46"/>
        <v>ESTRATEGIA 1</v>
      </c>
      <c r="C539" s="20" t="str">
        <f>$C$538</f>
        <v>OBJETIVO OPERATIVO 2</v>
      </c>
      <c r="D539" s="20" t="b">
        <f>Madera!B16</f>
        <v>0</v>
      </c>
      <c r="E539" s="20" t="str">
        <f>Madera!C16</f>
        <v>Media</v>
      </c>
      <c r="F539" s="21" t="str">
        <f>Madera!D16</f>
        <v>2024-II( fin ciclo)
2025-I( fin ciclo)</v>
      </c>
      <c r="G539" s="20" t="str">
        <f>Madera!E16</f>
        <v>Revisar el aporte de cada docente en la plataforma Moodle</v>
      </c>
      <c r="H539" s="20" t="str">
        <f>Madera!F16</f>
        <v>Responsable de Moodle de la carrera</v>
      </c>
      <c r="I539" s="20" t="str">
        <f>Madera!G16</f>
        <v>Controlar el uso adecuado de la plataforma y generar un informe.</v>
      </c>
      <c r="J539" s="20" t="str">
        <f>Madera!H16</f>
        <v>Informe de actividades en la plataforma Moodle.</v>
      </c>
      <c r="K539" s="62">
        <f>Madera!I16</f>
        <v>0</v>
      </c>
      <c r="L539" s="160">
        <f>Madera!J16</f>
        <v>0</v>
      </c>
      <c r="M539" s="20">
        <f>Madera!K16</f>
        <v>0</v>
      </c>
      <c r="N539" s="20">
        <f>Madera!L16</f>
        <v>0</v>
      </c>
      <c r="O539" s="20" t="str">
        <f>Madera!M16</f>
        <v>NO ENTREGADO</v>
      </c>
      <c r="P539" s="20">
        <v>2025</v>
      </c>
    </row>
    <row r="540" spans="1:16" ht="14.25" customHeight="1">
      <c r="A540" s="20" t="s">
        <v>492</v>
      </c>
      <c r="B540" s="20" t="str">
        <f t="shared" si="46"/>
        <v>ESTRATEGIA 1</v>
      </c>
      <c r="C540" s="20" t="str">
        <f>Madera!E17</f>
        <v>OBJETIVO OPERATIVO 3</v>
      </c>
      <c r="D540" s="20" t="b">
        <f>Madera!B18</f>
        <v>0</v>
      </c>
      <c r="E540" s="20" t="str">
        <f>Madera!C18</f>
        <v>Alta</v>
      </c>
      <c r="F540" s="21" t="str">
        <f>Madera!D18</f>
        <v>2025-I(inicio ciclo)
2025-II (inicio ciclo)</v>
      </c>
      <c r="G540" s="20" t="str">
        <f>Madera!E18</f>
        <v>Planificar y desarrollar una reunión del colectivo académico</v>
      </c>
      <c r="H540" s="20" t="str">
        <f>Madera!F18</f>
        <v>Director/a carrera</v>
      </c>
      <c r="I540" s="20" t="str">
        <f>Madera!G18</f>
        <v>Realizar y evidenciar los colectivos académicos</v>
      </c>
      <c r="J540" s="20" t="str">
        <f>Madera!H18</f>
        <v>Convocatoria al colectivo de académico</v>
      </c>
      <c r="K540" s="62">
        <f>Madera!I18</f>
        <v>0</v>
      </c>
      <c r="L540" s="160">
        <f>Madera!J18</f>
        <v>0</v>
      </c>
      <c r="M540" s="20">
        <f>Madera!K18</f>
        <v>0</v>
      </c>
      <c r="N540" s="20">
        <f>Madera!L18</f>
        <v>0</v>
      </c>
      <c r="O540" s="20" t="str">
        <f>Madera!M18</f>
        <v>NO ENTREGADO</v>
      </c>
      <c r="P540" s="20">
        <v>2025</v>
      </c>
    </row>
    <row r="541" spans="1:16" ht="14.25" customHeight="1">
      <c r="A541" s="20" t="s">
        <v>492</v>
      </c>
      <c r="B541" s="20" t="str">
        <f t="shared" si="46"/>
        <v>ESTRATEGIA 1</v>
      </c>
      <c r="C541" s="20" t="str">
        <f>$C$540</f>
        <v>OBJETIVO OPERATIVO 3</v>
      </c>
      <c r="D541" s="20" t="b">
        <f>Madera!B19</f>
        <v>0</v>
      </c>
      <c r="E541" s="20" t="str">
        <f>Madera!C19</f>
        <v>Media</v>
      </c>
      <c r="F541" s="21" t="str">
        <f>Madera!D19</f>
        <v>2024-II(fin de ciclo)
2025-I(fin de ciclo)</v>
      </c>
      <c r="G541" s="20" t="str">
        <f>Madera!E19</f>
        <v>Revisión y actualización de los PEAS</v>
      </c>
      <c r="H541" s="20" t="str">
        <f>Madera!F19</f>
        <v>Director/a carrera
Docentes</v>
      </c>
      <c r="I541" s="20" t="str">
        <f>Madera!G19</f>
        <v>Revisar si la bibliografía de la carrera es la adecuada en colectivos  según PEAS y Colectivos para el acervo bibliográfico</v>
      </c>
      <c r="J541" s="20" t="str">
        <f>Madera!H19</f>
        <v>Acervo bibliográfico de todas las asignaturas de la carrera, Informes de colectivos y PEAS revisados</v>
      </c>
      <c r="K541" s="62">
        <f>Madera!I19</f>
        <v>0</v>
      </c>
      <c r="L541" s="160">
        <f>Madera!J19</f>
        <v>0</v>
      </c>
      <c r="M541" s="20">
        <f>Madera!K19</f>
        <v>0</v>
      </c>
      <c r="N541" s="20">
        <f>Madera!L19</f>
        <v>0</v>
      </c>
      <c r="O541" s="20" t="str">
        <f>Madera!M19</f>
        <v>NO ENTREGADO</v>
      </c>
      <c r="P541" s="20">
        <v>2025</v>
      </c>
    </row>
    <row r="542" spans="1:16" ht="14.25" customHeight="1">
      <c r="A542" s="20" t="s">
        <v>492</v>
      </c>
      <c r="B542" s="20" t="str">
        <f t="shared" si="46"/>
        <v>ESTRATEGIA 1</v>
      </c>
      <c r="C542" s="20" t="str">
        <f>$C$540</f>
        <v>OBJETIVO OPERATIVO 3</v>
      </c>
      <c r="D542" s="20" t="b">
        <f>Madera!B20</f>
        <v>0</v>
      </c>
      <c r="E542" s="20" t="str">
        <f>Madera!C20</f>
        <v>Media</v>
      </c>
      <c r="F542" s="21" t="str">
        <f>Madera!D20</f>
        <v>2024-II(fin de ciclo)
2025-I(fin de ciclo)</v>
      </c>
      <c r="G542" s="20" t="str">
        <f>Madera!E20</f>
        <v>Actas de reunión por colectivo académico</v>
      </c>
      <c r="H542" s="20" t="str">
        <f>Madera!F20</f>
        <v>Director/a carrera
Docentes</v>
      </c>
      <c r="I542" s="20" t="str">
        <f>Madera!G20</f>
        <v>Evidenciar el trabajo de colectivos</v>
      </c>
      <c r="J542" s="20" t="str">
        <f>Madera!H20</f>
        <v>Actas de colectivos</v>
      </c>
      <c r="K542" s="62">
        <f>Madera!I20</f>
        <v>0</v>
      </c>
      <c r="L542" s="160">
        <f>Madera!J20</f>
        <v>0</v>
      </c>
      <c r="M542" s="20">
        <f>Madera!K20</f>
        <v>0</v>
      </c>
      <c r="N542" s="20">
        <f>Madera!L20</f>
        <v>0</v>
      </c>
      <c r="O542" s="20" t="str">
        <f>Madera!M20</f>
        <v>NO ENTREGADO</v>
      </c>
      <c r="P542" s="20">
        <v>2025</v>
      </c>
    </row>
    <row r="543" spans="1:16" ht="14.25" customHeight="1">
      <c r="A543" s="20" t="s">
        <v>492</v>
      </c>
      <c r="B543" s="20" t="str">
        <f t="shared" si="46"/>
        <v>ESTRATEGIA 1</v>
      </c>
      <c r="C543" s="20" t="str">
        <f>Madera!E21</f>
        <v>OBJETIVO OPERATIVO 4</v>
      </c>
      <c r="D543" s="20" t="b">
        <f>Madera!B22</f>
        <v>0</v>
      </c>
      <c r="E543" s="20" t="str">
        <f>Madera!C22</f>
        <v>Baja</v>
      </c>
      <c r="F543" s="21" t="str">
        <f>Madera!D22</f>
        <v>2025-I(inicio ciclo)
2025-II (inicio ciclo)</v>
      </c>
      <c r="G543" s="20" t="str">
        <f>Madera!E22</f>
        <v>Recopilar las fichas de afinidad de los docentes de acuerdo al nivel de estudio.</v>
      </c>
      <c r="H543" s="20" t="str">
        <f>Madera!F22</f>
        <v>Director/a carrera</v>
      </c>
      <c r="I543" s="20" t="str">
        <f>Madera!G22</f>
        <v>Mantener actualizadas las fichas de afinidad de los docentes de acuerdo a la pertinencia en la carrera</v>
      </c>
      <c r="J543" s="20" t="str">
        <f>Madera!H22</f>
        <v>Fichas de afinidad de los docentes.</v>
      </c>
      <c r="K543" s="62">
        <f>Madera!I22</f>
        <v>0</v>
      </c>
      <c r="L543" s="160">
        <f>Madera!J22</f>
        <v>0</v>
      </c>
      <c r="M543" s="20">
        <f>Madera!K22</f>
        <v>0</v>
      </c>
      <c r="N543" s="20">
        <f>Madera!L22</f>
        <v>0</v>
      </c>
      <c r="O543" s="20" t="str">
        <f>Madera!M22</f>
        <v>NO ENTREGADO</v>
      </c>
      <c r="P543" s="20">
        <v>2025</v>
      </c>
    </row>
    <row r="544" spans="1:16" ht="14.25" customHeight="1">
      <c r="A544" s="20" t="s">
        <v>492</v>
      </c>
      <c r="B544" s="20" t="str">
        <f t="shared" si="46"/>
        <v>ESTRATEGIA 1</v>
      </c>
      <c r="C544" s="20" t="str">
        <f>$C$543</f>
        <v>OBJETIVO OPERATIVO 4</v>
      </c>
      <c r="D544" s="20">
        <f>Madera!B23</f>
        <v>0</v>
      </c>
      <c r="E544" s="20" t="str">
        <f>Madera!C23</f>
        <v>Alta</v>
      </c>
      <c r="F544" s="21" t="str">
        <f>Madera!D23</f>
        <v>2025-I(inicio de ciclo)
2025-II(inicio de ciclo)</v>
      </c>
      <c r="G544" s="20" t="str">
        <f>Madera!E23</f>
        <v>Elaboración del distributivo docente de la carrera</v>
      </c>
      <c r="H544" s="20" t="str">
        <f>Madera!F23</f>
        <v>Director/a carrera</v>
      </c>
      <c r="I544" s="20" t="str">
        <f>Madera!G23</f>
        <v>Evidenciar la carga horaria y distributivos de los docentes</v>
      </c>
      <c r="J544" s="20" t="str">
        <f>Madera!H23</f>
        <v>Distributivo docente aprobado.</v>
      </c>
      <c r="K544" s="62">
        <f>Madera!I23</f>
        <v>0</v>
      </c>
      <c r="L544" s="160">
        <f>Madera!J23</f>
        <v>0</v>
      </c>
      <c r="M544" s="20">
        <f>Madera!K23</f>
        <v>0</v>
      </c>
      <c r="N544" s="20">
        <f>Madera!L23</f>
        <v>0</v>
      </c>
      <c r="O544" s="20" t="str">
        <f>Madera!M23</f>
        <v>NO ENTREGADO</v>
      </c>
      <c r="P544" s="20">
        <v>2025</v>
      </c>
    </row>
    <row r="545" spans="1:16" ht="14.25" customHeight="1">
      <c r="A545" s="20" t="s">
        <v>492</v>
      </c>
      <c r="B545" s="20" t="str">
        <f t="shared" si="46"/>
        <v>ESTRATEGIA 1</v>
      </c>
      <c r="C545" s="20" t="str">
        <f>$C$543</f>
        <v>OBJETIVO OPERATIVO 4</v>
      </c>
      <c r="D545" s="20" t="b">
        <f>Madera!B24</f>
        <v>0</v>
      </c>
      <c r="E545" s="20" t="str">
        <f>Madera!C24</f>
        <v>Media</v>
      </c>
      <c r="F545" s="21" t="str">
        <f>Madera!D24</f>
        <v>2025-I(inicio de ciclo)
2025-II(inicio de ciclo)</v>
      </c>
      <c r="G545" s="20" t="str">
        <f>Madera!E24</f>
        <v>Designar responsables de la administración de la plataforma, tutorías , prácticas, vinculación , etc.</v>
      </c>
      <c r="H545" s="20" t="str">
        <f>Madera!F24</f>
        <v>Director/a carrera</v>
      </c>
      <c r="I545" s="20" t="str">
        <f>Madera!G24</f>
        <v>Realizar las designaciones y evidenciar los responsables y tutores de la carrera</v>
      </c>
      <c r="J545" s="20" t="str">
        <f>Madera!H24</f>
        <v>Oficios de designaciones de responsables.</v>
      </c>
      <c r="K545" s="62">
        <f>Madera!I24</f>
        <v>0</v>
      </c>
      <c r="L545" s="160">
        <f>Madera!J24</f>
        <v>0</v>
      </c>
      <c r="M545" s="20">
        <f>Madera!K24</f>
        <v>0</v>
      </c>
      <c r="N545" s="20">
        <f>Madera!L24</f>
        <v>0</v>
      </c>
      <c r="O545" s="20" t="str">
        <f>Madera!M24</f>
        <v>NO ENTREGADO</v>
      </c>
      <c r="P545" s="20">
        <v>2025</v>
      </c>
    </row>
    <row r="546" spans="1:16" ht="14.25" customHeight="1">
      <c r="A546" s="20" t="s">
        <v>492</v>
      </c>
      <c r="B546" s="20" t="str">
        <f>Madera!B25</f>
        <v>ESTRATEGIA 2</v>
      </c>
      <c r="C546" s="20" t="str">
        <f>Madera!E25</f>
        <v>OBJETIVO OPERATIVO 1</v>
      </c>
      <c r="D546" s="20" t="b">
        <f>Madera!B26</f>
        <v>0</v>
      </c>
      <c r="E546" s="20" t="str">
        <f>Madera!C26</f>
        <v>Alta</v>
      </c>
      <c r="F546" s="21" t="str">
        <f>Madera!D26</f>
        <v>2025-I(Inicio de ciclo)
2025-II(Inicio de ciclo)</v>
      </c>
      <c r="G546" s="20" t="str">
        <f>Madera!E26</f>
        <v>Elaborar y presentar el calendario de actividades de la o las carreras, horarios de clases y laboratorios.</v>
      </c>
      <c r="H546" s="20" t="str">
        <f>Madera!F26</f>
        <v>Director/a carrera</v>
      </c>
      <c r="I546" s="20" t="str">
        <f>Madera!G26</f>
        <v>Realizar los documentos necesarios para el desarrollo de las actividades de cada periodo de la carrera</v>
      </c>
      <c r="J546" s="20" t="str">
        <f>Madera!H26</f>
        <v>Calendario y horarios aprobados</v>
      </c>
      <c r="K546" s="62">
        <f>Madera!I26</f>
        <v>0</v>
      </c>
      <c r="L546" s="160">
        <f>Madera!J26</f>
        <v>0</v>
      </c>
      <c r="M546" s="20">
        <f>Madera!K26</f>
        <v>0</v>
      </c>
      <c r="N546" s="20">
        <f>Madera!L26</f>
        <v>0</v>
      </c>
      <c r="O546" s="20" t="str">
        <f>Madera!M26</f>
        <v>NO ENTREGADO</v>
      </c>
      <c r="P546" s="20">
        <v>2025</v>
      </c>
    </row>
    <row r="547" spans="1:16" ht="14.25" customHeight="1">
      <c r="A547" s="20" t="s">
        <v>492</v>
      </c>
      <c r="B547" s="20" t="str">
        <f t="shared" ref="B547:B557" si="47">$B$546</f>
        <v>ESTRATEGIA 2</v>
      </c>
      <c r="C547" s="20" t="str">
        <f t="shared" ref="C547:C557" si="48">$C$546</f>
        <v>OBJETIVO OPERATIVO 1</v>
      </c>
      <c r="D547" s="20" t="b">
        <f>Madera!B27</f>
        <v>0</v>
      </c>
      <c r="E547" s="20" t="str">
        <f>Madera!C27</f>
        <v>Media</v>
      </c>
      <c r="F547" s="21" t="str">
        <f>Madera!D27</f>
        <v>2025-I(Todo el ciclo)
2025-II(Todo de ciclo)</v>
      </c>
      <c r="G547" s="20" t="str">
        <f>Madera!E27</f>
        <v>Requerimiento y aprobación de Documentos académicos. (Sílabos, guías practicas e informes de avance de Silabo)</v>
      </c>
      <c r="H547" s="20" t="str">
        <f>Madera!F27</f>
        <v>Director/a carrera - gestor académico</v>
      </c>
      <c r="I547" s="20" t="str">
        <f>Madera!G27</f>
        <v>Solicitud de documentos académicos por materias</v>
      </c>
      <c r="J547" s="20" t="str">
        <f>Madera!H27</f>
        <v>Documentación aprobada.</v>
      </c>
      <c r="K547" s="62">
        <f>Madera!I27</f>
        <v>0</v>
      </c>
      <c r="L547" s="160">
        <f>Madera!J27</f>
        <v>0</v>
      </c>
      <c r="M547" s="20">
        <f>Madera!K27</f>
        <v>0</v>
      </c>
      <c r="N547" s="20">
        <f>Madera!L27</f>
        <v>0</v>
      </c>
      <c r="O547" s="20" t="str">
        <f>Madera!M27</f>
        <v>NO ENTREGADO</v>
      </c>
      <c r="P547" s="20">
        <v>2025</v>
      </c>
    </row>
    <row r="548" spans="1:16" ht="14.25" customHeight="1">
      <c r="A548" s="20" t="s">
        <v>492</v>
      </c>
      <c r="B548" s="20" t="str">
        <f t="shared" si="47"/>
        <v>ESTRATEGIA 2</v>
      </c>
      <c r="C548" s="20" t="str">
        <f t="shared" si="48"/>
        <v>OBJETIVO OPERATIVO 1</v>
      </c>
      <c r="D548" s="20" t="b">
        <f>Madera!B28</f>
        <v>0</v>
      </c>
      <c r="E548" s="20" t="str">
        <f>Madera!C28</f>
        <v>Media</v>
      </c>
      <c r="F548" s="21" t="str">
        <f>Madera!D28</f>
        <v>2025-I(Todo el ciclo)
2025-II(Todo de ciclo)</v>
      </c>
      <c r="G548" s="20" t="str">
        <f>Madera!E28</f>
        <v>Seguimiento al cumplimiento de la documentación académica.</v>
      </c>
      <c r="H548" s="20" t="str">
        <f>Madera!F28</f>
        <v>Director/a carrera - gestor académico</v>
      </c>
      <c r="I548" s="20" t="str">
        <f>Madera!G28</f>
        <v>Revisión de documentos académicos por materias</v>
      </c>
      <c r="J548" s="20" t="str">
        <f>Madera!H28</f>
        <v>Informe de carrera sobre la documentación recibida.</v>
      </c>
      <c r="K548" s="62">
        <f>Madera!I28</f>
        <v>0</v>
      </c>
      <c r="L548" s="160">
        <f>Madera!J28</f>
        <v>0</v>
      </c>
      <c r="M548" s="20">
        <f>Madera!K28</f>
        <v>0</v>
      </c>
      <c r="N548" s="20">
        <f>Madera!L28</f>
        <v>0</v>
      </c>
      <c r="O548" s="20" t="str">
        <f>Madera!M28</f>
        <v>NO ENTREGADO</v>
      </c>
      <c r="P548" s="20">
        <v>2025</v>
      </c>
    </row>
    <row r="549" spans="1:16" ht="14.25" customHeight="1">
      <c r="A549" s="20" t="s">
        <v>492</v>
      </c>
      <c r="B549" s="20" t="str">
        <f t="shared" si="47"/>
        <v>ESTRATEGIA 2</v>
      </c>
      <c r="C549" s="20" t="str">
        <f t="shared" si="48"/>
        <v>OBJETIVO OPERATIVO 1</v>
      </c>
      <c r="D549" s="20" t="b">
        <f>Madera!B29</f>
        <v>0</v>
      </c>
      <c r="E549" s="20" t="str">
        <f>Madera!C29</f>
        <v>Baja</v>
      </c>
      <c r="F549" s="21" t="str">
        <f>Madera!D29</f>
        <v>2025-I(Todo el ciclo)
2025-II(Todo de ciclo)</v>
      </c>
      <c r="G549" s="20" t="str">
        <f>Madera!E29</f>
        <v>Reuniones de carrera  para socialización y toma de decisiones</v>
      </c>
      <c r="H549" s="20" t="str">
        <f>Madera!F29</f>
        <v>Director/a carrera - gestor académico</v>
      </c>
      <c r="I549" s="20" t="str">
        <f>Madera!G29</f>
        <v>Reuniones de carrera de acuerdo a requerimientos</v>
      </c>
      <c r="J549" s="20" t="str">
        <f>Madera!H29</f>
        <v>Convocatorias, actas e informes de reuniones de carrera.</v>
      </c>
      <c r="K549" s="62">
        <f>Madera!I29</f>
        <v>0</v>
      </c>
      <c r="L549" s="160">
        <f>Madera!J29</f>
        <v>0</v>
      </c>
      <c r="M549" s="20">
        <f>Madera!K29</f>
        <v>0</v>
      </c>
      <c r="N549" s="20">
        <f>Madera!L29</f>
        <v>0</v>
      </c>
      <c r="O549" s="20" t="str">
        <f>Madera!M29</f>
        <v>NO ENTREGADO</v>
      </c>
      <c r="P549" s="20">
        <v>2025</v>
      </c>
    </row>
    <row r="550" spans="1:16" ht="14.25" customHeight="1">
      <c r="A550" s="20" t="s">
        <v>492</v>
      </c>
      <c r="B550" s="20" t="str">
        <f t="shared" si="47"/>
        <v>ESTRATEGIA 2</v>
      </c>
      <c r="C550" s="20" t="str">
        <f t="shared" si="48"/>
        <v>OBJETIVO OPERATIVO 1</v>
      </c>
      <c r="D550" s="20" t="b">
        <f>Madera!B30</f>
        <v>0</v>
      </c>
      <c r="E550" s="20" t="str">
        <f>Madera!C30</f>
        <v>Baja</v>
      </c>
      <c r="F550" s="21">
        <f>Madera!D30</f>
        <v>45838</v>
      </c>
      <c r="G550" s="20" t="str">
        <f>Madera!E30</f>
        <v>Informe semestral POA 2025</v>
      </c>
      <c r="H550" s="20" t="str">
        <f>Madera!F30</f>
        <v>Director/a carrera - gestor académico</v>
      </c>
      <c r="I550" s="20" t="str">
        <f>Madera!G30</f>
        <v>Informar sobre el avance del  POA</v>
      </c>
      <c r="J550" s="20" t="str">
        <f>Madera!H30</f>
        <v>Informe semestral seguimiento POA 2025</v>
      </c>
      <c r="K550" s="62">
        <f>Madera!I30</f>
        <v>0</v>
      </c>
      <c r="L550" s="160">
        <f>Madera!J30</f>
        <v>0</v>
      </c>
      <c r="M550" s="20">
        <f>Madera!K30</f>
        <v>0</v>
      </c>
      <c r="N550" s="20">
        <f>Madera!L30</f>
        <v>0</v>
      </c>
      <c r="O550" s="20" t="str">
        <f>Madera!M30</f>
        <v>NO ENTREGADO</v>
      </c>
      <c r="P550" s="20">
        <v>2025</v>
      </c>
    </row>
    <row r="551" spans="1:16" ht="14.25" customHeight="1">
      <c r="A551" s="20" t="s">
        <v>492</v>
      </c>
      <c r="B551" s="20" t="str">
        <f t="shared" si="47"/>
        <v>ESTRATEGIA 2</v>
      </c>
      <c r="C551" s="20" t="str">
        <f t="shared" si="48"/>
        <v>OBJETIVO OPERATIVO 1</v>
      </c>
      <c r="D551" s="20" t="b">
        <f>Madera!B31</f>
        <v>0</v>
      </c>
      <c r="E551" s="20" t="str">
        <f>Madera!C31</f>
        <v>Baja</v>
      </c>
      <c r="F551" s="21">
        <f>Madera!D31</f>
        <v>45991</v>
      </c>
      <c r="G551" s="20" t="str">
        <f>Madera!E31</f>
        <v>Informe final POA 2025</v>
      </c>
      <c r="H551" s="20" t="str">
        <f>Madera!F31</f>
        <v>Director/a carrera - gestor académico</v>
      </c>
      <c r="I551" s="20" t="str">
        <f>Madera!G31</f>
        <v>Informar sobre el alcance final del  POA</v>
      </c>
      <c r="J551" s="20" t="str">
        <f>Madera!H31</f>
        <v>Informe final POA 2025</v>
      </c>
      <c r="K551" s="62">
        <f>Madera!I31</f>
        <v>0</v>
      </c>
      <c r="L551" s="160">
        <f>Madera!J31</f>
        <v>0</v>
      </c>
      <c r="M551" s="20">
        <f>Madera!K31</f>
        <v>0</v>
      </c>
      <c r="N551" s="20">
        <f>Madera!L31</f>
        <v>0</v>
      </c>
      <c r="O551" s="20" t="str">
        <f>Madera!M31</f>
        <v>NO ENTREGADO</v>
      </c>
      <c r="P551" s="20">
        <v>2025</v>
      </c>
    </row>
    <row r="552" spans="1:16" ht="14.25" customHeight="1">
      <c r="A552" s="20" t="s">
        <v>492</v>
      </c>
      <c r="B552" s="20" t="str">
        <f t="shared" si="47"/>
        <v>ESTRATEGIA 2</v>
      </c>
      <c r="C552" s="20" t="str">
        <f t="shared" si="48"/>
        <v>OBJETIVO OPERATIVO 1</v>
      </c>
      <c r="D552" s="20" t="b">
        <f>Madera!B32</f>
        <v>0</v>
      </c>
      <c r="E552" s="20" t="str">
        <f>Madera!C32</f>
        <v>Baja</v>
      </c>
      <c r="F552" s="21">
        <f>Madera!D32</f>
        <v>46011</v>
      </c>
      <c r="G552" s="20" t="str">
        <f>Madera!E32</f>
        <v>Elaborar la Planificación Operativa Anual 2025</v>
      </c>
      <c r="H552" s="20" t="str">
        <f>Madera!F32</f>
        <v>Director/a carrera - gestor académico</v>
      </c>
      <c r="I552" s="20" t="str">
        <f>Madera!G32</f>
        <v>Realizar la planificación para el 2025</v>
      </c>
      <c r="J552" s="20" t="str">
        <f>Madera!H32</f>
        <v>POA 2025 entregado</v>
      </c>
      <c r="K552" s="62">
        <f>Madera!I32</f>
        <v>0</v>
      </c>
      <c r="L552" s="160">
        <f>Madera!J32</f>
        <v>0</v>
      </c>
      <c r="M552" s="20">
        <f>Madera!K32</f>
        <v>0</v>
      </c>
      <c r="N552" s="20">
        <f>Madera!L32</f>
        <v>0</v>
      </c>
      <c r="O552" s="20" t="str">
        <f>Madera!M32</f>
        <v>NO ENTREGADO</v>
      </c>
      <c r="P552" s="20">
        <v>2025</v>
      </c>
    </row>
    <row r="553" spans="1:16" ht="14.25" customHeight="1">
      <c r="A553" s="20" t="s">
        <v>492</v>
      </c>
      <c r="B553" s="20" t="str">
        <f t="shared" si="47"/>
        <v>ESTRATEGIA 2</v>
      </c>
      <c r="C553" s="20" t="str">
        <f t="shared" si="48"/>
        <v>OBJETIVO OPERATIVO 1</v>
      </c>
      <c r="D553" s="20" t="b">
        <f>Madera!B33</f>
        <v>0</v>
      </c>
      <c r="E553" s="20" t="str">
        <f>Madera!C33</f>
        <v>Media</v>
      </c>
      <c r="F553" s="21" t="str">
        <f>Madera!D33</f>
        <v>2025-I (inicio de ciclo)
2025-II (inicio de ciclo)</v>
      </c>
      <c r="G553" s="20" t="str">
        <f>Madera!E33</f>
        <v>Designación de tutores de curso</v>
      </c>
      <c r="H553" s="20" t="str">
        <f>Madera!F33</f>
        <v>Director/a carrera</v>
      </c>
      <c r="I553" s="20" t="str">
        <f>Madera!G33</f>
        <v>Realizar las designaciones y evidenciar los responsables y tutores de la carrera</v>
      </c>
      <c r="J553" s="20" t="str">
        <f>Madera!H33</f>
        <v>Documento de designación de tutores por parte del director de carrera</v>
      </c>
      <c r="K553" s="62">
        <f>Madera!I33</f>
        <v>0</v>
      </c>
      <c r="L553" s="160">
        <f>Madera!J33</f>
        <v>0</v>
      </c>
      <c r="M553" s="20">
        <f>Madera!K33</f>
        <v>0</v>
      </c>
      <c r="N553" s="20">
        <f>Madera!L33</f>
        <v>0</v>
      </c>
      <c r="O553" s="20" t="str">
        <f>Madera!M33</f>
        <v>NO ENTREGADO</v>
      </c>
      <c r="P553" s="20">
        <v>2025</v>
      </c>
    </row>
    <row r="554" spans="1:16" ht="14.25" customHeight="1">
      <c r="A554" s="20" t="s">
        <v>492</v>
      </c>
      <c r="B554" s="20" t="str">
        <f t="shared" si="47"/>
        <v>ESTRATEGIA 2</v>
      </c>
      <c r="C554" s="20" t="str">
        <f t="shared" si="48"/>
        <v>OBJETIVO OPERATIVO 1</v>
      </c>
      <c r="D554" s="20" t="b">
        <f>Madera!B34</f>
        <v>0</v>
      </c>
      <c r="E554" s="20" t="str">
        <f>Madera!C34</f>
        <v>Media</v>
      </c>
      <c r="F554" s="21" t="str">
        <f>Madera!D34</f>
        <v>2025-I(Todo el ciclo)
2025-II(Todo el ciclo)</v>
      </c>
      <c r="G554" s="20" t="str">
        <f>Madera!E34</f>
        <v>Ejecutar las actividades de la fase de SEGUIMIENTO del modelo metodológico del proceso de Seguimiento Curricular</v>
      </c>
      <c r="H554" s="20" t="str">
        <f>Madera!F34</f>
        <v>Director/a de carrera - Gestor/a académico
Tutores de curso</v>
      </c>
      <c r="I554" s="20" t="str">
        <f>Madera!G34</f>
        <v>Realizar el Seguimiento del modelo metodológico</v>
      </c>
      <c r="J554" s="20" t="str">
        <f>Madera!H34</f>
        <v>Fase SEGUIMIENTO:
INICIO: Socialización de Tutorías Académicas
DURANTE: Registro de Calificaciones del Primer Parcial
FINAL : Registro de Calificación Finales</v>
      </c>
      <c r="K554" s="62">
        <f>Madera!I34</f>
        <v>0</v>
      </c>
      <c r="L554" s="160">
        <f>Madera!J34</f>
        <v>0</v>
      </c>
      <c r="M554" s="20">
        <f>Madera!K34</f>
        <v>0</v>
      </c>
      <c r="N554" s="20">
        <f>Madera!L34</f>
        <v>0</v>
      </c>
      <c r="O554" s="20" t="str">
        <f>Madera!M34</f>
        <v>NO ENTREGADO</v>
      </c>
      <c r="P554" s="20">
        <v>2025</v>
      </c>
    </row>
    <row r="555" spans="1:16" ht="14.25" customHeight="1">
      <c r="A555" s="20" t="s">
        <v>492</v>
      </c>
      <c r="B555" s="20" t="str">
        <f t="shared" si="47"/>
        <v>ESTRATEGIA 2</v>
      </c>
      <c r="C555" s="20" t="str">
        <f t="shared" si="48"/>
        <v>OBJETIVO OPERATIVO 1</v>
      </c>
      <c r="D555" s="20" t="b">
        <f>Madera!B35</f>
        <v>0</v>
      </c>
      <c r="E555" s="20" t="str">
        <f>Madera!C35</f>
        <v>Media</v>
      </c>
      <c r="F555" s="21" t="str">
        <f>Madera!D35</f>
        <v>2025-I(Todo el ciclo)
2025-II(Todo el ciclo)</v>
      </c>
      <c r="G555" s="20" t="str">
        <f>Madera!E35</f>
        <v>Ejecutar las actividades de la fase de CONTROL del modelo metodológico del proceso de Seguimiento Curricular</v>
      </c>
      <c r="H555" s="20" t="str">
        <f>Madera!F35</f>
        <v>Director/a de carrera - Gestor/a académico
Tutores de curso</v>
      </c>
      <c r="I555" s="20" t="str">
        <f>Madera!G35</f>
        <v>Realizar el Control del modelo metodológico</v>
      </c>
      <c r="J555" s="20" t="str">
        <f>Madera!H35</f>
        <v>Fase CONTROL:
INICIO: Matriz consolidada de resultados de Pruebas de Diagnostico
DURANTE: Matriz consolidada de resultados de Calificaciones del Primer Parcial
FINAL : Matriz consolidada de resultados de Calificaciones Finales</v>
      </c>
      <c r="K555" s="62">
        <f>Madera!I35</f>
        <v>0</v>
      </c>
      <c r="L555" s="160">
        <f>Madera!J35</f>
        <v>0</v>
      </c>
      <c r="M555" s="20">
        <f>Madera!K35</f>
        <v>0</v>
      </c>
      <c r="N555" s="20">
        <f>Madera!L35</f>
        <v>0</v>
      </c>
      <c r="O555" s="20" t="str">
        <f>Madera!M35</f>
        <v>NO ENTREGADO</v>
      </c>
      <c r="P555" s="20">
        <v>2025</v>
      </c>
    </row>
    <row r="556" spans="1:16" ht="14.25" customHeight="1">
      <c r="A556" s="20" t="s">
        <v>492</v>
      </c>
      <c r="B556" s="20" t="str">
        <f t="shared" si="47"/>
        <v>ESTRATEGIA 2</v>
      </c>
      <c r="C556" s="20" t="str">
        <f t="shared" si="48"/>
        <v>OBJETIVO OPERATIVO 1</v>
      </c>
      <c r="D556" s="20" t="b">
        <f>Madera!B36</f>
        <v>0</v>
      </c>
      <c r="E556" s="20" t="str">
        <f>Madera!C36</f>
        <v>Media</v>
      </c>
      <c r="F556" s="21" t="str">
        <f>Madera!D36</f>
        <v>2025-I(Todo el ciclo)
2025-II(Todo el ciclo)</v>
      </c>
      <c r="G556" s="20" t="str">
        <f>Madera!E36</f>
        <v>Ejecutar las actividades de la fase de EVALUACIÓN del modelo metodológico del proceso de Seguimiento Curricular</v>
      </c>
      <c r="H556" s="20" t="str">
        <f>Madera!F36</f>
        <v>Director/a de carrera - Gestor/a académico
Tutores de curso</v>
      </c>
      <c r="I556" s="20" t="str">
        <f>Madera!G36</f>
        <v>Realizar la Evaluación del modelo metodológico</v>
      </c>
      <c r="J556" s="20" t="str">
        <f>Madera!H36</f>
        <v>Fase EVALAUCIÓN:
INICIO: Acta de reunión de inicio de ciclo estudiantes
DURANTE: Acta de reunión del Primer Parcial Docentes - Estudiantes
FINAL : Acta de reunión Final - Docentes - Estudiantes</v>
      </c>
      <c r="K556" s="62">
        <f>Madera!I36</f>
        <v>0</v>
      </c>
      <c r="L556" s="160">
        <f>Madera!J36</f>
        <v>0</v>
      </c>
      <c r="M556" s="20">
        <f>Madera!K36</f>
        <v>0</v>
      </c>
      <c r="N556" s="20">
        <f>Madera!L36</f>
        <v>0</v>
      </c>
      <c r="O556" s="20" t="str">
        <f>Madera!M36</f>
        <v>NO ENTREGADO</v>
      </c>
      <c r="P556" s="20">
        <v>2025</v>
      </c>
    </row>
    <row r="557" spans="1:16" ht="14.25" customHeight="1">
      <c r="A557" s="20" t="s">
        <v>492</v>
      </c>
      <c r="B557" s="20" t="str">
        <f t="shared" si="47"/>
        <v>ESTRATEGIA 2</v>
      </c>
      <c r="C557" s="20" t="str">
        <f t="shared" si="48"/>
        <v>OBJETIVO OPERATIVO 1</v>
      </c>
      <c r="D557" s="20" t="b">
        <f>Madera!B37</f>
        <v>0</v>
      </c>
      <c r="E557" s="20" t="str">
        <f>Madera!C37</f>
        <v>Baja</v>
      </c>
      <c r="F557" s="21" t="str">
        <f>Madera!D37</f>
        <v>2024-II(Fin de ciclo)
2025-I(Fin de Ciclo)</v>
      </c>
      <c r="G557" s="20" t="str">
        <f>Madera!E37</f>
        <v>Elaboración del Plan de Mejoramiento del proceso enseñanza aprendizaje</v>
      </c>
      <c r="H557" s="20" t="str">
        <f>Madera!F37</f>
        <v>Director/a carrera
Responsable de Seguimiento a graduados de la carrera</v>
      </c>
      <c r="I557" s="20" t="str">
        <f>Madera!G37</f>
        <v>De acuerdo a los resultados generar el Plan de Mejoramiento enseñanza aprendizaje</v>
      </c>
      <c r="J557" s="20" t="str">
        <f>Madera!H37</f>
        <v>Informe de plan de mejoramiento curricular</v>
      </c>
      <c r="K557" s="62">
        <f>Madera!I37</f>
        <v>0</v>
      </c>
      <c r="L557" s="160">
        <f>Madera!J37</f>
        <v>0</v>
      </c>
      <c r="M557" s="20">
        <f>Madera!K37</f>
        <v>0</v>
      </c>
      <c r="N557" s="20">
        <f>Madera!L37</f>
        <v>0</v>
      </c>
      <c r="O557" s="20" t="str">
        <f>Madera!M37</f>
        <v>NO ENTREGADO</v>
      </c>
      <c r="P557" s="20">
        <v>2025</v>
      </c>
    </row>
    <row r="558" spans="1:16" ht="14.25" customHeight="1">
      <c r="A558" s="20" t="s">
        <v>492</v>
      </c>
      <c r="B558" s="20" t="str">
        <f t="shared" ref="B558:B563" si="49">$B$557</f>
        <v>ESTRATEGIA 2</v>
      </c>
      <c r="C558" s="20" t="str">
        <f>Madera!E38</f>
        <v>OBJETIVO OPERATIVO 2</v>
      </c>
      <c r="D558" s="20" t="b">
        <f>Madera!B39</f>
        <v>1</v>
      </c>
      <c r="E558" s="20" t="str">
        <f>Madera!C39</f>
        <v>Media</v>
      </c>
      <c r="F558" s="21" t="str">
        <f>Madera!D39</f>
        <v>2025-II(Inicio de ciclo)</v>
      </c>
      <c r="G558" s="20" t="str">
        <f>Madera!E39</f>
        <v>Diseñar, gestionar e implementar cursos o programas de inducción y de actualización para docentes y estudiantes.</v>
      </c>
      <c r="H558" s="20" t="str">
        <f>Madera!F39</f>
        <v>Director/a carrera - gestor académico</v>
      </c>
      <c r="I558" s="20" t="str">
        <f>Madera!G39</f>
        <v>Generar la capacitación docente</v>
      </c>
      <c r="J558" s="20" t="str">
        <f>Madera!H39</f>
        <v>Informes de cursos y o programas.</v>
      </c>
      <c r="K558" s="62">
        <f>Madera!I39</f>
        <v>0</v>
      </c>
      <c r="L558" s="160">
        <f>Madera!J39</f>
        <v>0</v>
      </c>
      <c r="M558" s="20">
        <f>Madera!K39</f>
        <v>0</v>
      </c>
      <c r="N558" s="20">
        <f>Madera!L39</f>
        <v>0</v>
      </c>
      <c r="O558" s="20" t="str">
        <f>Madera!M39</f>
        <v>NO ENTREGADO</v>
      </c>
      <c r="P558" s="20">
        <v>2025</v>
      </c>
    </row>
    <row r="559" spans="1:16" ht="14.25" customHeight="1">
      <c r="A559" s="20" t="s">
        <v>492</v>
      </c>
      <c r="B559" s="20" t="str">
        <f t="shared" si="49"/>
        <v>ESTRATEGIA 2</v>
      </c>
      <c r="C559" s="20" t="str">
        <f>$C$558</f>
        <v>OBJETIVO OPERATIVO 2</v>
      </c>
      <c r="D559" s="20" t="b">
        <f>Madera!B40</f>
        <v>1</v>
      </c>
      <c r="E559" s="20" t="str">
        <f>Madera!C40</f>
        <v>Media</v>
      </c>
      <c r="F559" s="21" t="str">
        <f>Madera!D40</f>
        <v>2025-II(Inicio de ciclo)</v>
      </c>
      <c r="G559" s="20" t="str">
        <f>Madera!E40</f>
        <v>Capacitar a los estudiantes sobre la utilización de la Plataforma Moodle.</v>
      </c>
      <c r="H559" s="20" t="str">
        <f>Madera!F40</f>
        <v>responsable plataforma Moodle de la carrera</v>
      </c>
      <c r="I559" s="20" t="str">
        <f>Madera!G40</f>
        <v>Generar la capacitación estudiantil sobre el Moodle</v>
      </c>
      <c r="J559" s="20" t="str">
        <f>Madera!H40</f>
        <v>Informe sobre la capacitación</v>
      </c>
      <c r="K559" s="62">
        <f>Madera!I40</f>
        <v>0</v>
      </c>
      <c r="L559" s="160">
        <f>Madera!J40</f>
        <v>0</v>
      </c>
      <c r="M559" s="20">
        <f>Madera!K40</f>
        <v>0</v>
      </c>
      <c r="N559" s="20">
        <f>Madera!L40</f>
        <v>0</v>
      </c>
      <c r="O559" s="20" t="str">
        <f>Madera!M40</f>
        <v>NO ENTREGADO</v>
      </c>
      <c r="P559" s="20">
        <v>2025</v>
      </c>
    </row>
    <row r="560" spans="1:16" ht="14.25" customHeight="1">
      <c r="A560" s="20" t="s">
        <v>492</v>
      </c>
      <c r="B560" s="20" t="str">
        <f t="shared" si="49"/>
        <v>ESTRATEGIA 2</v>
      </c>
      <c r="C560" s="20" t="str">
        <f>$C$558</f>
        <v>OBJETIVO OPERATIVO 2</v>
      </c>
      <c r="D560" s="20" t="b">
        <f>Madera!B41</f>
        <v>1</v>
      </c>
      <c r="E560" s="20" t="str">
        <f>Madera!C41</f>
        <v>Baja</v>
      </c>
      <c r="F560" s="21" t="str">
        <f>Madera!D41</f>
        <v>2025-II(Fin de ciclo)</v>
      </c>
      <c r="G560" s="20" t="str">
        <f>Madera!E41</f>
        <v>Elaborar y ejecutar la planificación de oferta complementaria.</v>
      </c>
      <c r="H560" s="20" t="str">
        <f>Madera!F41</f>
        <v>Docentes de la carrera</v>
      </c>
      <c r="I560" s="20" t="str">
        <f>Madera!G41</f>
        <v>Analizar y realizar la oferta complementaria</v>
      </c>
      <c r="J560" s="20" t="str">
        <f>Madera!H41</f>
        <v>Informe de ejecución de la oferta complementaria.</v>
      </c>
      <c r="K560" s="62">
        <f>Madera!I41</f>
        <v>0</v>
      </c>
      <c r="L560" s="160">
        <f>Madera!J41</f>
        <v>0</v>
      </c>
      <c r="M560" s="20">
        <f>Madera!K41</f>
        <v>0</v>
      </c>
      <c r="N560" s="20">
        <f>Madera!L41</f>
        <v>0</v>
      </c>
      <c r="O560" s="20" t="str">
        <f>Madera!M41</f>
        <v>NO ENTREGADO</v>
      </c>
      <c r="P560" s="20">
        <v>2025</v>
      </c>
    </row>
    <row r="561" spans="1:16" ht="14.25" customHeight="1">
      <c r="A561" s="20" t="s">
        <v>492</v>
      </c>
      <c r="B561" s="20" t="str">
        <f t="shared" si="49"/>
        <v>ESTRATEGIA 2</v>
      </c>
      <c r="C561" s="20" t="str">
        <f>Madera!E42</f>
        <v>OBJETIVO OPERATIVO 3</v>
      </c>
      <c r="D561" s="20" t="b">
        <f>Madera!B43</f>
        <v>1</v>
      </c>
      <c r="E561" s="20" t="str">
        <f>Madera!C43</f>
        <v>Alta</v>
      </c>
      <c r="F561" s="21" t="str">
        <f>Madera!D43</f>
        <v>2025-I(Inicio de ciclo)</v>
      </c>
      <c r="G561" s="20" t="str">
        <f>Madera!E43</f>
        <v>Revisión de requisitos de la opción de titulación de los estudiantes.</v>
      </c>
      <c r="H561" s="20" t="str">
        <f>Madera!F43</f>
        <v>Director de carrera / Coordinador de carreras</v>
      </c>
      <c r="I561" s="20" t="str">
        <f>Madera!G43</f>
        <v>Realizar el análisis de la opción de titulación para los estudiantes</v>
      </c>
      <c r="J561" s="20" t="str">
        <f>Madera!H43</f>
        <v>Recopilar los documentos de los estudiantes de titulación.</v>
      </c>
      <c r="K561" s="62">
        <f>Madera!I43</f>
        <v>0</v>
      </c>
      <c r="L561" s="160">
        <f>Madera!J43</f>
        <v>0</v>
      </c>
      <c r="M561" s="20">
        <f>Madera!K43</f>
        <v>0</v>
      </c>
      <c r="N561" s="20">
        <f>Madera!L43</f>
        <v>0</v>
      </c>
      <c r="O561" s="20" t="str">
        <f>Madera!M43</f>
        <v>NO ENTREGADO</v>
      </c>
      <c r="P561" s="20">
        <v>2025</v>
      </c>
    </row>
    <row r="562" spans="1:16" ht="14.25" customHeight="1">
      <c r="A562" s="20" t="s">
        <v>492</v>
      </c>
      <c r="B562" s="20" t="str">
        <f t="shared" si="49"/>
        <v>ESTRATEGIA 2</v>
      </c>
      <c r="C562" s="20" t="str">
        <f>$C$561</f>
        <v>OBJETIVO OPERATIVO 3</v>
      </c>
      <c r="D562" s="20" t="b">
        <f>Madera!B44</f>
        <v>1</v>
      </c>
      <c r="E562" s="20" t="str">
        <f>Madera!C44</f>
        <v>Alta</v>
      </c>
      <c r="F562" s="21" t="str">
        <f>Madera!D44</f>
        <v>2025-I(Inicio de ciclo)</v>
      </c>
      <c r="G562" s="20" t="str">
        <f>Madera!E44</f>
        <v>Coordinación para aprobación de documentación de la integración curricular.</v>
      </c>
      <c r="H562" s="20" t="str">
        <f>Madera!F44</f>
        <v>Director de carrera / Coordinador de carreras</v>
      </c>
      <c r="I562" s="20" t="str">
        <f>Madera!G44</f>
        <v>Revisar y coordinar la aprobación de documentos para el ingreso a la unidad de integración curricular</v>
      </c>
      <c r="J562" s="20" t="str">
        <f>Madera!H44</f>
        <v>Aprobación de la documentación a titulación.</v>
      </c>
      <c r="K562" s="62">
        <f>Madera!I44</f>
        <v>0</v>
      </c>
      <c r="L562" s="160">
        <f>Madera!J44</f>
        <v>0</v>
      </c>
      <c r="M562" s="20">
        <f>Madera!K44</f>
        <v>0</v>
      </c>
      <c r="N562" s="20">
        <f>Madera!L44</f>
        <v>0</v>
      </c>
      <c r="O562" s="20" t="str">
        <f>Madera!M44</f>
        <v>NO ENTREGADO</v>
      </c>
      <c r="P562" s="20">
        <v>2025</v>
      </c>
    </row>
    <row r="563" spans="1:16" ht="14.25" customHeight="1">
      <c r="A563" s="20" t="s">
        <v>492</v>
      </c>
      <c r="B563" s="20" t="str">
        <f t="shared" si="49"/>
        <v>ESTRATEGIA 2</v>
      </c>
      <c r="C563" s="20" t="str">
        <f>$C$561</f>
        <v>OBJETIVO OPERATIVO 3</v>
      </c>
      <c r="D563" s="20" t="b">
        <f>Madera!B45</f>
        <v>1</v>
      </c>
      <c r="E563" s="20" t="str">
        <f>Madera!C45</f>
        <v>Alta</v>
      </c>
      <c r="F563" s="21" t="str">
        <f>Madera!D45</f>
        <v>2025-I(Fin de ciclo)</v>
      </c>
      <c r="G563" s="20" t="str">
        <f>Madera!E45</f>
        <v>Coordinación del evento de incorporación.</v>
      </c>
      <c r="H563" s="20" t="str">
        <f>Madera!F45</f>
        <v>Director de carrera / Coordinador de carreras</v>
      </c>
      <c r="I563" s="20" t="str">
        <f>Madera!G45</f>
        <v>Realizar la lista de estudiantes a titularse</v>
      </c>
      <c r="J563" s="20" t="str">
        <f>Madera!H45</f>
        <v>Matriz de datos de estudiantes a titularse</v>
      </c>
      <c r="K563" s="62">
        <f>Madera!I45</f>
        <v>0</v>
      </c>
      <c r="L563" s="160">
        <f>Madera!J45</f>
        <v>0</v>
      </c>
      <c r="M563" s="20">
        <f>Madera!K45</f>
        <v>0</v>
      </c>
      <c r="N563" s="20">
        <f>Madera!L45</f>
        <v>0</v>
      </c>
      <c r="O563" s="20" t="str">
        <f>Madera!M45</f>
        <v>NO ENTREGADO</v>
      </c>
      <c r="P563" s="20">
        <v>2025</v>
      </c>
    </row>
    <row r="564" spans="1:16" ht="14.25" customHeight="1">
      <c r="A564" s="20" t="s">
        <v>492</v>
      </c>
      <c r="B564" s="20" t="str">
        <f>Madera!B46</f>
        <v>ESTRATEGIA 3</v>
      </c>
      <c r="C564" s="20" t="str">
        <f>Madera!E46</f>
        <v>OBJETIVO OPERATIVO 1</v>
      </c>
      <c r="D564" s="20" t="b">
        <f>Madera!B47</f>
        <v>0</v>
      </c>
      <c r="E564" s="20" t="str">
        <f>Madera!C47</f>
        <v>Media</v>
      </c>
      <c r="F564" s="21" t="str">
        <f>Madera!D47</f>
        <v>2025-I(Todo el ciclo)
2025-II(Todo de ciclo)</v>
      </c>
      <c r="G564" s="20" t="str">
        <f>Madera!E47</f>
        <v>Colaborar con la comisión de Vinculación en la construcción de los documentos necesarios para la firma de convenios.</v>
      </c>
      <c r="H564" s="20" t="str">
        <f>Madera!F47</f>
        <v>Director/a carrera -responsable de practicas y vinculación</v>
      </c>
      <c r="I564" s="20" t="str">
        <f>Madera!G47</f>
        <v>Brindar apoyo y realizar ITV de vinculación de la carrera</v>
      </c>
      <c r="J564" s="20" t="str">
        <f>Madera!H47</f>
        <v>ITV  y los convenios.</v>
      </c>
      <c r="K564" s="62">
        <f>Madera!I47</f>
        <v>0</v>
      </c>
      <c r="L564" s="160">
        <f>Madera!J47</f>
        <v>0</v>
      </c>
      <c r="M564" s="20">
        <f>Madera!K47</f>
        <v>0</v>
      </c>
      <c r="N564" s="20">
        <f>Madera!L47</f>
        <v>0</v>
      </c>
      <c r="O564" s="20" t="str">
        <f>Madera!M47</f>
        <v>NO ENTREGADO</v>
      </c>
      <c r="P564" s="20">
        <v>2025</v>
      </c>
    </row>
    <row r="565" spans="1:16" ht="14.25" customHeight="1">
      <c r="A565" s="20" t="s">
        <v>492</v>
      </c>
      <c r="B565" s="20" t="str">
        <f>$B$564</f>
        <v>ESTRATEGIA 3</v>
      </c>
      <c r="C565" s="20" t="str">
        <f>$C$564</f>
        <v>OBJETIVO OPERATIVO 1</v>
      </c>
      <c r="D565" s="20" t="b">
        <f>Madera!B48</f>
        <v>0</v>
      </c>
      <c r="E565" s="20" t="str">
        <f>Madera!C48</f>
        <v>Baja</v>
      </c>
      <c r="F565" s="21" t="str">
        <f>Madera!D48</f>
        <v>2024-II( fin ciclo)
2025-I( fin ciclo)</v>
      </c>
      <c r="G565" s="20" t="str">
        <f>Madera!E48</f>
        <v>Divulgación de los resultados de los proyectos de vinculación, asistiendo a las ferias convocados por diferentes organizaciones.</v>
      </c>
      <c r="H565" s="20" t="str">
        <f>Madera!F48</f>
        <v>Director/a carrera -responsable de practicas y vinculación</v>
      </c>
      <c r="I565" s="20" t="str">
        <f>Madera!G48</f>
        <v>Realizar la divulgación de los resultados de los proyectos de vinculación</v>
      </c>
      <c r="J565" s="20" t="str">
        <f>Madera!H48</f>
        <v>Informe de la divulgación.</v>
      </c>
      <c r="K565" s="62">
        <f>Madera!I48</f>
        <v>0</v>
      </c>
      <c r="L565" s="160">
        <f>Madera!J48</f>
        <v>0</v>
      </c>
      <c r="M565" s="20">
        <f>Madera!K48</f>
        <v>0</v>
      </c>
      <c r="N565" s="20">
        <f>Madera!L48</f>
        <v>0</v>
      </c>
      <c r="O565" s="20" t="str">
        <f>Madera!M48</f>
        <v>NO ENTREGADO</v>
      </c>
      <c r="P565" s="20">
        <v>2025</v>
      </c>
    </row>
    <row r="566" spans="1:16" ht="14.25" customHeight="1">
      <c r="A566" s="20" t="s">
        <v>492</v>
      </c>
      <c r="B566" s="20" t="str">
        <f>$B$564</f>
        <v>ESTRATEGIA 3</v>
      </c>
      <c r="C566" s="20" t="str">
        <f>$C$564</f>
        <v>OBJETIVO OPERATIVO 1</v>
      </c>
      <c r="D566" s="20" t="b">
        <f>Madera!B49</f>
        <v>0</v>
      </c>
      <c r="E566" s="20" t="str">
        <f>Madera!C49</f>
        <v>Baja</v>
      </c>
      <c r="F566" s="21" t="str">
        <f>Madera!D49</f>
        <v>2025-I (inicio ciclo)
2025-II(inicio ciclo)</v>
      </c>
      <c r="G566" s="20" t="str">
        <f>Madera!E49</f>
        <v>Socializar con los estudiantes el reglamento de vinculación</v>
      </c>
      <c r="H566" s="20" t="str">
        <f>Madera!F49</f>
        <v>Director/a carrera -responsable de practicas y vinculación</v>
      </c>
      <c r="I566" s="20" t="str">
        <f>Madera!G49</f>
        <v>Realizar la socialización del reglamento de vinculación con los estudiantes</v>
      </c>
      <c r="J566" s="20" t="str">
        <f>Madera!H49</f>
        <v>Informe de socialización del reglamento.</v>
      </c>
      <c r="K566" s="62">
        <f>Madera!I49</f>
        <v>0</v>
      </c>
      <c r="L566" s="160">
        <f>Madera!J49</f>
        <v>0</v>
      </c>
      <c r="M566" s="20">
        <f>Madera!K49</f>
        <v>0</v>
      </c>
      <c r="N566" s="20">
        <f>Madera!L49</f>
        <v>0</v>
      </c>
      <c r="O566" s="20" t="str">
        <f>Madera!M49</f>
        <v>NO ENTREGADO</v>
      </c>
      <c r="P566" s="20">
        <v>2025</v>
      </c>
    </row>
    <row r="567" spans="1:16" ht="14.25" customHeight="1">
      <c r="A567" s="20" t="s">
        <v>492</v>
      </c>
      <c r="B567" s="20" t="str">
        <f>$B$564</f>
        <v>ESTRATEGIA 3</v>
      </c>
      <c r="C567" s="20" t="str">
        <f>Madera!E50</f>
        <v>OBJETIVO OPERATIVO 2</v>
      </c>
      <c r="D567" s="20" t="b">
        <f>Madera!B51</f>
        <v>1</v>
      </c>
      <c r="E567" s="20" t="str">
        <f>Madera!C51</f>
        <v>Alta</v>
      </c>
      <c r="F567" s="21" t="str">
        <f>Madera!D51</f>
        <v>2025-I (inicio ciclo)
2025-II(inicio ciclo)</v>
      </c>
      <c r="G567" s="20" t="str">
        <f>Madera!E51</f>
        <v>Conocer las líneas de investigación de la carrera</v>
      </c>
      <c r="H567" s="20" t="str">
        <f>Madera!F51</f>
        <v>Director de carrera</v>
      </c>
      <c r="I567" s="20" t="str">
        <f>Madera!G51</f>
        <v>Analizar y realizar las líneas de investigación de la carrera</v>
      </c>
      <c r="J567" s="20" t="str">
        <f>Madera!H51</f>
        <v>Informe de socialización de las líneas de investigación de la carrera</v>
      </c>
      <c r="K567" s="62">
        <f>Madera!I51</f>
        <v>0</v>
      </c>
      <c r="L567" s="160">
        <f>Madera!J51</f>
        <v>0</v>
      </c>
      <c r="M567" s="20">
        <f>Madera!K51</f>
        <v>0</v>
      </c>
      <c r="N567" s="20">
        <f>Madera!L51</f>
        <v>0</v>
      </c>
      <c r="O567" s="20" t="str">
        <f>Madera!M51</f>
        <v>NO ENTREGADO</v>
      </c>
      <c r="P567" s="20">
        <v>2025</v>
      </c>
    </row>
    <row r="568" spans="1:16" ht="14.25" customHeight="1">
      <c r="A568" s="20" t="s">
        <v>492</v>
      </c>
      <c r="B568" s="20" t="str">
        <f>$B$564</f>
        <v>ESTRATEGIA 3</v>
      </c>
      <c r="C568" s="20" t="str">
        <f>$C$567</f>
        <v>OBJETIVO OPERATIVO 2</v>
      </c>
      <c r="D568" s="20" t="b">
        <f>Madera!B52</f>
        <v>1</v>
      </c>
      <c r="E568" s="20" t="str">
        <f>Madera!C52</f>
        <v>Alta</v>
      </c>
      <c r="F568" s="21" t="str">
        <f>Madera!D52</f>
        <v>2025-I(Todo el ciclo)
2025-II(Todo de ciclo)</v>
      </c>
      <c r="G568" s="20" t="str">
        <f>Madera!E52</f>
        <v>Desarrollar investigación científica y tecnológica que contribuya con la construcción de soluciones para los problemas del país, en relación con los objetivos del régimen de desarrollo.</v>
      </c>
      <c r="H568" s="20" t="str">
        <f>Madera!F52</f>
        <v>Director de Carrera
Docentes de la carrera
Comisión de Investigación</v>
      </c>
      <c r="I568" s="20" t="str">
        <f>Madera!G52</f>
        <v>Incentivar y desarrollar la investigación de los docentes de la carrera en base a las líneas de la carrera</v>
      </c>
      <c r="J568" s="20" t="str">
        <f>Madera!H52</f>
        <v>Artículos publicados por los docentes de la carrera</v>
      </c>
      <c r="K568" s="62">
        <f>Madera!I52</f>
        <v>0</v>
      </c>
      <c r="L568" s="160">
        <f>Madera!J52</f>
        <v>0</v>
      </c>
      <c r="M568" s="20">
        <f>Madera!K52</f>
        <v>0</v>
      </c>
      <c r="N568" s="20">
        <f>Madera!L52</f>
        <v>0</v>
      </c>
      <c r="O568" s="20" t="str">
        <f>Madera!M52</f>
        <v>NO ENTREGADO</v>
      </c>
      <c r="P568" s="20">
        <v>2025</v>
      </c>
    </row>
    <row r="569" spans="1:16" ht="14.25" customHeight="1">
      <c r="A569" s="20" t="s">
        <v>492</v>
      </c>
      <c r="B569" s="20" t="str">
        <f>$B$564</f>
        <v>ESTRATEGIA 3</v>
      </c>
      <c r="C569" s="20" t="str">
        <f>Madera!E53</f>
        <v>OBJETIVO OPERATIVO 3</v>
      </c>
      <c r="D569" s="20" t="b">
        <f>Madera!B54</f>
        <v>1</v>
      </c>
      <c r="E569" s="20" t="str">
        <f>Madera!C54</f>
        <v>Baja</v>
      </c>
      <c r="F569" s="21" t="str">
        <f>Madera!D54</f>
        <v>2025-I(Todo el ciclo)
2025-II(Todo de ciclo)</v>
      </c>
      <c r="G569" s="20" t="str">
        <f>Madera!E54</f>
        <v>Ejecutar la formación en valores y desarrollo de habilidades blandas.</v>
      </c>
      <c r="H569" s="20" t="str">
        <f>Madera!F54</f>
        <v>Director de carrera
Gestor académico
Bienestar institucional</v>
      </c>
      <c r="I569" s="20" t="str">
        <f>Madera!G54</f>
        <v>Realizar un curso de habilidades blandas que se desarrollara para todo el instituto</v>
      </c>
      <c r="J569" s="20" t="str">
        <f>Madera!H54</f>
        <v>Informe de formación en valores y desarrollo de habilidades blandas</v>
      </c>
      <c r="K569" s="62">
        <f>Madera!I54</f>
        <v>0</v>
      </c>
      <c r="L569" s="160">
        <f>Madera!J54</f>
        <v>0</v>
      </c>
      <c r="M569" s="20">
        <f>Madera!K54</f>
        <v>0</v>
      </c>
      <c r="N569" s="20">
        <f>Madera!L54</f>
        <v>0</v>
      </c>
      <c r="O569" s="20" t="str">
        <f>Madera!M54</f>
        <v>NO ENTREGADO</v>
      </c>
      <c r="P569" s="20">
        <v>2025</v>
      </c>
    </row>
    <row r="570" spans="1:16" ht="14.25" customHeight="1">
      <c r="A570" s="20" t="s">
        <v>492</v>
      </c>
      <c r="B570" s="20" t="str">
        <f>Madera!B55</f>
        <v>ESTRATEGIA 4</v>
      </c>
      <c r="C570" s="20" t="str">
        <f>Madera!E55</f>
        <v>OBJETIVO OPERATIVO 1</v>
      </c>
      <c r="D570" s="20" t="b">
        <f>Madera!B56</f>
        <v>0</v>
      </c>
      <c r="E570" s="20" t="str">
        <f>Madera!C56</f>
        <v>Baja</v>
      </c>
      <c r="F570" s="21" t="str">
        <f>Madera!D56</f>
        <v>2025-I (fin ciclo)
2025-II(fin ciclo)</v>
      </c>
      <c r="G570" s="20" t="str">
        <f>Madera!E56</f>
        <v>Elaboración de matrices de la oferta académica institucional.</v>
      </c>
      <c r="H570" s="20" t="str">
        <f>Madera!F56</f>
        <v>Director de Carrera
Gestor Académico</v>
      </c>
      <c r="I570" s="20" t="str">
        <f>Madera!G56</f>
        <v>Generación de matrices de oferta académica para la captación de más estudiantes</v>
      </c>
      <c r="J570" s="20" t="str">
        <f>Madera!H56</f>
        <v>Matrices de la oferta académica.</v>
      </c>
      <c r="K570" s="62">
        <f>Madera!I56</f>
        <v>0</v>
      </c>
      <c r="L570" s="160">
        <f>Madera!J56</f>
        <v>0</v>
      </c>
      <c r="M570" s="20">
        <f>Madera!K56</f>
        <v>0</v>
      </c>
      <c r="N570" s="20">
        <f>Madera!L56</f>
        <v>0</v>
      </c>
      <c r="O570" s="20" t="str">
        <f>Madera!M56</f>
        <v>NO ENTREGADO</v>
      </c>
      <c r="P570" s="20">
        <v>2025</v>
      </c>
    </row>
    <row r="571" spans="1:16" ht="14.25" customHeight="1">
      <c r="A571" s="20" t="s">
        <v>492</v>
      </c>
      <c r="B571" s="20" t="str">
        <f>$B$570</f>
        <v>ESTRATEGIA 4</v>
      </c>
      <c r="C571" s="20" t="str">
        <f>$C$570</f>
        <v>OBJETIVO OPERATIVO 1</v>
      </c>
      <c r="D571" s="20" t="b">
        <f>Madera!B57</f>
        <v>0</v>
      </c>
      <c r="E571" s="20" t="str">
        <f>Madera!C57</f>
        <v>Baja</v>
      </c>
      <c r="F571" s="21" t="str">
        <f>Madera!D57</f>
        <v xml:space="preserve">
2025-II(fin ciclo)</v>
      </c>
      <c r="G571" s="20" t="str">
        <f>Madera!E57</f>
        <v>Planificación de demanda estudiantil.</v>
      </c>
      <c r="H571" s="20" t="str">
        <f>Madera!F57</f>
        <v>Director de Carrera
Gestor Académico</v>
      </c>
      <c r="I571" s="20" t="str">
        <f>Madera!G57</f>
        <v>Planificar la demanda institucional en base a históricos de periodos anteriores</v>
      </c>
      <c r="J571" s="20" t="str">
        <f>Madera!H57</f>
        <v>Listado certificado  de matriculados de la carrera</v>
      </c>
      <c r="K571" s="62">
        <f>Madera!I57</f>
        <v>0</v>
      </c>
      <c r="L571" s="160">
        <f>Madera!J57</f>
        <v>0</v>
      </c>
      <c r="M571" s="20">
        <f>Madera!K57</f>
        <v>0</v>
      </c>
      <c r="N571" s="20">
        <f>Madera!L57</f>
        <v>0</v>
      </c>
      <c r="O571" s="20" t="str">
        <f>Madera!M57</f>
        <v>NO ENTREGADO</v>
      </c>
      <c r="P571" s="20">
        <v>2025</v>
      </c>
    </row>
    <row r="572" spans="1:16" ht="14.25" customHeight="1">
      <c r="A572" s="20" t="s">
        <v>492</v>
      </c>
      <c r="B572" s="20" t="str">
        <f>$B$570</f>
        <v>ESTRATEGIA 4</v>
      </c>
      <c r="C572" s="20" t="str">
        <f>$C$570</f>
        <v>OBJETIVO OPERATIVO 1</v>
      </c>
      <c r="D572" s="20" t="b">
        <f>Madera!B58</f>
        <v>0</v>
      </c>
      <c r="E572" s="20" t="str">
        <f>Madera!C58</f>
        <v>Media</v>
      </c>
      <c r="F572" s="21" t="str">
        <f>Madera!D58</f>
        <v>2025-II(fin ciclo)</v>
      </c>
      <c r="G572" s="20" t="str">
        <f>Madera!E58</f>
        <v>Análisis de capacidad operativa de la institución.</v>
      </c>
      <c r="H572" s="20" t="str">
        <f>Madera!F58</f>
        <v>Director de Carrera
Gestor Académico</v>
      </c>
      <c r="I572" s="20" t="str">
        <f>Madera!G58</f>
        <v>Análisis de requerimientos sustantivo y no sustantivo de la carrera</v>
      </c>
      <c r="J572" s="20" t="str">
        <f>Madera!H58</f>
        <v>Resolución de aprobación por OCS de Estandarización de Carrera</v>
      </c>
      <c r="K572" s="62">
        <f>Madera!I58</f>
        <v>0</v>
      </c>
      <c r="L572" s="160">
        <f>Madera!J58</f>
        <v>0</v>
      </c>
      <c r="M572" s="20">
        <f>Madera!K58</f>
        <v>0</v>
      </c>
      <c r="N572" s="20">
        <f>Madera!L58</f>
        <v>0</v>
      </c>
      <c r="O572" s="20" t="str">
        <f>Madera!M58</f>
        <v>NO ENTREGADO</v>
      </c>
      <c r="P572" s="20">
        <v>2025</v>
      </c>
    </row>
    <row r="573" spans="1:16" ht="14.25" customHeight="1">
      <c r="A573" s="20" t="s">
        <v>502</v>
      </c>
      <c r="B573" s="20" t="str">
        <f>'Seguridad y Prevención de riesg'!B10</f>
        <v>ESTRATEGIA 1</v>
      </c>
      <c r="C573" s="20" t="str">
        <f>'Seguridad y Prevención de riesg'!E10</f>
        <v>OBJETIVO OPERATIVO 1</v>
      </c>
      <c r="D573" s="20" t="b">
        <f>'Seguridad y Prevención de riesg'!B11</f>
        <v>0</v>
      </c>
      <c r="E573" s="20" t="str">
        <f>'Seguridad y Prevención de riesg'!C11</f>
        <v>Media</v>
      </c>
      <c r="F573" s="21" t="str">
        <f>'Seguridad y Prevención de riesg'!D11</f>
        <v>2025-I ( Inicio ciclo)</v>
      </c>
      <c r="G573" s="20" t="str">
        <f>'Seguridad y Prevención de riesg'!E11</f>
        <v>Planificar y estructurar las capacitaciones en el área técnica y didáctica.</v>
      </c>
      <c r="H573" s="20" t="str">
        <f>'Seguridad y Prevención de riesg'!F11</f>
        <v>Director/a carrera
Docentes</v>
      </c>
      <c r="I573" s="20" t="str">
        <f>'Seguridad y Prevención de riesg'!G11</f>
        <v>Desarrollo del plan de capacitación docente</v>
      </c>
      <c r="J573" s="20" t="str">
        <f>'Seguridad y Prevención de riesg'!H11</f>
        <v>Plan de capacitación docente.</v>
      </c>
      <c r="K573" s="62">
        <f>'Seguridad y Prevención de riesg'!I11</f>
        <v>1</v>
      </c>
      <c r="L573" s="160">
        <f>'Seguridad y Prevención de riesg'!J11</f>
        <v>0</v>
      </c>
      <c r="M573" s="20">
        <f>'Seguridad y Prevención de riesg'!K11</f>
        <v>0</v>
      </c>
      <c r="N573" s="20">
        <f>'Seguridad y Prevención de riesg'!L11</f>
        <v>0</v>
      </c>
      <c r="O573" s="20">
        <f>'Seguridad y Prevención de riesg'!M11</f>
        <v>0</v>
      </c>
      <c r="P573" s="20">
        <v>2025</v>
      </c>
    </row>
    <row r="574" spans="1:16" ht="14.25" customHeight="1">
      <c r="A574" s="20" t="s">
        <v>502</v>
      </c>
      <c r="B574" s="20" t="str">
        <f t="shared" ref="B574:B583" si="50">$B$573</f>
        <v>ESTRATEGIA 1</v>
      </c>
      <c r="C574" s="20" t="str">
        <f>$C$573</f>
        <v>OBJETIVO OPERATIVO 1</v>
      </c>
      <c r="D574" s="20" t="b">
        <f>'Seguridad y Prevención de riesg'!B12</f>
        <v>0</v>
      </c>
      <c r="E574" s="20" t="str">
        <f>'Seguridad y Prevención de riesg'!C12</f>
        <v>Baja</v>
      </c>
      <c r="F574" s="21" t="str">
        <f>'Seguridad y Prevención de riesg'!D12</f>
        <v>2025-II ( fin ciclo)</v>
      </c>
      <c r="G574" s="20" t="str">
        <f>'Seguridad y Prevención de riesg'!E12</f>
        <v>Ejecutar las capacitaciones planificadas.</v>
      </c>
      <c r="H574" s="20" t="str">
        <f>'Seguridad y Prevención de riesg'!F12</f>
        <v>Director/a carrera
Docentes</v>
      </c>
      <c r="I574" s="20" t="str">
        <f>'Seguridad y Prevención de riesg'!G12</f>
        <v>informar sobre el plan de capacitación docente</v>
      </c>
      <c r="J574" s="20" t="str">
        <f>'Seguridad y Prevención de riesg'!H12</f>
        <v>Informe de ejecución del plan de capacitación docente.</v>
      </c>
      <c r="K574" s="62">
        <f>'Seguridad y Prevención de riesg'!I12</f>
        <v>1</v>
      </c>
      <c r="L574" s="160">
        <f>'Seguridad y Prevención de riesg'!J12</f>
        <v>0</v>
      </c>
      <c r="M574" s="20">
        <f>'Seguridad y Prevención de riesg'!K12</f>
        <v>0</v>
      </c>
      <c r="N574" s="20">
        <f>'Seguridad y Prevención de riesg'!L12</f>
        <v>0</v>
      </c>
      <c r="O574" s="20" t="str">
        <f>'Seguridad y Prevención de riesg'!M12</f>
        <v>NO consta el informe final del plan de capacitación docente.</v>
      </c>
      <c r="P574" s="20">
        <v>2025</v>
      </c>
    </row>
    <row r="575" spans="1:16" ht="14.25" customHeight="1">
      <c r="A575" s="20" t="s">
        <v>502</v>
      </c>
      <c r="B575" s="20" t="str">
        <f t="shared" si="50"/>
        <v>ESTRATEGIA 1</v>
      </c>
      <c r="C575" s="20" t="str">
        <f>$C$573</f>
        <v>OBJETIVO OPERATIVO 1</v>
      </c>
      <c r="D575" s="20" t="b">
        <f>'Seguridad y Prevención de riesg'!B13</f>
        <v>0</v>
      </c>
      <c r="E575" s="20" t="str">
        <f>'Seguridad y Prevención de riesg'!C13</f>
        <v>Media</v>
      </c>
      <c r="F575" s="21" t="str">
        <f>'Seguridad y Prevención de riesg'!D13</f>
        <v>2025-II( fin ciclo)
2025-I( fin ciclo)</v>
      </c>
      <c r="G575" s="20" t="str">
        <f>'Seguridad y Prevención de riesg'!E13</f>
        <v>Entregar los resultados de los procesos de Evaluación al desempeño Docente y acciones realizadas.</v>
      </c>
      <c r="H575" s="20" t="str">
        <f>'Seguridad y Prevención de riesg'!F13</f>
        <v>Director/a carrera
Docentes</v>
      </c>
      <c r="I575" s="20" t="str">
        <f>'Seguridad y Prevención de riesg'!G13</f>
        <v>Generar una matriz para el registro de entrega de evaluaciones docentes</v>
      </c>
      <c r="J575" s="20" t="str">
        <f>'Seguridad y Prevención de riesg'!H13</f>
        <v>Registro de entrega de evaluaciones a los docentes</v>
      </c>
      <c r="K575" s="62">
        <f>'Seguridad y Prevención de riesg'!I13</f>
        <v>1</v>
      </c>
      <c r="L575" s="160">
        <f>'Seguridad y Prevención de riesg'!J13</f>
        <v>0</v>
      </c>
      <c r="M575" s="20">
        <f>'Seguridad y Prevención de riesg'!K13</f>
        <v>0</v>
      </c>
      <c r="N575" s="20">
        <f>'Seguridad y Prevención de riesg'!L13</f>
        <v>0</v>
      </c>
      <c r="O575" s="20" t="str">
        <f>'Seguridad y Prevención de riesg'!M13</f>
        <v>NO consta el registro de entrega de evaluaciones docentes.</v>
      </c>
      <c r="P575" s="20">
        <v>2025</v>
      </c>
    </row>
    <row r="576" spans="1:16" ht="14.25" customHeight="1">
      <c r="A576" s="20" t="s">
        <v>502</v>
      </c>
      <c r="B576" s="20" t="str">
        <f t="shared" si="50"/>
        <v>ESTRATEGIA 1</v>
      </c>
      <c r="C576" s="20" t="str">
        <f>'Seguridad y Prevención de riesg'!E14</f>
        <v>OBJETIVO OPERATIVO 2</v>
      </c>
      <c r="D576" s="20" t="b">
        <f>'Seguridad y Prevención de riesg'!B15</f>
        <v>0</v>
      </c>
      <c r="E576" s="20" t="str">
        <f>'Seguridad y Prevención de riesg'!C15</f>
        <v>Baja</v>
      </c>
      <c r="F576" s="21" t="str">
        <f>'Seguridad y Prevención de riesg'!D15</f>
        <v>2025-I (inicio ciclo)
2025-II(inicio ciclo)</v>
      </c>
      <c r="G576" s="20" t="str">
        <f>'Seguridad y Prevención de riesg'!E15</f>
        <v>Socializar con los docentes el uso adecuado de la plataforma Moodle.</v>
      </c>
      <c r="H576" s="20" t="str">
        <f>'Seguridad y Prevención de riesg'!F15</f>
        <v>Responsable de Moodle de la carrera</v>
      </c>
      <c r="I576" s="20" t="str">
        <f>'Seguridad y Prevención de riesg'!G15</f>
        <v>Realizar la socialización y generar un informe sobre el uso del Moodle</v>
      </c>
      <c r="J576" s="20" t="str">
        <f>'Seguridad y Prevención de riesg'!H15</f>
        <v>Informe de socialización / inducción a los docentes</v>
      </c>
      <c r="K576" s="62">
        <f>'Seguridad y Prevención de riesg'!I15</f>
        <v>0.5</v>
      </c>
      <c r="L576" s="160">
        <f>'Seguridad y Prevención de riesg'!J15</f>
        <v>0</v>
      </c>
      <c r="M576" s="20">
        <f>'Seguridad y Prevención de riesg'!K15</f>
        <v>0</v>
      </c>
      <c r="N576" s="20">
        <f>'Seguridad y Prevención de riesg'!L15</f>
        <v>0</v>
      </c>
      <c r="O576" s="20" t="str">
        <f>'Seguridad y Prevención de riesg'!M15</f>
        <v>NO consta el informe del ciclo académico 2025-II</v>
      </c>
      <c r="P576" s="20">
        <v>2025</v>
      </c>
    </row>
    <row r="577" spans="1:16" ht="14.25" customHeight="1">
      <c r="A577" s="20" t="s">
        <v>502</v>
      </c>
      <c r="B577" s="20" t="str">
        <f t="shared" si="50"/>
        <v>ESTRATEGIA 1</v>
      </c>
      <c r="C577" s="20" t="str">
        <f>$C$576</f>
        <v>OBJETIVO OPERATIVO 2</v>
      </c>
      <c r="D577" s="20" t="b">
        <f>'Seguridad y Prevención de riesg'!B16</f>
        <v>0</v>
      </c>
      <c r="E577" s="20" t="str">
        <f>'Seguridad y Prevención de riesg'!C16</f>
        <v>Media</v>
      </c>
      <c r="F577" s="21" t="str">
        <f>'Seguridad y Prevención de riesg'!D16</f>
        <v>2025-II( fin ciclo)
2025-I( fin ciclo)</v>
      </c>
      <c r="G577" s="20" t="str">
        <f>'Seguridad y Prevención de riesg'!E16</f>
        <v>Revisar el aporte de cada docente en la plataforma Moodle</v>
      </c>
      <c r="H577" s="20" t="str">
        <f>'Seguridad y Prevención de riesg'!F16</f>
        <v>Responsable de Moodle de la carrera</v>
      </c>
      <c r="I577" s="20" t="str">
        <f>'Seguridad y Prevención de riesg'!G16</f>
        <v>Controlar el uso adecuado de la plataforma y generar un informe.</v>
      </c>
      <c r="J577" s="20" t="str">
        <f>'Seguridad y Prevención de riesg'!H16</f>
        <v>Informe de actividades en la plataforma Moodle.</v>
      </c>
      <c r="K577" s="62">
        <f>'Seguridad y Prevención de riesg'!I16</f>
        <v>0.5</v>
      </c>
      <c r="L577" s="160">
        <f>'Seguridad y Prevención de riesg'!J16</f>
        <v>0</v>
      </c>
      <c r="M577" s="20">
        <f>'Seguridad y Prevención de riesg'!K16</f>
        <v>0</v>
      </c>
      <c r="N577" s="20">
        <f>'Seguridad y Prevención de riesg'!L16</f>
        <v>0</v>
      </c>
      <c r="O577" s="20" t="str">
        <f>'Seguridad y Prevención de riesg'!M16</f>
        <v>NO consta el informe del ciclo académico 2025-II</v>
      </c>
      <c r="P577" s="20">
        <v>2025</v>
      </c>
    </row>
    <row r="578" spans="1:16" ht="14.25" customHeight="1">
      <c r="A578" s="20" t="s">
        <v>502</v>
      </c>
      <c r="B578" s="20" t="str">
        <f t="shared" si="50"/>
        <v>ESTRATEGIA 1</v>
      </c>
      <c r="C578" s="20" t="str">
        <f>'Seguridad y Prevención de riesg'!E17</f>
        <v>OBJETIVO OPERATIVO 3</v>
      </c>
      <c r="D578" s="20" t="b">
        <f>'Seguridad y Prevención de riesg'!B18</f>
        <v>0</v>
      </c>
      <c r="E578" s="20" t="str">
        <f>'Seguridad y Prevención de riesg'!C18</f>
        <v>Alta</v>
      </c>
      <c r="F578" s="21" t="str">
        <f>'Seguridad y Prevención de riesg'!D18</f>
        <v>2025-I(inicio ciclo)
2025-II (inicio ciclo)</v>
      </c>
      <c r="G578" s="20" t="str">
        <f>'Seguridad y Prevención de riesg'!E18</f>
        <v>Planificar y desarrollar una reunión del colectivo académico</v>
      </c>
      <c r="H578" s="20" t="str">
        <f>'Seguridad y Prevención de riesg'!F18</f>
        <v>Director/a carrera</v>
      </c>
      <c r="I578" s="20" t="str">
        <f>'Seguridad y Prevención de riesg'!G18</f>
        <v>Realizar y evidenciar los colectivos académicos</v>
      </c>
      <c r="J578" s="20" t="str">
        <f>'Seguridad y Prevención de riesg'!H18</f>
        <v>Convocatoria al colectivo de académico</v>
      </c>
      <c r="K578" s="62">
        <f>'Seguridad y Prevención de riesg'!I18</f>
        <v>1</v>
      </c>
      <c r="L578" s="160">
        <f>'Seguridad y Prevención de riesg'!J18</f>
        <v>0</v>
      </c>
      <c r="M578" s="20">
        <f>'Seguridad y Prevención de riesg'!K18</f>
        <v>0</v>
      </c>
      <c r="N578" s="20">
        <f>'Seguridad y Prevención de riesg'!L18</f>
        <v>0</v>
      </c>
      <c r="O578" s="20">
        <f>'Seguridad y Prevención de riesg'!M18</f>
        <v>0</v>
      </c>
      <c r="P578" s="20">
        <v>2025</v>
      </c>
    </row>
    <row r="579" spans="1:16" ht="14.25" customHeight="1">
      <c r="A579" s="20" t="s">
        <v>502</v>
      </c>
      <c r="B579" s="20" t="str">
        <f t="shared" si="50"/>
        <v>ESTRATEGIA 1</v>
      </c>
      <c r="C579" s="20" t="str">
        <f>$C$578</f>
        <v>OBJETIVO OPERATIVO 3</v>
      </c>
      <c r="D579" s="20" t="b">
        <f>'Seguridad y Prevención de riesg'!B19</f>
        <v>0</v>
      </c>
      <c r="E579" s="20" t="str">
        <f>'Seguridad y Prevención de riesg'!C19</f>
        <v>Media</v>
      </c>
      <c r="F579" s="21" t="str">
        <f>'Seguridad y Prevención de riesg'!D19</f>
        <v>2025-II(fin de ciclo)
2025-I(fin de ciclo)</v>
      </c>
      <c r="G579" s="20" t="str">
        <f>'Seguridad y Prevención de riesg'!E19</f>
        <v>Revisión y actualización de los PEAS</v>
      </c>
      <c r="H579" s="20" t="str">
        <f>'Seguridad y Prevención de riesg'!F19</f>
        <v>Director/a carrera
Docentes</v>
      </c>
      <c r="I579" s="20" t="str">
        <f>'Seguridad y Prevención de riesg'!G19</f>
        <v>Revisar si la bibliografía de la carrera es la adecuada en colectivos  según PEAS y Colectivos para el acervo bibliográfico</v>
      </c>
      <c r="J579" s="20" t="str">
        <f>'Seguridad y Prevención de riesg'!H19</f>
        <v>Acervo bibliográfico de todas las asignaturas de la carrera, Informes de colectivos y PEAS revisados</v>
      </c>
      <c r="K579" s="62">
        <f>'Seguridad y Prevención de riesg'!I19</f>
        <v>0.5</v>
      </c>
      <c r="L579" s="160">
        <f>'Seguridad y Prevención de riesg'!J19</f>
        <v>0</v>
      </c>
      <c r="M579" s="20">
        <f>'Seguridad y Prevención de riesg'!K19</f>
        <v>0</v>
      </c>
      <c r="N579" s="20">
        <f>'Seguridad y Prevención de riesg'!L19</f>
        <v>0</v>
      </c>
      <c r="O579" s="20" t="str">
        <f>'Seguridad y Prevención de riesg'!M19</f>
        <v>NO se encuentran los acervos bibliográficos.</v>
      </c>
      <c r="P579" s="20">
        <v>2025</v>
      </c>
    </row>
    <row r="580" spans="1:16" ht="14.25" customHeight="1">
      <c r="A580" s="20" t="s">
        <v>502</v>
      </c>
      <c r="B580" s="20" t="str">
        <f t="shared" si="50"/>
        <v>ESTRATEGIA 1</v>
      </c>
      <c r="C580" s="20" t="str">
        <f>$C$578</f>
        <v>OBJETIVO OPERATIVO 3</v>
      </c>
      <c r="D580" s="20" t="b">
        <f>'Seguridad y Prevención de riesg'!B20</f>
        <v>0</v>
      </c>
      <c r="E580" s="20" t="str">
        <f>'Seguridad y Prevención de riesg'!C20</f>
        <v>Media</v>
      </c>
      <c r="F580" s="21" t="str">
        <f>'Seguridad y Prevención de riesg'!D20</f>
        <v>2025-II(fin de ciclo)
2025-I(fin de ciclo)</v>
      </c>
      <c r="G580" s="20" t="str">
        <f>'Seguridad y Prevención de riesg'!E20</f>
        <v>Actas de reunión por colectivo académico</v>
      </c>
      <c r="H580" s="20" t="str">
        <f>'Seguridad y Prevención de riesg'!F20</f>
        <v>Director/a carrera
Docentes</v>
      </c>
      <c r="I580" s="20" t="str">
        <f>'Seguridad y Prevención de riesg'!G20</f>
        <v>Evidenciar el trabajo de colectivos</v>
      </c>
      <c r="J580" s="20" t="str">
        <f>'Seguridad y Prevención de riesg'!H20</f>
        <v>Actas de colectivos</v>
      </c>
      <c r="K580" s="62">
        <f>'Seguridad y Prevención de riesg'!I20</f>
        <v>1</v>
      </c>
      <c r="L580" s="160">
        <f>'Seguridad y Prevención de riesg'!J20</f>
        <v>0</v>
      </c>
      <c r="M580" s="20">
        <f>'Seguridad y Prevención de riesg'!K20</f>
        <v>0</v>
      </c>
      <c r="N580" s="20">
        <f>'Seguridad y Prevención de riesg'!L20</f>
        <v>0</v>
      </c>
      <c r="O580" s="20">
        <f>'Seguridad y Prevención de riesg'!M20</f>
        <v>0</v>
      </c>
      <c r="P580" s="20">
        <v>2025</v>
      </c>
    </row>
    <row r="581" spans="1:16" ht="14.25" customHeight="1">
      <c r="A581" s="20" t="s">
        <v>502</v>
      </c>
      <c r="B581" s="20" t="str">
        <f t="shared" si="50"/>
        <v>ESTRATEGIA 1</v>
      </c>
      <c r="C581" s="20" t="str">
        <f>'Seguridad y Prevención de riesg'!E21</f>
        <v>OBJETIVO OPERATIVO 4</v>
      </c>
      <c r="D581" s="20" t="b">
        <f>'Seguridad y Prevención de riesg'!B22</f>
        <v>0</v>
      </c>
      <c r="E581" s="20" t="str">
        <f>'Seguridad y Prevención de riesg'!C22</f>
        <v>Baja</v>
      </c>
      <c r="F581" s="21" t="str">
        <f>'Seguridad y Prevención de riesg'!D22</f>
        <v>2025-I(inicio ciclo)
2025-II (inicio ciclo)</v>
      </c>
      <c r="G581" s="20" t="str">
        <f>'Seguridad y Prevención de riesg'!E22</f>
        <v>Recopilar las fichas de afinidad de los docentes de acuerdo al nivel de estudio.</v>
      </c>
      <c r="H581" s="20" t="str">
        <f>'Seguridad y Prevención de riesg'!F22</f>
        <v>Director/a carrera</v>
      </c>
      <c r="I581" s="20" t="str">
        <f>'Seguridad y Prevención de riesg'!G22</f>
        <v>Mantener actualizadas las fichas de afinidad de los docentes de acuerdo a la pertinencia en la carrera</v>
      </c>
      <c r="J581" s="20" t="str">
        <f>'Seguridad y Prevención de riesg'!H22</f>
        <v>Fichas de afinidad de los docentes.</v>
      </c>
      <c r="K581" s="62">
        <f>'Seguridad y Prevención de riesg'!I22</f>
        <v>0.5</v>
      </c>
      <c r="L581" s="160">
        <f>'Seguridad y Prevención de riesg'!J22</f>
        <v>0</v>
      </c>
      <c r="M581" s="20">
        <f>'Seguridad y Prevención de riesg'!K22</f>
        <v>0</v>
      </c>
      <c r="N581" s="20">
        <f>'Seguridad y Prevención de riesg'!L22</f>
        <v>0</v>
      </c>
      <c r="O581" s="20" t="str">
        <f>'Seguridad y Prevención de riesg'!M22</f>
        <v>NO constan las fichas de afinidad del ciclo académico 2025-II</v>
      </c>
      <c r="P581" s="20">
        <v>2025</v>
      </c>
    </row>
    <row r="582" spans="1:16" ht="14.25" customHeight="1">
      <c r="A582" s="20" t="s">
        <v>502</v>
      </c>
      <c r="B582" s="20" t="str">
        <f t="shared" si="50"/>
        <v>ESTRATEGIA 1</v>
      </c>
      <c r="C582" s="20" t="str">
        <f>$C$581</f>
        <v>OBJETIVO OPERATIVO 4</v>
      </c>
      <c r="D582" s="20">
        <f>'Seguridad y Prevención de riesg'!B23</f>
        <v>0</v>
      </c>
      <c r="E582" s="20" t="str">
        <f>'Seguridad y Prevención de riesg'!C23</f>
        <v>Alta</v>
      </c>
      <c r="F582" s="21" t="str">
        <f>'Seguridad y Prevención de riesg'!D23</f>
        <v>2025-I(inicio de ciclo)
2025-II(inicio de ciclo)</v>
      </c>
      <c r="G582" s="20" t="str">
        <f>'Seguridad y Prevención de riesg'!E23</f>
        <v>Elaboración del distributivo docente de la carrera</v>
      </c>
      <c r="H582" s="20" t="str">
        <f>'Seguridad y Prevención de riesg'!F23</f>
        <v>Director/a carrera</v>
      </c>
      <c r="I582" s="20" t="str">
        <f>'Seguridad y Prevención de riesg'!G23</f>
        <v>Evidenciar la carga horaria y distributivos de los docentes</v>
      </c>
      <c r="J582" s="20" t="str">
        <f>'Seguridad y Prevención de riesg'!H23</f>
        <v>Distributivo docente aprobado.</v>
      </c>
      <c r="K582" s="62">
        <f>'Seguridad y Prevención de riesg'!I23</f>
        <v>0.5</v>
      </c>
      <c r="L582" s="160">
        <f>'Seguridad y Prevención de riesg'!J23</f>
        <v>0</v>
      </c>
      <c r="M582" s="20">
        <f>'Seguridad y Prevención de riesg'!K23</f>
        <v>0</v>
      </c>
      <c r="N582" s="20">
        <f>'Seguridad y Prevención de riesg'!L23</f>
        <v>0</v>
      </c>
      <c r="O582" s="20" t="str">
        <f>'Seguridad y Prevención de riesg'!M23</f>
        <v>NO consta el distributivo docente del ciclo académico 2025-II</v>
      </c>
      <c r="P582" s="20">
        <v>2025</v>
      </c>
    </row>
    <row r="583" spans="1:16" ht="14.25" customHeight="1">
      <c r="A583" s="20" t="s">
        <v>502</v>
      </c>
      <c r="B583" s="20" t="str">
        <f t="shared" si="50"/>
        <v>ESTRATEGIA 1</v>
      </c>
      <c r="C583" s="20" t="str">
        <f>$C$581</f>
        <v>OBJETIVO OPERATIVO 4</v>
      </c>
      <c r="D583" s="20" t="b">
        <f>'Seguridad y Prevención de riesg'!B24</f>
        <v>0</v>
      </c>
      <c r="E583" s="20" t="str">
        <f>'Seguridad y Prevención de riesg'!C24</f>
        <v>Media</v>
      </c>
      <c r="F583" s="21" t="str">
        <f>'Seguridad y Prevención de riesg'!D24</f>
        <v>2025-I(inicio de ciclo)
2025-II(inicio de ciclo)</v>
      </c>
      <c r="G583" s="20" t="str">
        <f>'Seguridad y Prevención de riesg'!E24</f>
        <v>Designar responsables de la administración de la plataforma, tutorías , prácticas, vinculación , etc.</v>
      </c>
      <c r="H583" s="20" t="str">
        <f>'Seguridad y Prevención de riesg'!F24</f>
        <v>Director/a carrera</v>
      </c>
      <c r="I583" s="20" t="str">
        <f>'Seguridad y Prevención de riesg'!G24</f>
        <v>Realizar las designaciones y evidenciar los responsables y tutores de la carrera</v>
      </c>
      <c r="J583" s="20" t="str">
        <f>'Seguridad y Prevención de riesg'!H24</f>
        <v>Oficios de designaciones de responsables.</v>
      </c>
      <c r="K583" s="62">
        <f>'Seguridad y Prevención de riesg'!I24</f>
        <v>0.5</v>
      </c>
      <c r="L583" s="160">
        <f>'Seguridad y Prevención de riesg'!J24</f>
        <v>0</v>
      </c>
      <c r="M583" s="20">
        <f>'Seguridad y Prevención de riesg'!K24</f>
        <v>0</v>
      </c>
      <c r="N583" s="20">
        <f>'Seguridad y Prevención de riesg'!L24</f>
        <v>0</v>
      </c>
      <c r="O583" s="20" t="str">
        <f>'Seguridad y Prevención de riesg'!M24</f>
        <v>NO constan las designaciones para el ciclo 2025-II</v>
      </c>
      <c r="P583" s="20">
        <v>2025</v>
      </c>
    </row>
    <row r="584" spans="1:16" ht="14.25" customHeight="1">
      <c r="A584" s="20" t="s">
        <v>502</v>
      </c>
      <c r="B584" s="20" t="str">
        <f>'Seguridad y Prevención de riesg'!B25</f>
        <v>ESTRATEGIA 2</v>
      </c>
      <c r="C584" s="20" t="str">
        <f>'Seguridad y Prevención de riesg'!E25</f>
        <v>OBJETIVO OPERATIVO 1</v>
      </c>
      <c r="D584" s="20" t="b">
        <f>'Seguridad y Prevención de riesg'!B26</f>
        <v>0</v>
      </c>
      <c r="E584" s="20" t="str">
        <f>'Seguridad y Prevención de riesg'!C26</f>
        <v>Alta</v>
      </c>
      <c r="F584" s="21" t="str">
        <f>'Seguridad y Prevención de riesg'!D26</f>
        <v>2025-I(Inicio de ciclo)
2025-II(Inicio de ciclo)</v>
      </c>
      <c r="G584" s="20" t="str">
        <f>'Seguridad y Prevención de riesg'!E26</f>
        <v>Elaborar y presentar el calendario de actividades de la o las carreras, horarios de clases y laboratorios.</v>
      </c>
      <c r="H584" s="20" t="str">
        <f>'Seguridad y Prevención de riesg'!F26</f>
        <v>Director/a carrera</v>
      </c>
      <c r="I584" s="20" t="str">
        <f>'Seguridad y Prevención de riesg'!G26</f>
        <v>Realizar los documentos necesarios para el desarrollo de las actividades de cada periodo de la carrera</v>
      </c>
      <c r="J584" s="20" t="str">
        <f>'Seguridad y Prevención de riesg'!H26</f>
        <v>Calendario y horarios aprobados</v>
      </c>
      <c r="K584" s="62">
        <f>'Seguridad y Prevención de riesg'!I26</f>
        <v>1</v>
      </c>
      <c r="L584" s="160">
        <f>'Seguridad y Prevención de riesg'!J26</f>
        <v>0</v>
      </c>
      <c r="M584" s="20">
        <f>'Seguridad y Prevención de riesg'!K26</f>
        <v>0</v>
      </c>
      <c r="N584" s="20">
        <f>'Seguridad y Prevención de riesg'!L26</f>
        <v>0</v>
      </c>
      <c r="O584" s="20">
        <f>'Seguridad y Prevención de riesg'!M26</f>
        <v>0</v>
      </c>
      <c r="P584" s="20">
        <v>2025</v>
      </c>
    </row>
    <row r="585" spans="1:16" ht="14.25" customHeight="1">
      <c r="A585" s="20" t="s">
        <v>502</v>
      </c>
      <c r="B585" s="20" t="str">
        <f t="shared" ref="B585:B595" si="51">$B$584</f>
        <v>ESTRATEGIA 2</v>
      </c>
      <c r="C585" s="20" t="str">
        <f t="shared" ref="C585:C595" si="52">$C$584</f>
        <v>OBJETIVO OPERATIVO 1</v>
      </c>
      <c r="D585" s="20" t="b">
        <f>'Seguridad y Prevención de riesg'!B27</f>
        <v>0</v>
      </c>
      <c r="E585" s="20" t="str">
        <f>'Seguridad y Prevención de riesg'!C27</f>
        <v>Media</v>
      </c>
      <c r="F585" s="21" t="str">
        <f>'Seguridad y Prevención de riesg'!D27</f>
        <v>2025-I(Todo el ciclo)
2025-II(Todo de ciclo)</v>
      </c>
      <c r="G585" s="20" t="str">
        <f>'Seguridad y Prevención de riesg'!E27</f>
        <v>Requerimiento y aprobación de Documentos académicos. (Sílabos, guías practicas e informes de avance de Silabo)</v>
      </c>
      <c r="H585" s="20" t="str">
        <f>'Seguridad y Prevención de riesg'!F27</f>
        <v>Director/a carrera - gestor académico</v>
      </c>
      <c r="I585" s="20" t="str">
        <f>'Seguridad y Prevención de riesg'!G27</f>
        <v>Solicitud de documentos académicos por materias</v>
      </c>
      <c r="J585" s="20" t="str">
        <f>'Seguridad y Prevención de riesg'!H27</f>
        <v>Documentación aprobada.</v>
      </c>
      <c r="K585" s="62">
        <f>'Seguridad y Prevención de riesg'!I27</f>
        <v>0</v>
      </c>
      <c r="L585" s="160">
        <f>'Seguridad y Prevención de riesg'!J27</f>
        <v>0</v>
      </c>
      <c r="M585" s="20">
        <f>'Seguridad y Prevención de riesg'!K27</f>
        <v>0</v>
      </c>
      <c r="N585" s="20">
        <f>'Seguridad y Prevención de riesg'!L27</f>
        <v>0</v>
      </c>
      <c r="O585" s="20" t="str">
        <f>'Seguridad y Prevención de riesg'!M27</f>
        <v>NO sube las evidencias de esta documentación</v>
      </c>
      <c r="P585" s="20">
        <v>2025</v>
      </c>
    </row>
    <row r="586" spans="1:16" ht="14.25" customHeight="1">
      <c r="A586" s="20" t="s">
        <v>502</v>
      </c>
      <c r="B586" s="20" t="str">
        <f t="shared" si="51"/>
        <v>ESTRATEGIA 2</v>
      </c>
      <c r="C586" s="20" t="str">
        <f t="shared" si="52"/>
        <v>OBJETIVO OPERATIVO 1</v>
      </c>
      <c r="D586" s="20" t="b">
        <f>'Seguridad y Prevención de riesg'!B28</f>
        <v>0</v>
      </c>
      <c r="E586" s="20" t="str">
        <f>'Seguridad y Prevención de riesg'!C28</f>
        <v>Media</v>
      </c>
      <c r="F586" s="21" t="str">
        <f>'Seguridad y Prevención de riesg'!D28</f>
        <v>2025-I(Todo el ciclo)
2025-II(Todo de ciclo)</v>
      </c>
      <c r="G586" s="20" t="str">
        <f>'Seguridad y Prevención de riesg'!E28</f>
        <v>Seguimiento al cumplimiento de la documentación académica.</v>
      </c>
      <c r="H586" s="20" t="str">
        <f>'Seguridad y Prevención de riesg'!F28</f>
        <v>Director/a carrera - gestor académico</v>
      </c>
      <c r="I586" s="20" t="str">
        <f>'Seguridad y Prevención de riesg'!G28</f>
        <v>Revisión de documentos académicos por materias</v>
      </c>
      <c r="J586" s="20" t="str">
        <f>'Seguridad y Prevención de riesg'!H28</f>
        <v>Informe de carrera sobre la documentación recibida.</v>
      </c>
      <c r="K586" s="62">
        <f>'Seguridad y Prevención de riesg'!I28</f>
        <v>0.5</v>
      </c>
      <c r="L586" s="160">
        <f>'Seguridad y Prevención de riesg'!J28</f>
        <v>0</v>
      </c>
      <c r="M586" s="20">
        <f>'Seguridad y Prevención de riesg'!K28</f>
        <v>0</v>
      </c>
      <c r="N586" s="20">
        <f>'Seguridad y Prevención de riesg'!L28</f>
        <v>0</v>
      </c>
      <c r="O586" s="20" t="str">
        <f>'Seguridad y Prevención de riesg'!M28</f>
        <v>NO consta el informe de carrera sobre la documentación recibida en el ciclo académico 2025-II</v>
      </c>
      <c r="P586" s="20">
        <v>2025</v>
      </c>
    </row>
    <row r="587" spans="1:16" ht="14.25" customHeight="1">
      <c r="A587" s="20" t="s">
        <v>502</v>
      </c>
      <c r="B587" s="20" t="str">
        <f t="shared" si="51"/>
        <v>ESTRATEGIA 2</v>
      </c>
      <c r="C587" s="20" t="str">
        <f t="shared" si="52"/>
        <v>OBJETIVO OPERATIVO 1</v>
      </c>
      <c r="D587" s="20" t="b">
        <f>'Seguridad y Prevención de riesg'!B29</f>
        <v>0</v>
      </c>
      <c r="E587" s="20" t="str">
        <f>'Seguridad y Prevención de riesg'!C29</f>
        <v>Baja</v>
      </c>
      <c r="F587" s="21" t="str">
        <f>'Seguridad y Prevención de riesg'!D29</f>
        <v>2025-I(Todo el ciclo)
2025-II(Todo de ciclo)</v>
      </c>
      <c r="G587" s="20" t="str">
        <f>'Seguridad y Prevención de riesg'!E29</f>
        <v>Reuniones de carrera  para socialización y toma de decisiones</v>
      </c>
      <c r="H587" s="20" t="str">
        <f>'Seguridad y Prevención de riesg'!F29</f>
        <v>Director/a carrera - gestor académico</v>
      </c>
      <c r="I587" s="20" t="str">
        <f>'Seguridad y Prevención de riesg'!G29</f>
        <v>Reuniones de carrera de acuerdo a requerimientos</v>
      </c>
      <c r="J587" s="20" t="str">
        <f>'Seguridad y Prevención de riesg'!H29</f>
        <v>Convocatorias, actas e informes de reuniones de carrera.</v>
      </c>
      <c r="K587" s="62">
        <f>'Seguridad y Prevención de riesg'!I29</f>
        <v>0.5</v>
      </c>
      <c r="L587" s="160">
        <f>'Seguridad y Prevención de riesg'!J29</f>
        <v>0</v>
      </c>
      <c r="M587" s="20">
        <f>'Seguridad y Prevención de riesg'!K29</f>
        <v>0</v>
      </c>
      <c r="N587" s="20">
        <f>'Seguridad y Prevención de riesg'!L29</f>
        <v>0</v>
      </c>
      <c r="O587" s="20" t="str">
        <f>'Seguridad y Prevención de riesg'!M29</f>
        <v>NO sube la información correspondiente al ciclo académico 2025-II</v>
      </c>
      <c r="P587" s="20">
        <v>2025</v>
      </c>
    </row>
    <row r="588" spans="1:16" ht="14.25" customHeight="1">
      <c r="A588" s="20" t="s">
        <v>502</v>
      </c>
      <c r="B588" s="20" t="str">
        <f t="shared" si="51"/>
        <v>ESTRATEGIA 2</v>
      </c>
      <c r="C588" s="20" t="str">
        <f t="shared" si="52"/>
        <v>OBJETIVO OPERATIVO 1</v>
      </c>
      <c r="D588" s="20" t="b">
        <f>'Seguridad y Prevención de riesg'!B30</f>
        <v>0</v>
      </c>
      <c r="E588" s="20" t="str">
        <f>'Seguridad y Prevención de riesg'!C30</f>
        <v>Baja</v>
      </c>
      <c r="F588" s="21">
        <f>'Seguridad y Prevención de riesg'!D30</f>
        <v>45838</v>
      </c>
      <c r="G588" s="20" t="str">
        <f>'Seguridad y Prevención de riesg'!E30</f>
        <v>Informe semestral POA 2025</v>
      </c>
      <c r="H588" s="20" t="str">
        <f>'Seguridad y Prevención de riesg'!F30</f>
        <v>Director/a carrera - gestor académico</v>
      </c>
      <c r="I588" s="20" t="str">
        <f>'Seguridad y Prevención de riesg'!G30</f>
        <v>Informar sobre el avance del  POA</v>
      </c>
      <c r="J588" s="20" t="str">
        <f>'Seguridad y Prevención de riesg'!H30</f>
        <v>Informe semestral seguimiento POA 2025</v>
      </c>
      <c r="K588" s="62">
        <f>'Seguridad y Prevención de riesg'!I30</f>
        <v>1</v>
      </c>
      <c r="L588" s="160">
        <f>'Seguridad y Prevención de riesg'!J30</f>
        <v>0</v>
      </c>
      <c r="M588" s="20">
        <f>'Seguridad y Prevención de riesg'!K30</f>
        <v>0</v>
      </c>
      <c r="N588" s="20">
        <f>'Seguridad y Prevención de riesg'!L30</f>
        <v>0</v>
      </c>
      <c r="O588" s="20">
        <f>'Seguridad y Prevención de riesg'!M30</f>
        <v>0</v>
      </c>
      <c r="P588" s="20">
        <v>2025</v>
      </c>
    </row>
    <row r="589" spans="1:16" ht="14.25" customHeight="1">
      <c r="A589" s="20" t="s">
        <v>502</v>
      </c>
      <c r="B589" s="20" t="str">
        <f t="shared" si="51"/>
        <v>ESTRATEGIA 2</v>
      </c>
      <c r="C589" s="20" t="str">
        <f t="shared" si="52"/>
        <v>OBJETIVO OPERATIVO 1</v>
      </c>
      <c r="D589" s="20" t="b">
        <f>'Seguridad y Prevención de riesg'!B31</f>
        <v>0</v>
      </c>
      <c r="E589" s="20" t="str">
        <f>'Seguridad y Prevención de riesg'!C31</f>
        <v>Baja</v>
      </c>
      <c r="F589" s="21">
        <f>'Seguridad y Prevención de riesg'!D31</f>
        <v>45991</v>
      </c>
      <c r="G589" s="20" t="str">
        <f>'Seguridad y Prevención de riesg'!E31</f>
        <v>Informe final POA 2025</v>
      </c>
      <c r="H589" s="20" t="str">
        <f>'Seguridad y Prevención de riesg'!F31</f>
        <v>Director/a carrera - gestor académico</v>
      </c>
      <c r="I589" s="20" t="str">
        <f>'Seguridad y Prevención de riesg'!G31</f>
        <v>Informar sobre el alcance final del  POA</v>
      </c>
      <c r="J589" s="20" t="str">
        <f>'Seguridad y Prevención de riesg'!H31</f>
        <v>Informe final POA 2025</v>
      </c>
      <c r="K589" s="62">
        <f>'Seguridad y Prevención de riesg'!I31</f>
        <v>1</v>
      </c>
      <c r="L589" s="160">
        <f>'Seguridad y Prevención de riesg'!J31</f>
        <v>0</v>
      </c>
      <c r="M589" s="20">
        <f>'Seguridad y Prevención de riesg'!K31</f>
        <v>0</v>
      </c>
      <c r="N589" s="20">
        <f>'Seguridad y Prevención de riesg'!L31</f>
        <v>0</v>
      </c>
      <c r="O589" s="20">
        <f>'Seguridad y Prevención de riesg'!M31</f>
        <v>0</v>
      </c>
      <c r="P589" s="20">
        <v>2025</v>
      </c>
    </row>
    <row r="590" spans="1:16" ht="14.25" customHeight="1">
      <c r="A590" s="20" t="s">
        <v>502</v>
      </c>
      <c r="B590" s="20" t="str">
        <f t="shared" si="51"/>
        <v>ESTRATEGIA 2</v>
      </c>
      <c r="C590" s="20" t="str">
        <f t="shared" si="52"/>
        <v>OBJETIVO OPERATIVO 1</v>
      </c>
      <c r="D590" s="20" t="b">
        <f>'Seguridad y Prevención de riesg'!B32</f>
        <v>0</v>
      </c>
      <c r="E590" s="20" t="str">
        <f>'Seguridad y Prevención de riesg'!C32</f>
        <v>Baja</v>
      </c>
      <c r="F590" s="21">
        <f>'Seguridad y Prevención de riesg'!D32</f>
        <v>46011</v>
      </c>
      <c r="G590" s="20" t="str">
        <f>'Seguridad y Prevención de riesg'!E32</f>
        <v>Elaborar la Planificación Operativa Anual 2025</v>
      </c>
      <c r="H590" s="20" t="str">
        <f>'Seguridad y Prevención de riesg'!F32</f>
        <v>Director/a carrera - gestor académico</v>
      </c>
      <c r="I590" s="20" t="str">
        <f>'Seguridad y Prevención de riesg'!G32</f>
        <v>Realizar la planificación para el 2026</v>
      </c>
      <c r="J590" s="20" t="str">
        <f>'Seguridad y Prevención de riesg'!H32</f>
        <v>POA 2026</v>
      </c>
      <c r="K590" s="62">
        <f>'Seguridad y Prevención de riesg'!I32</f>
        <v>1</v>
      </c>
      <c r="L590" s="160">
        <f>'Seguridad y Prevención de riesg'!J32</f>
        <v>0</v>
      </c>
      <c r="M590" s="20">
        <f>'Seguridad y Prevención de riesg'!K32</f>
        <v>0</v>
      </c>
      <c r="N590" s="20">
        <f>'Seguridad y Prevención de riesg'!L32</f>
        <v>0</v>
      </c>
      <c r="O590" s="20">
        <f>'Seguridad y Prevención de riesg'!M32</f>
        <v>0</v>
      </c>
      <c r="P590" s="20">
        <v>2025</v>
      </c>
    </row>
    <row r="591" spans="1:16" ht="14.25" customHeight="1">
      <c r="A591" s="20" t="s">
        <v>502</v>
      </c>
      <c r="B591" s="20" t="str">
        <f t="shared" si="51"/>
        <v>ESTRATEGIA 2</v>
      </c>
      <c r="C591" s="20" t="str">
        <f t="shared" si="52"/>
        <v>OBJETIVO OPERATIVO 1</v>
      </c>
      <c r="D591" s="20" t="b">
        <f>'Seguridad y Prevención de riesg'!B33</f>
        <v>0</v>
      </c>
      <c r="E591" s="20" t="str">
        <f>'Seguridad y Prevención de riesg'!C33</f>
        <v>Media</v>
      </c>
      <c r="F591" s="21" t="str">
        <f>'Seguridad y Prevención de riesg'!D33</f>
        <v>2025-I (inicio de ciclo)
2025-II (inicio de ciclo)</v>
      </c>
      <c r="G591" s="20" t="str">
        <f>'Seguridad y Prevención de riesg'!E33</f>
        <v>Designación de tutores de curso</v>
      </c>
      <c r="H591" s="20" t="str">
        <f>'Seguridad y Prevención de riesg'!F33</f>
        <v>Director/a carrera</v>
      </c>
      <c r="I591" s="20" t="str">
        <f>'Seguridad y Prevención de riesg'!G33</f>
        <v>Realizar las designaciones y evidenciar los responsables y tutores de la carrera</v>
      </c>
      <c r="J591" s="20" t="str">
        <f>'Seguridad y Prevención de riesg'!H33</f>
        <v>Documento de designación de tutores por parte del director de carrera</v>
      </c>
      <c r="K591" s="62">
        <f>'Seguridad y Prevención de riesg'!I33</f>
        <v>0.5</v>
      </c>
      <c r="L591" s="160">
        <f>'Seguridad y Prevención de riesg'!J33</f>
        <v>0</v>
      </c>
      <c r="M591" s="20">
        <f>'Seguridad y Prevención de riesg'!K33</f>
        <v>0</v>
      </c>
      <c r="N591" s="20">
        <f>'Seguridad y Prevención de riesg'!L33</f>
        <v>0</v>
      </c>
      <c r="O591" s="20" t="str">
        <f>'Seguridad y Prevención de riesg'!M33</f>
        <v>NO consta el documento de designación de tutores del ciclo académico 2025-II</v>
      </c>
      <c r="P591" s="20">
        <v>2025</v>
      </c>
    </row>
    <row r="592" spans="1:16" ht="14.25" customHeight="1">
      <c r="A592" s="20" t="s">
        <v>502</v>
      </c>
      <c r="B592" s="20" t="str">
        <f t="shared" si="51"/>
        <v>ESTRATEGIA 2</v>
      </c>
      <c r="C592" s="20" t="str">
        <f t="shared" si="52"/>
        <v>OBJETIVO OPERATIVO 1</v>
      </c>
      <c r="D592" s="20" t="b">
        <f>'Seguridad y Prevención de riesg'!B34</f>
        <v>0</v>
      </c>
      <c r="E592" s="20" t="str">
        <f>'Seguridad y Prevención de riesg'!C34</f>
        <v>Media</v>
      </c>
      <c r="F592" s="21" t="str">
        <f>'Seguridad y Prevención de riesg'!D34</f>
        <v>2025-I(Todo el ciclo)
2025-II(Todo el ciclo)</v>
      </c>
      <c r="G592" s="20" t="str">
        <f>'Seguridad y Prevención de riesg'!E34</f>
        <v>Ejecutar las actividades de la fase de SEGUIMIENTO del modelo metodológico del proceso de Seguimiento Curricular</v>
      </c>
      <c r="H592" s="20" t="str">
        <f>'Seguridad y Prevención de riesg'!F34</f>
        <v>Director/a de carrera - Gestor/a académico
Tutores de curso</v>
      </c>
      <c r="I592" s="20" t="str">
        <f>'Seguridad y Prevención de riesg'!G34</f>
        <v>Realizar el Seguimiento del modelo metodológico</v>
      </c>
      <c r="J592" s="20" t="str">
        <f>'Seguridad y Prevención de riesg'!H34</f>
        <v>Fase SEGUIMIENTO:
INICIO: Socialización de Tutorías Académicas
DURANTE: Registro de Calificaciones del Primer Parcial
FINAL : Registro de Calificación Finales</v>
      </c>
      <c r="K592" s="62">
        <f>'Seguridad y Prevención de riesg'!I34</f>
        <v>0.5</v>
      </c>
      <c r="L592" s="160">
        <f>'Seguridad y Prevención de riesg'!J34</f>
        <v>0</v>
      </c>
      <c r="M592" s="20">
        <f>'Seguridad y Prevención de riesg'!K34</f>
        <v>0</v>
      </c>
      <c r="N592" s="20">
        <f>'Seguridad y Prevención de riesg'!L34</f>
        <v>0</v>
      </c>
      <c r="O592" s="20" t="str">
        <f>'Seguridad y Prevención de riesg'!M34</f>
        <v>NO sube la información correspondiente al ciclo académico 2025-II</v>
      </c>
      <c r="P592" s="20">
        <v>2025</v>
      </c>
    </row>
    <row r="593" spans="1:16" ht="14.25" customHeight="1">
      <c r="A593" s="20" t="s">
        <v>502</v>
      </c>
      <c r="B593" s="20" t="str">
        <f t="shared" si="51"/>
        <v>ESTRATEGIA 2</v>
      </c>
      <c r="C593" s="20" t="str">
        <f t="shared" si="52"/>
        <v>OBJETIVO OPERATIVO 1</v>
      </c>
      <c r="D593" s="20" t="b">
        <f>'Seguridad y Prevención de riesg'!B35</f>
        <v>0</v>
      </c>
      <c r="E593" s="20" t="str">
        <f>'Seguridad y Prevención de riesg'!C35</f>
        <v>Media</v>
      </c>
      <c r="F593" s="21" t="str">
        <f>'Seguridad y Prevención de riesg'!D35</f>
        <v>2025-I(Todo el ciclo)
2025-II(Todo el ciclo)</v>
      </c>
      <c r="G593" s="20" t="str">
        <f>'Seguridad y Prevención de riesg'!E35</f>
        <v>Ejecutar las actividades de la fase de CONTROL del modelo metodológico del proceso de Seguimiento Curricular</v>
      </c>
      <c r="H593" s="20" t="str">
        <f>'Seguridad y Prevención de riesg'!F35</f>
        <v>Director/a de carrera - Gestor/a académico
Tutores de curso</v>
      </c>
      <c r="I593" s="20" t="str">
        <f>'Seguridad y Prevención de riesg'!G35</f>
        <v>Realizar el Control del modelo metodológico</v>
      </c>
      <c r="J593" s="20" t="str">
        <f>'Seguridad y Prevención de riesg'!H35</f>
        <v>Fase CONTROL:
INICIO: Matriz consolidada de resultados de Pruebas de Diagnostico
DURANTE: Matriz consolidada de resultados de Calificaciones del Primer Parcial
FINAL : Matriz consolidada de resultados de Calificaciones Finales</v>
      </c>
      <c r="K593" s="62">
        <f>'Seguridad y Prevención de riesg'!I35</f>
        <v>0.5</v>
      </c>
      <c r="L593" s="160">
        <f>'Seguridad y Prevención de riesg'!J35</f>
        <v>0</v>
      </c>
      <c r="M593" s="20">
        <f>'Seguridad y Prevención de riesg'!K35</f>
        <v>0</v>
      </c>
      <c r="N593" s="20">
        <f>'Seguridad y Prevención de riesg'!L35</f>
        <v>0</v>
      </c>
      <c r="O593" s="20" t="str">
        <f>'Seguridad y Prevención de riesg'!M35</f>
        <v>NO sube la información correspondiente al ciclo académico 2025-II</v>
      </c>
      <c r="P593" s="20">
        <v>2025</v>
      </c>
    </row>
    <row r="594" spans="1:16" ht="14.25" customHeight="1">
      <c r="A594" s="20" t="s">
        <v>502</v>
      </c>
      <c r="B594" s="20" t="str">
        <f t="shared" si="51"/>
        <v>ESTRATEGIA 2</v>
      </c>
      <c r="C594" s="20" t="str">
        <f t="shared" si="52"/>
        <v>OBJETIVO OPERATIVO 1</v>
      </c>
      <c r="D594" s="20" t="b">
        <f>'Seguridad y Prevención de riesg'!B36</f>
        <v>0</v>
      </c>
      <c r="E594" s="20" t="str">
        <f>'Seguridad y Prevención de riesg'!C36</f>
        <v>Media</v>
      </c>
      <c r="F594" s="21" t="str">
        <f>'Seguridad y Prevención de riesg'!D36</f>
        <v>2025-I(Todo el ciclo)
2025-II(Todo el ciclo)</v>
      </c>
      <c r="G594" s="20" t="str">
        <f>'Seguridad y Prevención de riesg'!E36</f>
        <v>Ejecutar las actividades de la fase de EVALUACIÓN del modelo metodológico del proceso de Seguimiento Curricular</v>
      </c>
      <c r="H594" s="20" t="str">
        <f>'Seguridad y Prevención de riesg'!F36</f>
        <v>Director/a de carrera - Gestor/a académico
Tutores de curso</v>
      </c>
      <c r="I594" s="20" t="str">
        <f>'Seguridad y Prevención de riesg'!G36</f>
        <v>Realizar la Evaluación del modelo metodológico</v>
      </c>
      <c r="J594" s="20" t="str">
        <f>'Seguridad y Prevención de riesg'!H36</f>
        <v>Fase EVALAUCIÓN:
INICIO: Acta de reunión de inicio de ciclo estudiantes
DURANTE: Acta de reunión del Primer Parcial Docentes - Estudiantes
FINAL : Acta de reunión Final - Docentes - Estudiantes</v>
      </c>
      <c r="K594" s="62">
        <f>'Seguridad y Prevención de riesg'!I36</f>
        <v>0.5</v>
      </c>
      <c r="L594" s="160">
        <f>'Seguridad y Prevención de riesg'!J36</f>
        <v>0</v>
      </c>
      <c r="M594" s="20">
        <f>'Seguridad y Prevención de riesg'!K36</f>
        <v>0</v>
      </c>
      <c r="N594" s="20">
        <f>'Seguridad y Prevención de riesg'!L36</f>
        <v>0</v>
      </c>
      <c r="O594" s="20" t="str">
        <f>'Seguridad y Prevención de riesg'!M36</f>
        <v>NO sube la información correspondiente al ciclo académico 2025-II</v>
      </c>
      <c r="P594" s="20">
        <v>2025</v>
      </c>
    </row>
    <row r="595" spans="1:16" ht="14.25" customHeight="1">
      <c r="A595" s="20" t="s">
        <v>502</v>
      </c>
      <c r="B595" s="20" t="str">
        <f t="shared" si="51"/>
        <v>ESTRATEGIA 2</v>
      </c>
      <c r="C595" s="20" t="str">
        <f t="shared" si="52"/>
        <v>OBJETIVO OPERATIVO 1</v>
      </c>
      <c r="D595" s="20" t="b">
        <f>'Seguridad y Prevención de riesg'!B37</f>
        <v>0</v>
      </c>
      <c r="E595" s="20" t="str">
        <f>'Seguridad y Prevención de riesg'!C37</f>
        <v>Baja</v>
      </c>
      <c r="F595" s="21" t="str">
        <f>'Seguridad y Prevención de riesg'!D37</f>
        <v>2025-II(Fin de ciclo)
2025-I(Fin de Ciclo)</v>
      </c>
      <c r="G595" s="20" t="str">
        <f>'Seguridad y Prevención de riesg'!E37</f>
        <v>Elaboración del Plan de Mejoramiento del proceso enseñanza aprendizaje</v>
      </c>
      <c r="H595" s="20" t="str">
        <f>'Seguridad y Prevención de riesg'!F37</f>
        <v>Director/a carrera
Responsable de Seguimiento a graduados de la carrera</v>
      </c>
      <c r="I595" s="20" t="str">
        <f>'Seguridad y Prevención de riesg'!G37</f>
        <v>De acuerdo a los resultados generar el Plan de Mejoramiento enseñanza aprendizaje</v>
      </c>
      <c r="J595" s="20" t="str">
        <f>'Seguridad y Prevención de riesg'!H37</f>
        <v>Informe de plan de mejoramiento curricular</v>
      </c>
      <c r="K595" s="62">
        <f>'Seguridad y Prevención de riesg'!I37</f>
        <v>0.5</v>
      </c>
      <c r="L595" s="160">
        <f>'Seguridad y Prevención de riesg'!J37</f>
        <v>0</v>
      </c>
      <c r="M595" s="20">
        <f>'Seguridad y Prevención de riesg'!K37</f>
        <v>0</v>
      </c>
      <c r="N595" s="20">
        <f>'Seguridad y Prevención de riesg'!L37</f>
        <v>0</v>
      </c>
      <c r="O595" s="20" t="str">
        <f>'Seguridad y Prevención de riesg'!M37</f>
        <v>NO consta el informe de plan de mejoramiento curricular del ciclo 2025-I</v>
      </c>
      <c r="P595" s="20">
        <v>2025</v>
      </c>
    </row>
    <row r="596" spans="1:16" ht="14.25" customHeight="1">
      <c r="A596" s="20" t="s">
        <v>502</v>
      </c>
      <c r="B596" s="20" t="str">
        <f t="shared" ref="B596:B601" si="53">$B$595</f>
        <v>ESTRATEGIA 2</v>
      </c>
      <c r="C596" s="20" t="str">
        <f>'Seguridad y Prevención de riesg'!E38</f>
        <v>OBJETIVO OPERATIVO 2</v>
      </c>
      <c r="D596" s="20" t="b">
        <f>'Seguridad y Prevención de riesg'!B39</f>
        <v>1</v>
      </c>
      <c r="E596" s="20" t="str">
        <f>'Seguridad y Prevención de riesg'!C39</f>
        <v>Media</v>
      </c>
      <c r="F596" s="21" t="str">
        <f>'Seguridad y Prevención de riesg'!D39</f>
        <v>2025-II(Inicio de ciclo)</v>
      </c>
      <c r="G596" s="20" t="str">
        <f>'Seguridad y Prevención de riesg'!E39</f>
        <v>Diseñar, gestionar e implementar cursos o programas de inducción y de actualización para docentes y estudiantes.</v>
      </c>
      <c r="H596" s="20" t="str">
        <f>'Seguridad y Prevención de riesg'!F39</f>
        <v>Director/a carrera - gestor académico</v>
      </c>
      <c r="I596" s="20" t="str">
        <f>'Seguridad y Prevención de riesg'!G39</f>
        <v>Generar la capacitación docente</v>
      </c>
      <c r="J596" s="20" t="str">
        <f>'Seguridad y Prevención de riesg'!H39</f>
        <v>Informes de cursos y o programas.</v>
      </c>
      <c r="K596" s="62">
        <f>'Seguridad y Prevención de riesg'!I39</f>
        <v>0.5</v>
      </c>
      <c r="L596" s="160">
        <f>'Seguridad y Prevención de riesg'!J39</f>
        <v>0</v>
      </c>
      <c r="M596" s="20">
        <f>'Seguridad y Prevención de riesg'!K39</f>
        <v>0</v>
      </c>
      <c r="N596" s="20">
        <f>'Seguridad y Prevención de riesg'!L39</f>
        <v>0</v>
      </c>
      <c r="O596" s="20" t="str">
        <f>'Seguridad y Prevención de riesg'!M39</f>
        <v>NO consta el informe de cursos y/o programas del ciclo 2025-II</v>
      </c>
      <c r="P596" s="20">
        <v>2025</v>
      </c>
    </row>
    <row r="597" spans="1:16" ht="14.25" customHeight="1">
      <c r="A597" s="20" t="s">
        <v>502</v>
      </c>
      <c r="B597" s="20" t="str">
        <f t="shared" si="53"/>
        <v>ESTRATEGIA 2</v>
      </c>
      <c r="C597" s="20" t="str">
        <f>$C$596</f>
        <v>OBJETIVO OPERATIVO 2</v>
      </c>
      <c r="D597" s="20" t="b">
        <f>'Seguridad y Prevención de riesg'!B40</f>
        <v>1</v>
      </c>
      <c r="E597" s="20" t="str">
        <f>'Seguridad y Prevención de riesg'!C40</f>
        <v>Media</v>
      </c>
      <c r="F597" s="21" t="str">
        <f>'Seguridad y Prevención de riesg'!D40</f>
        <v>2025-II(Inicio de ciclo)</v>
      </c>
      <c r="G597" s="20" t="str">
        <f>'Seguridad y Prevención de riesg'!E40</f>
        <v>Capacitar a los estudiantes sobre la utilización de la Plataforma Moodle.</v>
      </c>
      <c r="H597" s="20" t="str">
        <f>'Seguridad y Prevención de riesg'!F40</f>
        <v>responsable plataforma Moodle de la carrera</v>
      </c>
      <c r="I597" s="20" t="str">
        <f>'Seguridad y Prevención de riesg'!G40</f>
        <v>Generar la capacitación estudiantil sobre el Moodle</v>
      </c>
      <c r="J597" s="20" t="str">
        <f>'Seguridad y Prevención de riesg'!H40</f>
        <v>Informe sobre la capacitación</v>
      </c>
      <c r="K597" s="62">
        <f>'Seguridad y Prevención de riesg'!I40</f>
        <v>0</v>
      </c>
      <c r="L597" s="160">
        <f>'Seguridad y Prevención de riesg'!J40</f>
        <v>0</v>
      </c>
      <c r="M597" s="20">
        <f>'Seguridad y Prevención de riesg'!K40</f>
        <v>0</v>
      </c>
      <c r="N597" s="20">
        <f>'Seguridad y Prevención de riesg'!L40</f>
        <v>0</v>
      </c>
      <c r="O597" s="20" t="str">
        <f>'Seguridad y Prevención de riesg'!M40</f>
        <v>NO consta el informe sobre la capacitacitación estudiantil del ciclo 2025-II</v>
      </c>
      <c r="P597" s="20">
        <v>2025</v>
      </c>
    </row>
    <row r="598" spans="1:16" ht="14.25" customHeight="1">
      <c r="A598" s="20" t="s">
        <v>502</v>
      </c>
      <c r="B598" s="20" t="str">
        <f t="shared" si="53"/>
        <v>ESTRATEGIA 2</v>
      </c>
      <c r="C598" s="20" t="str">
        <f>$C$596</f>
        <v>OBJETIVO OPERATIVO 2</v>
      </c>
      <c r="D598" s="20" t="b">
        <f>'Seguridad y Prevención de riesg'!B41</f>
        <v>1</v>
      </c>
      <c r="E598" s="20" t="str">
        <f>'Seguridad y Prevención de riesg'!C41</f>
        <v>Baja</v>
      </c>
      <c r="F598" s="21" t="str">
        <f>'Seguridad y Prevención de riesg'!D41</f>
        <v>2025-II(Fin de ciclo)</v>
      </c>
      <c r="G598" s="20" t="str">
        <f>'Seguridad y Prevención de riesg'!E41</f>
        <v>Elaborar y ejecutar la planificación de oferta complementaria.</v>
      </c>
      <c r="H598" s="20" t="str">
        <f>'Seguridad y Prevención de riesg'!F41</f>
        <v>Docentes de la carrera</v>
      </c>
      <c r="I598" s="20" t="str">
        <f>'Seguridad y Prevención de riesg'!G41</f>
        <v>Analizar y realizar la oferta complementaria</v>
      </c>
      <c r="J598" s="20" t="str">
        <f>'Seguridad y Prevención de riesg'!H41</f>
        <v>Informe de ejecución de la oferta complementaria.</v>
      </c>
      <c r="K598" s="62">
        <f>'Seguridad y Prevención de riesg'!I41</f>
        <v>1</v>
      </c>
      <c r="L598" s="160">
        <f>'Seguridad y Prevención de riesg'!J41</f>
        <v>0</v>
      </c>
      <c r="M598" s="20">
        <f>'Seguridad y Prevención de riesg'!K41</f>
        <v>0</v>
      </c>
      <c r="N598" s="20">
        <f>'Seguridad y Prevención de riesg'!L41</f>
        <v>0</v>
      </c>
      <c r="O598" s="20">
        <f>'Seguridad y Prevención de riesg'!M41</f>
        <v>0</v>
      </c>
      <c r="P598" s="20">
        <v>2025</v>
      </c>
    </row>
    <row r="599" spans="1:16" ht="14.25" customHeight="1">
      <c r="A599" s="20" t="s">
        <v>502</v>
      </c>
      <c r="B599" s="20" t="str">
        <f t="shared" si="53"/>
        <v>ESTRATEGIA 2</v>
      </c>
      <c r="C599" s="20" t="str">
        <f>'Seguridad y Prevención de riesg'!E42</f>
        <v>OBJETIVO OPERATIVO 3</v>
      </c>
      <c r="D599" s="20" t="b">
        <f>'Seguridad y Prevención de riesg'!B43</f>
        <v>1</v>
      </c>
      <c r="E599" s="20" t="str">
        <f>'Seguridad y Prevención de riesg'!C43</f>
        <v>Alta</v>
      </c>
      <c r="F599" s="21" t="str">
        <f>'Seguridad y Prevención de riesg'!D43</f>
        <v>2025-I(Inicio de ciclo)</v>
      </c>
      <c r="G599" s="20" t="str">
        <f>'Seguridad y Prevención de riesg'!E43</f>
        <v>Revisión de requisitos de la opción de titulación de los estudiantes.</v>
      </c>
      <c r="H599" s="20" t="str">
        <f>'Seguridad y Prevención de riesg'!F43</f>
        <v>Director de carrera / Coordinador de carreras</v>
      </c>
      <c r="I599" s="20" t="str">
        <f>'Seguridad y Prevención de riesg'!G43</f>
        <v>Realizar el análisis de la opción de titulación para los estudiantes</v>
      </c>
      <c r="J599" s="20" t="str">
        <f>'Seguridad y Prevención de riesg'!H43</f>
        <v>Recopilar los documentos de los estudiantes de titulación.</v>
      </c>
      <c r="K599" s="62">
        <f>'Seguridad y Prevención de riesg'!I43</f>
        <v>1</v>
      </c>
      <c r="L599" s="160">
        <f>'Seguridad y Prevención de riesg'!J43</f>
        <v>0</v>
      </c>
      <c r="M599" s="20">
        <f>'Seguridad y Prevención de riesg'!K43</f>
        <v>0</v>
      </c>
      <c r="N599" s="20">
        <f>'Seguridad y Prevención de riesg'!L43</f>
        <v>0</v>
      </c>
      <c r="O599" s="20">
        <f>'Seguridad y Prevención de riesg'!M43</f>
        <v>0</v>
      </c>
      <c r="P599" s="20">
        <v>2025</v>
      </c>
    </row>
    <row r="600" spans="1:16" ht="14.25" customHeight="1">
      <c r="A600" s="20" t="s">
        <v>502</v>
      </c>
      <c r="B600" s="20" t="str">
        <f t="shared" si="53"/>
        <v>ESTRATEGIA 2</v>
      </c>
      <c r="C600" s="20" t="str">
        <f>$C$599</f>
        <v>OBJETIVO OPERATIVO 3</v>
      </c>
      <c r="D600" s="20" t="b">
        <f>'Seguridad y Prevención de riesg'!B44</f>
        <v>1</v>
      </c>
      <c r="E600" s="20" t="str">
        <f>'Seguridad y Prevención de riesg'!C44</f>
        <v>Alta</v>
      </c>
      <c r="F600" s="21" t="str">
        <f>'Seguridad y Prevención de riesg'!D44</f>
        <v>2025-I(Inicio de ciclo)</v>
      </c>
      <c r="G600" s="20" t="str">
        <f>'Seguridad y Prevención de riesg'!E44</f>
        <v>Coordinación para aprobación de documentación de la integración curricular.</v>
      </c>
      <c r="H600" s="20" t="str">
        <f>'Seguridad y Prevención de riesg'!F44</f>
        <v>Director de carrera / Coordinador de carreras</v>
      </c>
      <c r="I600" s="20" t="str">
        <f>'Seguridad y Prevención de riesg'!G44</f>
        <v>Revisar y coordinar la aprobación de documentos para el ingreso a la unidad de integración curricular</v>
      </c>
      <c r="J600" s="20" t="str">
        <f>'Seguridad y Prevención de riesg'!H44</f>
        <v>Aprobación de la documentación a titulación.</v>
      </c>
      <c r="K600" s="62">
        <f>'Seguridad y Prevención de riesg'!I44</f>
        <v>0</v>
      </c>
      <c r="L600" s="160">
        <f>'Seguridad y Prevención de riesg'!J44</f>
        <v>0</v>
      </c>
      <c r="M600" s="20">
        <f>'Seguridad y Prevención de riesg'!K44</f>
        <v>0</v>
      </c>
      <c r="N600" s="20">
        <f>'Seguridad y Prevención de riesg'!L44</f>
        <v>0</v>
      </c>
      <c r="O600" s="20" t="str">
        <f>'Seguridad y Prevención de riesg'!M44</f>
        <v>NO consta esta información</v>
      </c>
      <c r="P600" s="20">
        <v>2025</v>
      </c>
    </row>
    <row r="601" spans="1:16" ht="14.25" customHeight="1">
      <c r="A601" s="20" t="s">
        <v>502</v>
      </c>
      <c r="B601" s="20" t="str">
        <f t="shared" si="53"/>
        <v>ESTRATEGIA 2</v>
      </c>
      <c r="C601" s="20" t="str">
        <f>$C$599</f>
        <v>OBJETIVO OPERATIVO 3</v>
      </c>
      <c r="D601" s="20" t="b">
        <f>'Seguridad y Prevención de riesg'!B45</f>
        <v>1</v>
      </c>
      <c r="E601" s="20" t="str">
        <f>'Seguridad y Prevención de riesg'!C45</f>
        <v>Alta</v>
      </c>
      <c r="F601" s="21" t="str">
        <f>'Seguridad y Prevención de riesg'!D45</f>
        <v>2025-I(Fin de ciclo)</v>
      </c>
      <c r="G601" s="20" t="str">
        <f>'Seguridad y Prevención de riesg'!E45</f>
        <v>Coordinación del evento de incorporación.</v>
      </c>
      <c r="H601" s="20" t="str">
        <f>'Seguridad y Prevención de riesg'!F45</f>
        <v>Director de carrera / Coordinador de carreras</v>
      </c>
      <c r="I601" s="20" t="str">
        <f>'Seguridad y Prevención de riesg'!G45</f>
        <v>Realizar la lista de estudiantes a titularse</v>
      </c>
      <c r="J601" s="20" t="str">
        <f>'Seguridad y Prevención de riesg'!H45</f>
        <v>Matriz de datos de estudiantes a titularse</v>
      </c>
      <c r="K601" s="62">
        <f>'Seguridad y Prevención de riesg'!I45</f>
        <v>0</v>
      </c>
      <c r="L601" s="160">
        <f>'Seguridad y Prevención de riesg'!J45</f>
        <v>0</v>
      </c>
      <c r="M601" s="20">
        <f>'Seguridad y Prevención de riesg'!K45</f>
        <v>0</v>
      </c>
      <c r="N601" s="20">
        <f>'Seguridad y Prevención de riesg'!L45</f>
        <v>0</v>
      </c>
      <c r="O601" s="20" t="str">
        <f>'Seguridad y Prevención de riesg'!M45</f>
        <v>NO consta esta información</v>
      </c>
      <c r="P601" s="20">
        <v>2025</v>
      </c>
    </row>
    <row r="602" spans="1:16" ht="14.25" customHeight="1">
      <c r="A602" s="20" t="s">
        <v>502</v>
      </c>
      <c r="B602" s="20" t="str">
        <f>'Seguridad y Prevención de riesg'!B46</f>
        <v>ESTRATEGIA 3</v>
      </c>
      <c r="C602" s="20" t="str">
        <f>'Seguridad y Prevención de riesg'!E46</f>
        <v>OBJETIVO OPERATIVO 1</v>
      </c>
      <c r="D602" s="20" t="b">
        <f>'Seguridad y Prevención de riesg'!B47</f>
        <v>0</v>
      </c>
      <c r="E602" s="20" t="str">
        <f>'Seguridad y Prevención de riesg'!C47</f>
        <v>Media</v>
      </c>
      <c r="F602" s="21" t="str">
        <f>'Seguridad y Prevención de riesg'!D47</f>
        <v>2025-I(Todo el ciclo)
2025-II(Todo de ciclo)</v>
      </c>
      <c r="G602" s="20" t="str">
        <f>'Seguridad y Prevención de riesg'!E47</f>
        <v>Colaborar con la comisión de Vinculación en la construcción de los documentos necesarios para la firma de convenios.</v>
      </c>
      <c r="H602" s="20" t="str">
        <f>'Seguridad y Prevención de riesg'!F47</f>
        <v>Director/a carrera -responsable de practicas y vinculación</v>
      </c>
      <c r="I602" s="20" t="str">
        <f>'Seguridad y Prevención de riesg'!G47</f>
        <v>Brindar apoyo y realizar ITV de vinculación de la carrera</v>
      </c>
      <c r="J602" s="20" t="str">
        <f>'Seguridad y Prevención de riesg'!H47</f>
        <v>ITV  y los convenios.</v>
      </c>
      <c r="K602" s="62">
        <f>'Seguridad y Prevención de riesg'!I47</f>
        <v>0.5</v>
      </c>
      <c r="L602" s="160">
        <f>'Seguridad y Prevención de riesg'!J47</f>
        <v>0</v>
      </c>
      <c r="M602" s="20">
        <f>'Seguridad y Prevención de riesg'!K47</f>
        <v>0</v>
      </c>
      <c r="N602" s="20">
        <f>'Seguridad y Prevención de riesg'!L47</f>
        <v>0</v>
      </c>
      <c r="O602" s="20" t="str">
        <f>'Seguridad y Prevención de riesg'!M47</f>
        <v>Únicamente consta 1 convenio, pero no existen ITVs</v>
      </c>
      <c r="P602" s="20">
        <v>2025</v>
      </c>
    </row>
    <row r="603" spans="1:16" ht="14.25" customHeight="1">
      <c r="A603" s="20" t="s">
        <v>502</v>
      </c>
      <c r="B603" s="20" t="str">
        <f>$B$602</f>
        <v>ESTRATEGIA 3</v>
      </c>
      <c r="C603" s="20" t="str">
        <f>$C$602</f>
        <v>OBJETIVO OPERATIVO 1</v>
      </c>
      <c r="D603" s="20" t="b">
        <f>'Seguridad y Prevención de riesg'!B48</f>
        <v>0</v>
      </c>
      <c r="E603" s="20" t="str">
        <f>'Seguridad y Prevención de riesg'!C48</f>
        <v>Baja</v>
      </c>
      <c r="F603" s="21" t="str">
        <f>'Seguridad y Prevención de riesg'!D48</f>
        <v>2025-II( fin ciclo)
2025-I( fin ciclo)</v>
      </c>
      <c r="G603" s="20" t="str">
        <f>'Seguridad y Prevención de riesg'!E48</f>
        <v>Divulgación de los resultados de los proyectos de vinculación, asistiendo a las ferias convocados por diferentes organizaciones.</v>
      </c>
      <c r="H603" s="20" t="str">
        <f>'Seguridad y Prevención de riesg'!F48</f>
        <v>Director/a carrera -responsable de practicas y vinculación</v>
      </c>
      <c r="I603" s="20" t="str">
        <f>'Seguridad y Prevención de riesg'!G48</f>
        <v>Realizar la divulgación de los resultados de los proyectos de vinculación</v>
      </c>
      <c r="J603" s="20" t="str">
        <f>'Seguridad y Prevención de riesg'!H48</f>
        <v>Informe de la divulgación.</v>
      </c>
      <c r="K603" s="62">
        <f>'Seguridad y Prevención de riesg'!I48</f>
        <v>0</v>
      </c>
      <c r="L603" s="160">
        <f>'Seguridad y Prevención de riesg'!J48</f>
        <v>0</v>
      </c>
      <c r="M603" s="20">
        <f>'Seguridad y Prevención de riesg'!K48</f>
        <v>0</v>
      </c>
      <c r="N603" s="20">
        <f>'Seguridad y Prevención de riesg'!L48</f>
        <v>0</v>
      </c>
      <c r="O603" s="20" t="str">
        <f>'Seguridad y Prevención de riesg'!M48</f>
        <v>NO consta este informe.</v>
      </c>
      <c r="P603" s="20">
        <v>2025</v>
      </c>
    </row>
    <row r="604" spans="1:16" ht="14.25" customHeight="1">
      <c r="A604" s="20" t="s">
        <v>502</v>
      </c>
      <c r="B604" s="20" t="str">
        <f>$B$602</f>
        <v>ESTRATEGIA 3</v>
      </c>
      <c r="C604" s="20" t="str">
        <f>$C$602</f>
        <v>OBJETIVO OPERATIVO 1</v>
      </c>
      <c r="D604" s="20" t="b">
        <f>'Seguridad y Prevención de riesg'!B49</f>
        <v>0</v>
      </c>
      <c r="E604" s="20" t="str">
        <f>'Seguridad y Prevención de riesg'!C49</f>
        <v>Baja</v>
      </c>
      <c r="F604" s="21" t="str">
        <f>'Seguridad y Prevención de riesg'!D49</f>
        <v>2025-I (inicio ciclo)
2025-II(inicio ciclo)</v>
      </c>
      <c r="G604" s="20" t="str">
        <f>'Seguridad y Prevención de riesg'!E49</f>
        <v>Socializar con los estudiantes el reglamento de vinculación</v>
      </c>
      <c r="H604" s="20" t="str">
        <f>'Seguridad y Prevención de riesg'!F49</f>
        <v>Director/a carrera -responsable de practicas y vinculación</v>
      </c>
      <c r="I604" s="20" t="str">
        <f>'Seguridad y Prevención de riesg'!G49</f>
        <v>Realizar la socialización del reglamento de vinculación con los estudiantes</v>
      </c>
      <c r="J604" s="20" t="str">
        <f>'Seguridad y Prevención de riesg'!H49</f>
        <v>Informe de socialización del reglamento.</v>
      </c>
      <c r="K604" s="62">
        <f>'Seguridad y Prevención de riesg'!I49</f>
        <v>0</v>
      </c>
      <c r="L604" s="160">
        <f>'Seguridad y Prevención de riesg'!J49</f>
        <v>0</v>
      </c>
      <c r="M604" s="20">
        <f>'Seguridad y Prevención de riesg'!K49</f>
        <v>0</v>
      </c>
      <c r="N604" s="20">
        <f>'Seguridad y Prevención de riesg'!L49</f>
        <v>0</v>
      </c>
      <c r="O604" s="20" t="str">
        <f>'Seguridad y Prevención de riesg'!M49</f>
        <v>NO consta este informe.</v>
      </c>
      <c r="P604" s="20">
        <v>2025</v>
      </c>
    </row>
    <row r="605" spans="1:16" ht="14.25" customHeight="1">
      <c r="A605" s="20" t="s">
        <v>502</v>
      </c>
      <c r="B605" s="20" t="str">
        <f>$B$604</f>
        <v>ESTRATEGIA 3</v>
      </c>
      <c r="C605" s="20" t="str">
        <f>'Seguridad y Prevención de riesg'!E50</f>
        <v>OBJETIVO OPERATIVO 2</v>
      </c>
      <c r="D605" s="20" t="b">
        <f>'Seguridad y Prevención de riesg'!B51</f>
        <v>1</v>
      </c>
      <c r="E605" s="20" t="str">
        <f>'Seguridad y Prevención de riesg'!C51</f>
        <v>Alta</v>
      </c>
      <c r="F605" s="21" t="str">
        <f>'Seguridad y Prevención de riesg'!D51</f>
        <v>2025-I (inicio ciclo)
2025-II(inicio ciclo)</v>
      </c>
      <c r="G605" s="20" t="str">
        <f>'Seguridad y Prevención de riesg'!E51</f>
        <v>Conocer las líneas de investigación de la carrera</v>
      </c>
      <c r="H605" s="20" t="str">
        <f>'Seguridad y Prevención de riesg'!F51</f>
        <v>Director de carrera</v>
      </c>
      <c r="I605" s="20" t="str">
        <f>'Seguridad y Prevención de riesg'!G51</f>
        <v>Analizar y realizar las líneas de investigación de la carrera</v>
      </c>
      <c r="J605" s="20" t="str">
        <f>'Seguridad y Prevención de riesg'!H51</f>
        <v>Informe de socialización de las líneas de investigación de la carrera</v>
      </c>
      <c r="K605" s="62">
        <f>'Seguridad y Prevención de riesg'!I51</f>
        <v>1</v>
      </c>
      <c r="L605" s="160">
        <f>'Seguridad y Prevención de riesg'!J51</f>
        <v>0</v>
      </c>
      <c r="M605" s="20">
        <f>'Seguridad y Prevención de riesg'!K51</f>
        <v>0</v>
      </c>
      <c r="N605" s="20">
        <f>'Seguridad y Prevención de riesg'!L51</f>
        <v>0</v>
      </c>
      <c r="O605" s="20">
        <f>'Seguridad y Prevención de riesg'!M51</f>
        <v>0</v>
      </c>
      <c r="P605" s="20">
        <v>2025</v>
      </c>
    </row>
    <row r="606" spans="1:16" ht="14.25" customHeight="1">
      <c r="A606" s="20" t="s">
        <v>502</v>
      </c>
      <c r="B606" s="20" t="str">
        <f>$B$604</f>
        <v>ESTRATEGIA 3</v>
      </c>
      <c r="C606" s="20" t="str">
        <f>$C$605</f>
        <v>OBJETIVO OPERATIVO 2</v>
      </c>
      <c r="D606" s="20" t="b">
        <f>'Seguridad y Prevención de riesg'!B52</f>
        <v>1</v>
      </c>
      <c r="E606" s="20" t="str">
        <f>'Seguridad y Prevención de riesg'!C52</f>
        <v>Alta</v>
      </c>
      <c r="F606" s="21" t="str">
        <f>'Seguridad y Prevención de riesg'!D52</f>
        <v>2025-I(Todo el ciclo)
2025-II(Todo de ciclo)</v>
      </c>
      <c r="G606" s="20" t="str">
        <f>'Seguridad y Prevención de riesg'!E52</f>
        <v>Desarrollar investigación científica y tecnológica que contribuya con la construcción de soluciones para los problemas del país, en relación con los objetivos del régimen de desarrollo.</v>
      </c>
      <c r="H606" s="20" t="str">
        <f>'Seguridad y Prevención de riesg'!F52</f>
        <v>Director de Carrera
Docentes de la carrera
Comisión de Investigación</v>
      </c>
      <c r="I606" s="20" t="str">
        <f>'Seguridad y Prevención de riesg'!G52</f>
        <v>Incentivar y desarrollar la investigación de los docentes de la carrera en base a las líneas de la carrera</v>
      </c>
      <c r="J606" s="20" t="str">
        <f>'Seguridad y Prevención de riesg'!H52</f>
        <v>Artículos publicados por los docentes de la carrera</v>
      </c>
      <c r="K606" s="62">
        <f>'Seguridad y Prevención de riesg'!I52</f>
        <v>0</v>
      </c>
      <c r="L606" s="160">
        <f>'Seguridad y Prevención de riesg'!J52</f>
        <v>0</v>
      </c>
      <c r="M606" s="20">
        <f>'Seguridad y Prevención de riesg'!K52</f>
        <v>0</v>
      </c>
      <c r="N606" s="20">
        <f>'Seguridad y Prevención de riesg'!L52</f>
        <v>0</v>
      </c>
      <c r="O606" s="20" t="str">
        <f>'Seguridad y Prevención de riesg'!M52</f>
        <v>NO existen artículos publicados por los docentes de esta carrera.</v>
      </c>
      <c r="P606" s="20">
        <v>2025</v>
      </c>
    </row>
    <row r="607" spans="1:16" ht="14.25" customHeight="1">
      <c r="A607" s="20" t="s">
        <v>502</v>
      </c>
      <c r="B607" s="20" t="str">
        <f>$B$604</f>
        <v>ESTRATEGIA 3</v>
      </c>
      <c r="C607" s="20" t="str">
        <f>'Seguridad y Prevención de riesg'!E53</f>
        <v>OBJETIVO OPERATIVO 3</v>
      </c>
      <c r="D607" s="20" t="b">
        <f>'Seguridad y Prevención de riesg'!B54</f>
        <v>1</v>
      </c>
      <c r="E607" s="20" t="str">
        <f>'Seguridad y Prevención de riesg'!C54</f>
        <v>Baja</v>
      </c>
      <c r="F607" s="21" t="str">
        <f>'Seguridad y Prevención de riesg'!D54</f>
        <v>2025-I(Todo el ciclo)
2025-II(Todo de ciclo)</v>
      </c>
      <c r="G607" s="20" t="str">
        <f>'Seguridad y Prevención de riesg'!E54</f>
        <v>Ejecutar la formación en valores y desarrollo de habilidades blandas.</v>
      </c>
      <c r="H607" s="20" t="str">
        <f>'Seguridad y Prevención de riesg'!F54</f>
        <v>Director de carrera
Gestor académico
Bienestar institucional</v>
      </c>
      <c r="I607" s="20" t="str">
        <f>'Seguridad y Prevención de riesg'!G54</f>
        <v>Realizar un curso de habilidades blandas que se desarrollara para todo el instituto</v>
      </c>
      <c r="J607" s="20" t="str">
        <f>'Seguridad y Prevención de riesg'!H54</f>
        <v>Informe de formación en valores y desarrollo de habilidades blandas</v>
      </c>
      <c r="K607" s="62">
        <f>'Seguridad y Prevención de riesg'!I54</f>
        <v>1</v>
      </c>
      <c r="L607" s="160">
        <f>'Seguridad y Prevención de riesg'!J54</f>
        <v>0</v>
      </c>
      <c r="M607" s="20">
        <f>'Seguridad y Prevención de riesg'!K54</f>
        <v>0</v>
      </c>
      <c r="N607" s="20">
        <f>'Seguridad y Prevención de riesg'!L54</f>
        <v>0</v>
      </c>
      <c r="O607" s="20">
        <f>'Seguridad y Prevención de riesg'!M54</f>
        <v>0</v>
      </c>
      <c r="P607" s="20">
        <v>2025</v>
      </c>
    </row>
    <row r="608" spans="1:16" ht="14.25" customHeight="1">
      <c r="A608" s="20" t="s">
        <v>502</v>
      </c>
      <c r="B608" s="20" t="str">
        <f>'Seguridad y Prevención de riesg'!B55</f>
        <v>ESTRATEGIA 4</v>
      </c>
      <c r="C608" s="20" t="str">
        <f>'Seguridad y Prevención de riesg'!E55</f>
        <v>OBJETIVO OPERATIVO 1</v>
      </c>
      <c r="D608" s="20" t="b">
        <f>'Seguridad y Prevención de riesg'!B56</f>
        <v>0</v>
      </c>
      <c r="E608" s="20" t="str">
        <f>'Seguridad y Prevención de riesg'!C56</f>
        <v>Baja</v>
      </c>
      <c r="F608" s="21" t="str">
        <f>'Seguridad y Prevención de riesg'!D56</f>
        <v>2025-I (fin ciclo)
2025-II(fin ciclo)</v>
      </c>
      <c r="G608" s="20" t="str">
        <f>'Seguridad y Prevención de riesg'!E56</f>
        <v>Elaboración de matrices de la oferta académica institucional.</v>
      </c>
      <c r="H608" s="20" t="str">
        <f>'Seguridad y Prevención de riesg'!F56</f>
        <v>Director de Carrera
Gestor Académico</v>
      </c>
      <c r="I608" s="20" t="str">
        <f>'Seguridad y Prevención de riesg'!G56</f>
        <v>Generación de matrices de oferta académica para la captación de más estudiantes</v>
      </c>
      <c r="J608" s="20" t="str">
        <f>'Seguridad y Prevención de riesg'!H56</f>
        <v>Matrices de la oferta académica.</v>
      </c>
      <c r="K608" s="62">
        <f>'Seguridad y Prevención de riesg'!I56</f>
        <v>1</v>
      </c>
      <c r="L608" s="160">
        <f>'Seguridad y Prevención de riesg'!J56</f>
        <v>0</v>
      </c>
      <c r="M608" s="20">
        <f>'Seguridad y Prevención de riesg'!K56</f>
        <v>0</v>
      </c>
      <c r="N608" s="20">
        <f>'Seguridad y Prevención de riesg'!L56</f>
        <v>0</v>
      </c>
      <c r="O608" s="20">
        <f>'Seguridad y Prevención de riesg'!M56</f>
        <v>0</v>
      </c>
      <c r="P608" s="20">
        <v>2025</v>
      </c>
    </row>
    <row r="609" spans="1:16" ht="14.25" customHeight="1">
      <c r="A609" s="20" t="s">
        <v>502</v>
      </c>
      <c r="B609" s="20" t="str">
        <f>$B$608</f>
        <v>ESTRATEGIA 4</v>
      </c>
      <c r="C609" s="20" t="str">
        <f>$C$608</f>
        <v>OBJETIVO OPERATIVO 1</v>
      </c>
      <c r="D609" s="20" t="b">
        <f>'Seguridad y Prevención de riesg'!B57</f>
        <v>0</v>
      </c>
      <c r="E609" s="20" t="str">
        <f>'Seguridad y Prevención de riesg'!C57</f>
        <v>Baja</v>
      </c>
      <c r="F609" s="21" t="str">
        <f>'Seguridad y Prevención de riesg'!D57</f>
        <v xml:space="preserve">
2025-II(fin ciclo)</v>
      </c>
      <c r="G609" s="20" t="str">
        <f>'Seguridad y Prevención de riesg'!E57</f>
        <v>Planificación de demanda estudiantil.</v>
      </c>
      <c r="H609" s="20" t="str">
        <f>'Seguridad y Prevención de riesg'!F57</f>
        <v>Director de Carrera
Gestor Académico</v>
      </c>
      <c r="I609" s="20" t="str">
        <f>'Seguridad y Prevención de riesg'!G57</f>
        <v>Planificar la demanda institucional en base a históricos de periodos anteriores</v>
      </c>
      <c r="J609" s="20" t="str">
        <f>'Seguridad y Prevención de riesg'!H57</f>
        <v>Listado certificado  de matriculados de la carrera</v>
      </c>
      <c r="K609" s="62">
        <f>'Seguridad y Prevención de riesg'!I57</f>
        <v>0.5</v>
      </c>
      <c r="L609" s="160">
        <f>'Seguridad y Prevención de riesg'!J57</f>
        <v>0</v>
      </c>
      <c r="M609" s="20">
        <f>'Seguridad y Prevención de riesg'!K57</f>
        <v>0</v>
      </c>
      <c r="N609" s="20">
        <f>'Seguridad y Prevención de riesg'!L57</f>
        <v>0</v>
      </c>
      <c r="O609" s="20" t="str">
        <f>'Seguridad y Prevención de riesg'!M57</f>
        <v>NO consta la lista certificada de estudiantes del Ciclo 2025-II</v>
      </c>
      <c r="P609" s="20">
        <v>2025</v>
      </c>
    </row>
    <row r="610" spans="1:16" ht="14.25" customHeight="1">
      <c r="A610" s="20" t="s">
        <v>502</v>
      </c>
      <c r="B610" s="20" t="str">
        <f>$B$608</f>
        <v>ESTRATEGIA 4</v>
      </c>
      <c r="C610" s="20" t="str">
        <f>$C$608</f>
        <v>OBJETIVO OPERATIVO 1</v>
      </c>
      <c r="D610" s="20" t="b">
        <f>'Seguridad y Prevención de riesg'!B58</f>
        <v>0</v>
      </c>
      <c r="E610" s="20" t="str">
        <f>'Seguridad y Prevención de riesg'!C58</f>
        <v>Media</v>
      </c>
      <c r="F610" s="21" t="str">
        <f>'Seguridad y Prevención de riesg'!D58</f>
        <v>2025-II(fin ciclo)</v>
      </c>
      <c r="G610" s="20" t="str">
        <f>'Seguridad y Prevención de riesg'!E58</f>
        <v>Análisis de capacidad operativa de la institución.</v>
      </c>
      <c r="H610" s="20" t="str">
        <f>'Seguridad y Prevención de riesg'!F58</f>
        <v>Director de Carrera
Gestor Académico</v>
      </c>
      <c r="I610" s="20" t="str">
        <f>'Seguridad y Prevención de riesg'!G58</f>
        <v>Análisis de requerimientos sustantivo y no sustantivo de la carrera</v>
      </c>
      <c r="J610" s="20" t="str">
        <f>'Seguridad y Prevención de riesg'!H58</f>
        <v>Resolución de aprobación por OCS de Estandarización de Carrera</v>
      </c>
      <c r="K610" s="62">
        <f>'Seguridad y Prevención de riesg'!I58</f>
        <v>1</v>
      </c>
      <c r="L610" s="160">
        <f>'Seguridad y Prevención de riesg'!J58</f>
        <v>0</v>
      </c>
      <c r="M610" s="20">
        <f>'Seguridad y Prevención de riesg'!K58</f>
        <v>0</v>
      </c>
      <c r="N610" s="20">
        <f>'Seguridad y Prevención de riesg'!L58</f>
        <v>0</v>
      </c>
      <c r="O610" s="20">
        <f>'Seguridad y Prevención de riesg'!M58</f>
        <v>0</v>
      </c>
      <c r="P610" s="20">
        <v>2025</v>
      </c>
    </row>
    <row r="611" spans="1:16" ht="14.25" customHeight="1">
      <c r="A611" s="20" t="s">
        <v>494</v>
      </c>
      <c r="B611" s="20" t="str">
        <f>Tributación!B10</f>
        <v>ESTRATEGIA 1</v>
      </c>
      <c r="C611" s="20" t="str">
        <f>Tributación!E10</f>
        <v>OBJETIVO OPERATIVO 1</v>
      </c>
      <c r="D611" s="20" t="b">
        <f>Tributación!B11</f>
        <v>0</v>
      </c>
      <c r="E611" s="20" t="str">
        <f>Tributación!C11</f>
        <v>Media</v>
      </c>
      <c r="F611" s="21" t="str">
        <f>Tributación!D11</f>
        <v>2025-I ( Inicio ciclo)</v>
      </c>
      <c r="G611" s="20" t="str">
        <f>Tributación!E11</f>
        <v>Planificar y estructurar las capacitaciones en el área técnica y didáctica.</v>
      </c>
      <c r="H611" s="20" t="str">
        <f>Tributación!F11</f>
        <v>Director/a carrera
Docentes</v>
      </c>
      <c r="I611" s="20" t="str">
        <f>Tributación!G11</f>
        <v>Desarrollo del plan de capacitación docente</v>
      </c>
      <c r="J611" s="20" t="str">
        <f>Tributación!H11</f>
        <v>Plan de capacitación docente.</v>
      </c>
      <c r="K611" s="62">
        <f>Tributación!I11</f>
        <v>1</v>
      </c>
      <c r="L611" s="160">
        <f>Tributación!J11</f>
        <v>0</v>
      </c>
      <c r="M611" s="20">
        <f>Tributación!K11</f>
        <v>0</v>
      </c>
      <c r="N611" s="20">
        <f>Tributación!L11</f>
        <v>0</v>
      </c>
      <c r="O611" s="20">
        <f>Tributación!M11</f>
        <v>0</v>
      </c>
      <c r="P611" s="20">
        <v>2025</v>
      </c>
    </row>
    <row r="612" spans="1:16" ht="14.25" customHeight="1">
      <c r="A612" s="20" t="s">
        <v>494</v>
      </c>
      <c r="B612" s="20" t="str">
        <f t="shared" ref="B612:B621" si="54">$B$611</f>
        <v>ESTRATEGIA 1</v>
      </c>
      <c r="C612" s="20" t="str">
        <f>$C$611</f>
        <v>OBJETIVO OPERATIVO 1</v>
      </c>
      <c r="D612" s="20" t="b">
        <f>Tributación!B12</f>
        <v>0</v>
      </c>
      <c r="E612" s="20" t="str">
        <f>Tributación!C12</f>
        <v>Baja</v>
      </c>
      <c r="F612" s="21" t="str">
        <f>Tributación!D12</f>
        <v>2025-II ( fin ciclo)</v>
      </c>
      <c r="G612" s="20" t="str">
        <f>Tributación!E12</f>
        <v>Ejecutar las capacitaciones planificadas.</v>
      </c>
      <c r="H612" s="20" t="str">
        <f>Tributación!F12</f>
        <v>Director/a carrera
Docentes</v>
      </c>
      <c r="I612" s="20" t="str">
        <f>Tributación!G12</f>
        <v>informar sobre el plan de capacitación docente</v>
      </c>
      <c r="J612" s="20" t="str">
        <f>Tributación!H12</f>
        <v>Informe de ejecución del plan de capacitación docente.</v>
      </c>
      <c r="K612" s="62">
        <f>Tributación!I12</f>
        <v>1</v>
      </c>
      <c r="L612" s="160">
        <f>Tributación!J12</f>
        <v>0</v>
      </c>
      <c r="M612" s="20">
        <f>Tributación!K12</f>
        <v>0</v>
      </c>
      <c r="N612" s="20">
        <f>Tributación!L12</f>
        <v>0</v>
      </c>
      <c r="O612" s="20">
        <f>Tributación!M12</f>
        <v>0</v>
      </c>
      <c r="P612" s="20">
        <v>2025</v>
      </c>
    </row>
    <row r="613" spans="1:16" ht="14.25" customHeight="1">
      <c r="A613" s="20" t="s">
        <v>494</v>
      </c>
      <c r="B613" s="20" t="str">
        <f t="shared" si="54"/>
        <v>ESTRATEGIA 1</v>
      </c>
      <c r="C613" s="20" t="str">
        <f>$C$611</f>
        <v>OBJETIVO OPERATIVO 1</v>
      </c>
      <c r="D613" s="20" t="b">
        <f>Tributación!B13</f>
        <v>0</v>
      </c>
      <c r="E613" s="20" t="str">
        <f>Tributación!C13</f>
        <v>Media</v>
      </c>
      <c r="F613" s="21" t="str">
        <f>Tributación!D13</f>
        <v>2024-II( fin ciclo)
2025-I( fin ciclo)</v>
      </c>
      <c r="G613" s="20" t="str">
        <f>Tributación!E13</f>
        <v>Entregar los resultados de los procesos de Evaluación al desempeño Docente y acciones realizadas.</v>
      </c>
      <c r="H613" s="20" t="str">
        <f>Tributación!F13</f>
        <v>Director/a carrera
Docentes</v>
      </c>
      <c r="I613" s="20" t="str">
        <f>Tributación!G13</f>
        <v>Generar una matriz para el registro de entrega de evaluaciones docentes</v>
      </c>
      <c r="J613" s="20" t="str">
        <f>Tributación!H13</f>
        <v>Registro de entrega de evaluaciones a los docentes</v>
      </c>
      <c r="K613" s="62">
        <f>Tributación!I13</f>
        <v>1</v>
      </c>
      <c r="L613" s="160">
        <f>Tributación!J13</f>
        <v>0</v>
      </c>
      <c r="M613" s="20">
        <f>Tributación!K13</f>
        <v>0</v>
      </c>
      <c r="N613" s="20">
        <f>Tributación!L13</f>
        <v>0</v>
      </c>
      <c r="O613" s="20" t="str">
        <f>Tributación!M13</f>
        <v>Subir evidencias de los periodos</v>
      </c>
      <c r="P613" s="20">
        <v>2025</v>
      </c>
    </row>
    <row r="614" spans="1:16" ht="14.25" customHeight="1">
      <c r="A614" s="20" t="s">
        <v>494</v>
      </c>
      <c r="B614" s="20" t="str">
        <f t="shared" si="54"/>
        <v>ESTRATEGIA 1</v>
      </c>
      <c r="C614" s="20" t="str">
        <f>Tributación!E14</f>
        <v>OBJETIVO OPERATIVO 2</v>
      </c>
      <c r="D614" s="20" t="b">
        <f>Tributación!B15</f>
        <v>0</v>
      </c>
      <c r="E614" s="20" t="str">
        <f>Tributación!C15</f>
        <v>Baja</v>
      </c>
      <c r="F614" s="21" t="str">
        <f>Tributación!D15</f>
        <v>2025-I (inicio ciclo)
2025-II(inicio ciclo)</v>
      </c>
      <c r="G614" s="20" t="str">
        <f>Tributación!E15</f>
        <v>Socializar con los docentes el uso adecuado de la plataforma Moodle.</v>
      </c>
      <c r="H614" s="20" t="str">
        <f>Tributación!F15</f>
        <v>Responsable de Moodle de la carrera</v>
      </c>
      <c r="I614" s="20" t="str">
        <f>Tributación!G15</f>
        <v>Realizar la socialización y generar un informe sobre el uso del Moodle</v>
      </c>
      <c r="J614" s="20" t="str">
        <f>Tributación!H15</f>
        <v>Informe de socialización / inducción a los docentes</v>
      </c>
      <c r="K614" s="62">
        <f>Tributación!I15</f>
        <v>1</v>
      </c>
      <c r="L614" s="160">
        <f>Tributación!J15</f>
        <v>0</v>
      </c>
      <c r="M614" s="20">
        <f>Tributación!K15</f>
        <v>0</v>
      </c>
      <c r="N614" s="20">
        <f>Tributación!L15</f>
        <v>0</v>
      </c>
      <c r="O614" s="20">
        <f>Tributación!M15</f>
        <v>0</v>
      </c>
      <c r="P614" s="20">
        <v>2025</v>
      </c>
    </row>
    <row r="615" spans="1:16" ht="14.25" customHeight="1">
      <c r="A615" s="20" t="s">
        <v>494</v>
      </c>
      <c r="B615" s="20" t="str">
        <f t="shared" si="54"/>
        <v>ESTRATEGIA 1</v>
      </c>
      <c r="C615" s="20" t="str">
        <f>$C$614</f>
        <v>OBJETIVO OPERATIVO 2</v>
      </c>
      <c r="D615" s="20" t="b">
        <f>Tributación!B16</f>
        <v>0</v>
      </c>
      <c r="E615" s="20" t="str">
        <f>Tributación!C16</f>
        <v>Media</v>
      </c>
      <c r="F615" s="21" t="str">
        <f>Tributación!D16</f>
        <v>2024-II( fin ciclo)
2025-I( fin ciclo)</v>
      </c>
      <c r="G615" s="20" t="str">
        <f>Tributación!E16</f>
        <v>Revisar el aporte de cada docente en la plataforma Moodle</v>
      </c>
      <c r="H615" s="20" t="str">
        <f>Tributación!F16</f>
        <v>Responsable de Moodle de la carrera</v>
      </c>
      <c r="I615" s="20" t="str">
        <f>Tributación!G16</f>
        <v>Controlar el uso adecuado de la plataforma y generar un informe.</v>
      </c>
      <c r="J615" s="20" t="str">
        <f>Tributación!H16</f>
        <v>Informe de actividades en la plataforma Moodle.</v>
      </c>
      <c r="K615" s="62">
        <f>Tributación!I16</f>
        <v>1</v>
      </c>
      <c r="L615" s="160">
        <f>Tributación!J16</f>
        <v>0</v>
      </c>
      <c r="M615" s="20">
        <f>Tributación!K16</f>
        <v>0</v>
      </c>
      <c r="N615" s="20">
        <f>Tributación!L16</f>
        <v>0</v>
      </c>
      <c r="O615" s="20">
        <f>Tributación!M16</f>
        <v>0</v>
      </c>
      <c r="P615" s="20">
        <v>2025</v>
      </c>
    </row>
    <row r="616" spans="1:16" ht="14.25" customHeight="1">
      <c r="A616" s="20" t="s">
        <v>494</v>
      </c>
      <c r="B616" s="20" t="str">
        <f t="shared" si="54"/>
        <v>ESTRATEGIA 1</v>
      </c>
      <c r="C616" s="20" t="str">
        <f>Tributación!E17</f>
        <v>OBJETIVO OPERATIVO 3</v>
      </c>
      <c r="D616" s="20" t="b">
        <f>Tributación!B18</f>
        <v>0</v>
      </c>
      <c r="E616" s="20" t="str">
        <f>Tributación!C18</f>
        <v>Alta</v>
      </c>
      <c r="F616" s="21" t="str">
        <f>Tributación!D18</f>
        <v>2025-I(inicio ciclo)
2025-II (inicio ciclo)</v>
      </c>
      <c r="G616" s="20" t="str">
        <f>Tributación!E18</f>
        <v>Planificar y desarrollar una reunión del colectivo académico</v>
      </c>
      <c r="H616" s="20" t="str">
        <f>Tributación!F18</f>
        <v>Director/a carrera</v>
      </c>
      <c r="I616" s="20" t="str">
        <f>Tributación!G18</f>
        <v>Realizar y evidenciar los colectivos académicos</v>
      </c>
      <c r="J616" s="20" t="str">
        <f>Tributación!H18</f>
        <v>Convocatoria al colectivo de académico</v>
      </c>
      <c r="K616" s="62">
        <f>Tributación!I18</f>
        <v>1</v>
      </c>
      <c r="L616" s="160">
        <f>Tributación!J18</f>
        <v>0</v>
      </c>
      <c r="M616" s="20">
        <f>Tributación!K18</f>
        <v>0</v>
      </c>
      <c r="N616" s="20">
        <f>Tributación!L18</f>
        <v>0</v>
      </c>
      <c r="O616" s="20">
        <f>Tributación!M18</f>
        <v>0</v>
      </c>
      <c r="P616" s="20">
        <v>2025</v>
      </c>
    </row>
    <row r="617" spans="1:16" ht="14.25" customHeight="1">
      <c r="A617" s="20" t="s">
        <v>494</v>
      </c>
      <c r="B617" s="20" t="str">
        <f t="shared" si="54"/>
        <v>ESTRATEGIA 1</v>
      </c>
      <c r="C617" s="20" t="str">
        <f>$C$616</f>
        <v>OBJETIVO OPERATIVO 3</v>
      </c>
      <c r="D617" s="20" t="b">
        <f>Tributación!B19</f>
        <v>0</v>
      </c>
      <c r="E617" s="20" t="str">
        <f>Tributación!C19</f>
        <v>Media</v>
      </c>
      <c r="F617" s="21" t="str">
        <f>Tributación!D19</f>
        <v>2024-II(fin de ciclo)
2025-I(fin de ciclo)</v>
      </c>
      <c r="G617" s="20" t="str">
        <f>Tributación!E19</f>
        <v>Revisión y actualización de los PEAS</v>
      </c>
      <c r="H617" s="20" t="str">
        <f>Tributación!F19</f>
        <v>Director/a carrera
Docentes</v>
      </c>
      <c r="I617" s="20" t="str">
        <f>Tributación!G19</f>
        <v>Revisar si la bibliografía de la carrera es la adecuada en colectivos  según PEAS y Colectivos para el acervo bibliográfico</v>
      </c>
      <c r="J617" s="20" t="str">
        <f>Tributación!H19</f>
        <v>Acervo bibliográfico de todas las asignaturas de la carrera, Informes de colectivos y PEAS revisados</v>
      </c>
      <c r="K617" s="62">
        <f>Tributación!I19</f>
        <v>1</v>
      </c>
      <c r="L617" s="160">
        <f>Tributación!J19</f>
        <v>0</v>
      </c>
      <c r="M617" s="20">
        <f>Tributación!K19</f>
        <v>0</v>
      </c>
      <c r="N617" s="20">
        <f>Tributación!L19</f>
        <v>0</v>
      </c>
      <c r="O617" s="20">
        <f>Tributación!M19</f>
        <v>0</v>
      </c>
      <c r="P617" s="20">
        <v>2025</v>
      </c>
    </row>
    <row r="618" spans="1:16" ht="14.25" customHeight="1">
      <c r="A618" s="20" t="s">
        <v>494</v>
      </c>
      <c r="B618" s="20" t="str">
        <f t="shared" si="54"/>
        <v>ESTRATEGIA 1</v>
      </c>
      <c r="C618" s="20" t="str">
        <f>$C$616</f>
        <v>OBJETIVO OPERATIVO 3</v>
      </c>
      <c r="D618" s="20" t="b">
        <f>Tributación!B20</f>
        <v>0</v>
      </c>
      <c r="E618" s="20" t="str">
        <f>Tributación!C20</f>
        <v>Media</v>
      </c>
      <c r="F618" s="21" t="str">
        <f>Tributación!D20</f>
        <v>2024-II(fin de ciclo)
2025-I(fin de ciclo)</v>
      </c>
      <c r="G618" s="20" t="str">
        <f>Tributación!E20</f>
        <v>Actas de reunión por colectivo académico</v>
      </c>
      <c r="H618" s="20" t="str">
        <f>Tributación!F20</f>
        <v>Director/a carrera
Docentes</v>
      </c>
      <c r="I618" s="20" t="str">
        <f>Tributación!G20</f>
        <v>Evidenciar el trabajo de colectivos</v>
      </c>
      <c r="J618" s="20" t="str">
        <f>Tributación!H20</f>
        <v>Actas de colectivos</v>
      </c>
      <c r="K618" s="62">
        <f>Tributación!I20</f>
        <v>1</v>
      </c>
      <c r="L618" s="160">
        <f>Tributación!J20</f>
        <v>0</v>
      </c>
      <c r="M618" s="20">
        <f>Tributación!K20</f>
        <v>0</v>
      </c>
      <c r="N618" s="20">
        <f>Tributación!L20</f>
        <v>0</v>
      </c>
      <c r="O618" s="20">
        <f>Tributación!M20</f>
        <v>0</v>
      </c>
      <c r="P618" s="20">
        <v>2025</v>
      </c>
    </row>
    <row r="619" spans="1:16" ht="14.25" customHeight="1">
      <c r="A619" s="20" t="s">
        <v>494</v>
      </c>
      <c r="B619" s="20" t="str">
        <f t="shared" si="54"/>
        <v>ESTRATEGIA 1</v>
      </c>
      <c r="C619" s="20" t="str">
        <f>Tributación!E21</f>
        <v>OBJETIVO OPERATIVO 4</v>
      </c>
      <c r="D619" s="20" t="b">
        <f>Tributación!B22</f>
        <v>0</v>
      </c>
      <c r="E619" s="20" t="str">
        <f>Tributación!C22</f>
        <v>Baja</v>
      </c>
      <c r="F619" s="21" t="str">
        <f>Tributación!D22</f>
        <v>2025-I(inicio ciclo)
2025-II (inicio ciclo)</v>
      </c>
      <c r="G619" s="20" t="str">
        <f>Tributación!E22</f>
        <v>Recopilar las fichas de afinidad de los docentes de acuerdo al nivel de estudio.</v>
      </c>
      <c r="H619" s="20" t="str">
        <f>Tributación!F22</f>
        <v>Director/a carrera</v>
      </c>
      <c r="I619" s="20" t="str">
        <f>Tributación!G22</f>
        <v>Mantener actualizadas las fichas de afinidad de los docentes de acuerdo a la pertinencia en la carrera</v>
      </c>
      <c r="J619" s="20" t="str">
        <f>Tributación!H22</f>
        <v>Fichas de afinidad de los docentes.</v>
      </c>
      <c r="K619" s="62">
        <f>Tributación!I22</f>
        <v>1</v>
      </c>
      <c r="L619" s="160">
        <f>Tributación!J22</f>
        <v>0</v>
      </c>
      <c r="M619" s="20">
        <f>Tributación!K22</f>
        <v>0</v>
      </c>
      <c r="N619" s="20">
        <f>Tributación!L22</f>
        <v>0</v>
      </c>
      <c r="O619" s="20">
        <f>Tributación!M22</f>
        <v>0</v>
      </c>
      <c r="P619" s="20">
        <v>2025</v>
      </c>
    </row>
    <row r="620" spans="1:16" ht="14.25" customHeight="1">
      <c r="A620" s="20" t="s">
        <v>494</v>
      </c>
      <c r="B620" s="20" t="str">
        <f t="shared" si="54"/>
        <v>ESTRATEGIA 1</v>
      </c>
      <c r="C620" s="20" t="str">
        <f>$C$619</f>
        <v>OBJETIVO OPERATIVO 4</v>
      </c>
      <c r="D620" s="20">
        <f>Tributación!B23</f>
        <v>0</v>
      </c>
      <c r="E620" s="20" t="str">
        <f>Tributación!C23</f>
        <v>Alta</v>
      </c>
      <c r="F620" s="21" t="str">
        <f>Tributación!D23</f>
        <v>2025-I(inicio de ciclo)
2025-II(inicio de ciclo)</v>
      </c>
      <c r="G620" s="20" t="str">
        <f>Tributación!E23</f>
        <v>Elaboración del distributivo docente de la carrera</v>
      </c>
      <c r="H620" s="20" t="str">
        <f>Tributación!F23</f>
        <v>Director/a carrera</v>
      </c>
      <c r="I620" s="20" t="str">
        <f>Tributación!G23</f>
        <v>Evidenciar la carga horaria y distributivos de los docentes</v>
      </c>
      <c r="J620" s="20" t="str">
        <f>Tributación!H23</f>
        <v>Distributivo docente aprobado.</v>
      </c>
      <c r="K620" s="62">
        <f>Tributación!I23</f>
        <v>1</v>
      </c>
      <c r="L620" s="160">
        <f>Tributación!J23</f>
        <v>0</v>
      </c>
      <c r="M620" s="20">
        <f>Tributación!K23</f>
        <v>0</v>
      </c>
      <c r="N620" s="20">
        <f>Tributación!L23</f>
        <v>0</v>
      </c>
      <c r="O620" s="20">
        <f>Tributación!M23</f>
        <v>0</v>
      </c>
      <c r="P620" s="20">
        <v>2025</v>
      </c>
    </row>
    <row r="621" spans="1:16" ht="14.25" customHeight="1">
      <c r="A621" s="20" t="s">
        <v>494</v>
      </c>
      <c r="B621" s="20" t="str">
        <f t="shared" si="54"/>
        <v>ESTRATEGIA 1</v>
      </c>
      <c r="C621" s="20" t="str">
        <f>$C$619</f>
        <v>OBJETIVO OPERATIVO 4</v>
      </c>
      <c r="D621" s="20" t="b">
        <f>Tributación!B24</f>
        <v>0</v>
      </c>
      <c r="E621" s="20" t="str">
        <f>Tributación!C24</f>
        <v>Media</v>
      </c>
      <c r="F621" s="21" t="str">
        <f>Tributación!D24</f>
        <v>2025-I(inicio de ciclo)
2025-II(inicio de ciclo)</v>
      </c>
      <c r="G621" s="20" t="str">
        <f>Tributación!E24</f>
        <v>Designar responsables de la administración de la plataforma, tutorías , prácticas, vinculación , etc.</v>
      </c>
      <c r="H621" s="20" t="str">
        <f>Tributación!F24</f>
        <v>Director/a carrera</v>
      </c>
      <c r="I621" s="20" t="str">
        <f>Tributación!G24</f>
        <v>Realizar las designaciones y evidenciar los responsables y tutores de la carrera</v>
      </c>
      <c r="J621" s="20" t="str">
        <f>Tributación!H24</f>
        <v>Oficios de designaciones de responsables.</v>
      </c>
      <c r="K621" s="62">
        <f>Tributación!I24</f>
        <v>1</v>
      </c>
      <c r="L621" s="160">
        <f>Tributación!J24</f>
        <v>0</v>
      </c>
      <c r="M621" s="20">
        <f>Tributación!K24</f>
        <v>0</v>
      </c>
      <c r="N621" s="20">
        <f>Tributación!L24</f>
        <v>0</v>
      </c>
      <c r="O621" s="20">
        <f>Tributación!M24</f>
        <v>0</v>
      </c>
      <c r="P621" s="20">
        <v>2025</v>
      </c>
    </row>
    <row r="622" spans="1:16" ht="14.25" customHeight="1">
      <c r="A622" s="20" t="s">
        <v>494</v>
      </c>
      <c r="B622" s="20" t="str">
        <f>Tributación!B25</f>
        <v>ESTRATEGIA 2</v>
      </c>
      <c r="C622" s="20" t="str">
        <f>Tributación!E25</f>
        <v>OBJETIVO OPERATIVO 1</v>
      </c>
      <c r="D622" s="20" t="b">
        <f>Tributación!B26</f>
        <v>0</v>
      </c>
      <c r="E622" s="20" t="str">
        <f>Tributación!C26</f>
        <v>Alta</v>
      </c>
      <c r="F622" s="21" t="str">
        <f>Tributación!D26</f>
        <v>2025-I(Inicio de ciclo)
2025-II(Inicio de ciclo)</v>
      </c>
      <c r="G622" s="20" t="str">
        <f>Tributación!E26</f>
        <v>Elaborar y presentar el calendario de actividades de la o las carreras, horarios de clases y laboratorios.</v>
      </c>
      <c r="H622" s="20" t="str">
        <f>Tributación!F26</f>
        <v>Director/a carrera</v>
      </c>
      <c r="I622" s="20" t="str">
        <f>Tributación!G26</f>
        <v>Realizar los documentos necesarios para el desarrollo de las actividades de cada periodo de la carrera</v>
      </c>
      <c r="J622" s="20" t="str">
        <f>Tributación!H26</f>
        <v>Calendario y horarios aprobados</v>
      </c>
      <c r="K622" s="62">
        <f>Tributación!I26</f>
        <v>1</v>
      </c>
      <c r="L622" s="160">
        <f>Tributación!J26</f>
        <v>0</v>
      </c>
      <c r="M622" s="20">
        <f>Tributación!K26</f>
        <v>0</v>
      </c>
      <c r="N622" s="20">
        <f>Tributación!L26</f>
        <v>0</v>
      </c>
      <c r="O622" s="20">
        <f>Tributación!M26</f>
        <v>0</v>
      </c>
      <c r="P622" s="20">
        <v>2025</v>
      </c>
    </row>
    <row r="623" spans="1:16" ht="14.25" customHeight="1">
      <c r="A623" s="20" t="s">
        <v>494</v>
      </c>
      <c r="B623" s="20" t="str">
        <f t="shared" ref="B623:B639" si="55">$B$622</f>
        <v>ESTRATEGIA 2</v>
      </c>
      <c r="C623" s="20" t="str">
        <f t="shared" ref="C623:C633" si="56">$C$622</f>
        <v>OBJETIVO OPERATIVO 1</v>
      </c>
      <c r="D623" s="20" t="b">
        <f>Tributación!B27</f>
        <v>0</v>
      </c>
      <c r="E623" s="20" t="str">
        <f>Tributación!C27</f>
        <v>Media</v>
      </c>
      <c r="F623" s="21" t="str">
        <f>Tributación!D27</f>
        <v>2025-I(Todo el ciclo)
2025-II(Todo de ciclo)</v>
      </c>
      <c r="G623" s="20" t="str">
        <f>Tributación!E27</f>
        <v>Requerimiento y aprobación de Documentos académicos. (Sílabos, guías practicas e informes de avance de Silabo)</v>
      </c>
      <c r="H623" s="20" t="str">
        <f>Tributación!F27</f>
        <v>Director/a carrera - gestor académico</v>
      </c>
      <c r="I623" s="20" t="str">
        <f>Tributación!G27</f>
        <v>Solicitud de documentos académicos por materias</v>
      </c>
      <c r="J623" s="20" t="str">
        <f>Tributación!H27</f>
        <v>Documentación aprobada.</v>
      </c>
      <c r="K623" s="62">
        <f>Tributación!I27</f>
        <v>1</v>
      </c>
      <c r="L623" s="160">
        <f>Tributación!J27</f>
        <v>0</v>
      </c>
      <c r="M623" s="20">
        <f>Tributación!K27</f>
        <v>0</v>
      </c>
      <c r="N623" s="20">
        <f>Tributación!L27</f>
        <v>0</v>
      </c>
      <c r="O623" s="20" t="str">
        <f>Tributación!M27</f>
        <v>Subir evidencia</v>
      </c>
      <c r="P623" s="20">
        <v>2025</v>
      </c>
    </row>
    <row r="624" spans="1:16" ht="14.25" customHeight="1">
      <c r="A624" s="20" t="s">
        <v>494</v>
      </c>
      <c r="B624" s="20" t="str">
        <f t="shared" si="55"/>
        <v>ESTRATEGIA 2</v>
      </c>
      <c r="C624" s="20" t="str">
        <f t="shared" si="56"/>
        <v>OBJETIVO OPERATIVO 1</v>
      </c>
      <c r="D624" s="20" t="b">
        <f>Tributación!B28</f>
        <v>0</v>
      </c>
      <c r="E624" s="20" t="str">
        <f>Tributación!C28</f>
        <v>Media</v>
      </c>
      <c r="F624" s="21" t="str">
        <f>Tributación!D28</f>
        <v>2025-I(Todo el ciclo)
2025-II(Todo de ciclo)</v>
      </c>
      <c r="G624" s="20" t="str">
        <f>Tributación!E28</f>
        <v>Seguimiento al cumplimiento de la documentación académica.</v>
      </c>
      <c r="H624" s="20" t="str">
        <f>Tributación!F28</f>
        <v>Director/a carrera - gestor académico</v>
      </c>
      <c r="I624" s="20" t="str">
        <f>Tributación!G28</f>
        <v>Revisión de documentos académicos por materias</v>
      </c>
      <c r="J624" s="20" t="str">
        <f>Tributación!H28</f>
        <v>Informe de carrera sobre la documentación recibida.</v>
      </c>
      <c r="K624" s="62">
        <f>Tributación!I28</f>
        <v>1</v>
      </c>
      <c r="L624" s="160">
        <f>Tributación!J28</f>
        <v>0</v>
      </c>
      <c r="M624" s="20">
        <f>Tributación!K28</f>
        <v>0</v>
      </c>
      <c r="N624" s="20">
        <f>Tributación!L28</f>
        <v>0</v>
      </c>
      <c r="O624" s="20" t="str">
        <f>Tributación!M28</f>
        <v>Subir evidencia</v>
      </c>
      <c r="P624" s="20">
        <v>2025</v>
      </c>
    </row>
    <row r="625" spans="1:16" ht="14.25" customHeight="1">
      <c r="A625" s="20" t="s">
        <v>494</v>
      </c>
      <c r="B625" s="20" t="str">
        <f t="shared" si="55"/>
        <v>ESTRATEGIA 2</v>
      </c>
      <c r="C625" s="20" t="str">
        <f t="shared" si="56"/>
        <v>OBJETIVO OPERATIVO 1</v>
      </c>
      <c r="D625" s="20" t="b">
        <f>Tributación!B29</f>
        <v>0</v>
      </c>
      <c r="E625" s="20" t="str">
        <f>Tributación!C29</f>
        <v>Baja</v>
      </c>
      <c r="F625" s="21" t="str">
        <f>Tributación!D29</f>
        <v>2025-I(Todo el ciclo)
2025-II(Todo de ciclo)</v>
      </c>
      <c r="G625" s="20" t="str">
        <f>Tributación!E29</f>
        <v>Reuniones de carrera  para socialización y toma de decisiones</v>
      </c>
      <c r="H625" s="20" t="str">
        <f>Tributación!F29</f>
        <v>Director/a carrera - gestor académico</v>
      </c>
      <c r="I625" s="20" t="str">
        <f>Tributación!G29</f>
        <v>Reuniones de carrera de acuerdo a requerimientos</v>
      </c>
      <c r="J625" s="20" t="str">
        <f>Tributación!H29</f>
        <v>Convocatorias, actas e informes de reuniones de carrera.</v>
      </c>
      <c r="K625" s="62">
        <f>Tributación!I29</f>
        <v>1</v>
      </c>
      <c r="L625" s="160">
        <f>Tributación!J29</f>
        <v>0</v>
      </c>
      <c r="M625" s="20">
        <f>Tributación!K29</f>
        <v>0</v>
      </c>
      <c r="N625" s="20">
        <f>Tributación!L29</f>
        <v>0</v>
      </c>
      <c r="O625" s="20" t="str">
        <f>Tributación!M29</f>
        <v>Subir evidencia</v>
      </c>
      <c r="P625" s="20">
        <v>2025</v>
      </c>
    </row>
    <row r="626" spans="1:16" ht="14.25" customHeight="1">
      <c r="A626" s="20" t="s">
        <v>494</v>
      </c>
      <c r="B626" s="20" t="str">
        <f t="shared" si="55"/>
        <v>ESTRATEGIA 2</v>
      </c>
      <c r="C626" s="20" t="str">
        <f t="shared" si="56"/>
        <v>OBJETIVO OPERATIVO 1</v>
      </c>
      <c r="D626" s="20" t="b">
        <f>Tributación!B30</f>
        <v>0</v>
      </c>
      <c r="E626" s="20" t="str">
        <f>Tributación!C30</f>
        <v>Baja</v>
      </c>
      <c r="F626" s="21">
        <f>Tributación!D30</f>
        <v>45838</v>
      </c>
      <c r="G626" s="20" t="str">
        <f>Tributación!E30</f>
        <v>Informe semestral POA 2025</v>
      </c>
      <c r="H626" s="20" t="str">
        <f>Tributación!F30</f>
        <v>Director/a carrera - gestor académico</v>
      </c>
      <c r="I626" s="20" t="str">
        <f>Tributación!G30</f>
        <v>Informar sobre el avance del  POA</v>
      </c>
      <c r="J626" s="20" t="str">
        <f>Tributación!H30</f>
        <v>Informe semestral seguimiento POA 2025</v>
      </c>
      <c r="K626" s="62">
        <f>Tributación!I30</f>
        <v>1</v>
      </c>
      <c r="L626" s="160">
        <f>Tributación!J30</f>
        <v>0</v>
      </c>
      <c r="M626" s="20">
        <f>Tributación!K30</f>
        <v>0</v>
      </c>
      <c r="N626" s="20">
        <f>Tributación!L30</f>
        <v>0</v>
      </c>
      <c r="O626" s="20">
        <f>Tributación!M30</f>
        <v>0</v>
      </c>
      <c r="P626" s="20">
        <v>2025</v>
      </c>
    </row>
    <row r="627" spans="1:16" ht="14.25" customHeight="1">
      <c r="A627" s="20" t="s">
        <v>494</v>
      </c>
      <c r="B627" s="20" t="str">
        <f t="shared" si="55"/>
        <v>ESTRATEGIA 2</v>
      </c>
      <c r="C627" s="20" t="str">
        <f t="shared" si="56"/>
        <v>OBJETIVO OPERATIVO 1</v>
      </c>
      <c r="D627" s="20" t="b">
        <f>Tributación!B31</f>
        <v>0</v>
      </c>
      <c r="E627" s="20" t="str">
        <f>Tributación!C31</f>
        <v>Baja</v>
      </c>
      <c r="F627" s="21">
        <f>Tributación!D31</f>
        <v>45991</v>
      </c>
      <c r="G627" s="20" t="str">
        <f>Tributación!E31</f>
        <v>Informe final POA 2025</v>
      </c>
      <c r="H627" s="20" t="str">
        <f>Tributación!F31</f>
        <v>Director/a carrera - gestor académico</v>
      </c>
      <c r="I627" s="20" t="str">
        <f>Tributación!G31</f>
        <v>Informar sobre el alcance final del  POA</v>
      </c>
      <c r="J627" s="20" t="str">
        <f>Tributación!H31</f>
        <v>Informe final POA 2025</v>
      </c>
      <c r="K627" s="62">
        <f>Tributación!I31</f>
        <v>1</v>
      </c>
      <c r="L627" s="160">
        <f>Tributación!J31</f>
        <v>0</v>
      </c>
      <c r="M627" s="20">
        <f>Tributación!K31</f>
        <v>0</v>
      </c>
      <c r="N627" s="20">
        <f>Tributación!L31</f>
        <v>0</v>
      </c>
      <c r="O627" s="20" t="str">
        <f>Tributación!M31</f>
        <v>Segundo semestre</v>
      </c>
      <c r="P627" s="20">
        <v>2025</v>
      </c>
    </row>
    <row r="628" spans="1:16" ht="14.25" customHeight="1">
      <c r="A628" s="20" t="s">
        <v>494</v>
      </c>
      <c r="B628" s="20" t="str">
        <f t="shared" si="55"/>
        <v>ESTRATEGIA 2</v>
      </c>
      <c r="C628" s="20" t="str">
        <f t="shared" si="56"/>
        <v>OBJETIVO OPERATIVO 1</v>
      </c>
      <c r="D628" s="20" t="b">
        <f>Tributación!B32</f>
        <v>0</v>
      </c>
      <c r="E628" s="20" t="str">
        <f>Tributación!C32</f>
        <v>Baja</v>
      </c>
      <c r="F628" s="21">
        <f>Tributación!D32</f>
        <v>46011</v>
      </c>
      <c r="G628" s="20" t="str">
        <f>Tributación!E32</f>
        <v>Elaborar la Planificación Operativa Anual 2026</v>
      </c>
      <c r="H628" s="20" t="str">
        <f>Tributación!F32</f>
        <v>Director/a carrera - gestor académico</v>
      </c>
      <c r="I628" s="20" t="str">
        <f>Tributación!G32</f>
        <v>Realizar la planificación para el 2026</v>
      </c>
      <c r="J628" s="20" t="str">
        <f>Tributación!H32</f>
        <v>POA 2026</v>
      </c>
      <c r="K628" s="62">
        <f>Tributación!I32</f>
        <v>1</v>
      </c>
      <c r="L628" s="160">
        <f>Tributación!J32</f>
        <v>0</v>
      </c>
      <c r="M628" s="20">
        <f>Tributación!K32</f>
        <v>0</v>
      </c>
      <c r="N628" s="20">
        <f>Tributación!L32</f>
        <v>0</v>
      </c>
      <c r="O628" s="20" t="str">
        <f>Tributación!M32</f>
        <v>Segundo semestre</v>
      </c>
      <c r="P628" s="20">
        <v>2025</v>
      </c>
    </row>
    <row r="629" spans="1:16" ht="14.25" customHeight="1">
      <c r="A629" s="20" t="s">
        <v>494</v>
      </c>
      <c r="B629" s="20" t="str">
        <f t="shared" si="55"/>
        <v>ESTRATEGIA 2</v>
      </c>
      <c r="C629" s="20" t="str">
        <f t="shared" si="56"/>
        <v>OBJETIVO OPERATIVO 1</v>
      </c>
      <c r="D629" s="20" t="b">
        <f>Tributación!B33</f>
        <v>0</v>
      </c>
      <c r="E629" s="20" t="str">
        <f>Tributación!C33</f>
        <v>Media</v>
      </c>
      <c r="F629" s="21" t="str">
        <f>Tributación!D33</f>
        <v>2025-I (inicio de ciclo)
2025-II (inicio de ciclo)</v>
      </c>
      <c r="G629" s="20" t="str">
        <f>Tributación!E33</f>
        <v>Designación de tutores de curso</v>
      </c>
      <c r="H629" s="20" t="str">
        <f>Tributación!F33</f>
        <v>Director/a carrera</v>
      </c>
      <c r="I629" s="20" t="str">
        <f>Tributación!G33</f>
        <v>Realizar las designaciones y evidenciar los responsables y tutores de la carrera</v>
      </c>
      <c r="J629" s="20" t="str">
        <f>Tributación!H33</f>
        <v>Documento de designación de tutores por parte del director de carrera</v>
      </c>
      <c r="K629" s="62">
        <f>Tributación!I33</f>
        <v>1</v>
      </c>
      <c r="L629" s="160">
        <f>Tributación!J33</f>
        <v>0</v>
      </c>
      <c r="M629" s="20">
        <f>Tributación!K33</f>
        <v>0</v>
      </c>
      <c r="N629" s="20">
        <f>Tributación!L33</f>
        <v>0</v>
      </c>
      <c r="O629" s="20" t="str">
        <f>Tributación!M33</f>
        <v>Subir evidencia</v>
      </c>
      <c r="P629" s="20">
        <v>2025</v>
      </c>
    </row>
    <row r="630" spans="1:16" ht="14.25" customHeight="1">
      <c r="A630" s="20" t="s">
        <v>494</v>
      </c>
      <c r="B630" s="20" t="str">
        <f t="shared" si="55"/>
        <v>ESTRATEGIA 2</v>
      </c>
      <c r="C630" s="20" t="str">
        <f t="shared" si="56"/>
        <v>OBJETIVO OPERATIVO 1</v>
      </c>
      <c r="D630" s="20" t="b">
        <f>Tributación!B34</f>
        <v>0</v>
      </c>
      <c r="E630" s="20" t="str">
        <f>Tributación!C34</f>
        <v>Media</v>
      </c>
      <c r="F630" s="21" t="str">
        <f>Tributación!D34</f>
        <v>2025-I(Todo el ciclo)
2025-II(Todo el ciclo)</v>
      </c>
      <c r="G630" s="20" t="str">
        <f>Tributación!E34</f>
        <v>Ejecutar las actividades de la fase de SEGUIMIENTO del modelo metodológico del proceso de Seguimiento Curricular</v>
      </c>
      <c r="H630" s="20" t="str">
        <f>Tributación!F34</f>
        <v>Director/a de carrera - Gestor/a académico
Tutores de curso</v>
      </c>
      <c r="I630" s="20" t="str">
        <f>Tributación!G34</f>
        <v>Realizar el Seguimiento del modelo metodológico</v>
      </c>
      <c r="J630" s="20" t="str">
        <f>Tributación!H34</f>
        <v>Fase SEGUIMIENTO:
INICIO: Socialización de Tutorías Académicas
DURANTE: Registro de Calificaciones del Primer Parcial
FINAL : Registro de Calificación Finales</v>
      </c>
      <c r="K630" s="62">
        <f>Tributación!I34</f>
        <v>1</v>
      </c>
      <c r="L630" s="160">
        <f>Tributación!J34</f>
        <v>0</v>
      </c>
      <c r="M630" s="20">
        <f>Tributación!K34</f>
        <v>0</v>
      </c>
      <c r="N630" s="20">
        <f>Tributación!L34</f>
        <v>0</v>
      </c>
      <c r="O630" s="20" t="str">
        <f>Tributación!M34</f>
        <v>Subir evidencia</v>
      </c>
      <c r="P630" s="20">
        <v>2025</v>
      </c>
    </row>
    <row r="631" spans="1:16" ht="14.25" customHeight="1">
      <c r="A631" s="20" t="s">
        <v>494</v>
      </c>
      <c r="B631" s="20" t="str">
        <f t="shared" si="55"/>
        <v>ESTRATEGIA 2</v>
      </c>
      <c r="C631" s="20" t="str">
        <f t="shared" si="56"/>
        <v>OBJETIVO OPERATIVO 1</v>
      </c>
      <c r="D631" s="20" t="b">
        <f>Tributación!B35</f>
        <v>0</v>
      </c>
      <c r="E631" s="20" t="str">
        <f>Tributación!C35</f>
        <v>Media</v>
      </c>
      <c r="F631" s="21" t="str">
        <f>Tributación!D35</f>
        <v>2025-I(Todo el ciclo)
2025-II(Todo el ciclo)</v>
      </c>
      <c r="G631" s="20" t="str">
        <f>Tributación!E35</f>
        <v>Ejecutar las actividades de la fase de CONTROL del modelo metodológico del proceso de Seguimiento Curricular</v>
      </c>
      <c r="H631" s="20" t="str">
        <f>Tributación!F35</f>
        <v>Director/a de carrera - Gestor/a académico
Tutores de curso</v>
      </c>
      <c r="I631" s="20" t="str">
        <f>Tributación!G35</f>
        <v>Realizar el Control del modelo metodológico</v>
      </c>
      <c r="J631" s="20" t="str">
        <f>Tributación!H35</f>
        <v>Fase CONTROL:
INICIO: Matriz consolidada de resultados de Pruebas de Diagnostico
DURANTE: Matriz consolidada de resultados de Calificaciones del Primer Parcial
FINAL : Matriz consolidada de resultados de Calificaciones Finales</v>
      </c>
      <c r="K631" s="62">
        <f>Tributación!I35</f>
        <v>1</v>
      </c>
      <c r="L631" s="160">
        <f>Tributación!J35</f>
        <v>0</v>
      </c>
      <c r="M631" s="20">
        <f>Tributación!K35</f>
        <v>0</v>
      </c>
      <c r="N631" s="20">
        <f>Tributación!L35</f>
        <v>0</v>
      </c>
      <c r="O631" s="20" t="str">
        <f>Tributación!M35</f>
        <v>Subir evidencia</v>
      </c>
      <c r="P631" s="20">
        <v>2025</v>
      </c>
    </row>
    <row r="632" spans="1:16" ht="14.25" customHeight="1">
      <c r="A632" s="20" t="s">
        <v>494</v>
      </c>
      <c r="B632" s="20" t="str">
        <f t="shared" si="55"/>
        <v>ESTRATEGIA 2</v>
      </c>
      <c r="C632" s="20" t="str">
        <f t="shared" si="56"/>
        <v>OBJETIVO OPERATIVO 1</v>
      </c>
      <c r="D632" s="20" t="b">
        <f>Tributación!B36</f>
        <v>0</v>
      </c>
      <c r="E632" s="20" t="str">
        <f>Tributación!C36</f>
        <v>Media</v>
      </c>
      <c r="F632" s="21" t="str">
        <f>Tributación!D36</f>
        <v>2025-I(Todo el ciclo)
2025-II(Todo el ciclo)</v>
      </c>
      <c r="G632" s="20" t="str">
        <f>Tributación!E36</f>
        <v>Ejecutar las actividades de la fase de EVALUACIÓN del modelo metodológico del proceso de Seguimiento Curricular</v>
      </c>
      <c r="H632" s="20" t="str">
        <f>Tributación!F36</f>
        <v>Director/a de carrera - Gestor/a académico
Tutores de curso</v>
      </c>
      <c r="I632" s="20" t="str">
        <f>Tributación!G36</f>
        <v>Realizar la Evaluación del modelo metodológico</v>
      </c>
      <c r="J632" s="20" t="str">
        <f>Tributación!H36</f>
        <v>Fase EVALAUCIÓN:
INICIO: Acta de reunión de inicio de ciclo estudiantes
DURANTE: Acta de reunión del Primer Parcial Docentes - Estudiantes
FINAL : Acta de reunión Final - Docentes - Estudiantes</v>
      </c>
      <c r="K632" s="62">
        <f>Tributación!I36</f>
        <v>1</v>
      </c>
      <c r="L632" s="160">
        <f>Tributación!J36</f>
        <v>0</v>
      </c>
      <c r="M632" s="20">
        <f>Tributación!K36</f>
        <v>0</v>
      </c>
      <c r="N632" s="20">
        <f>Tributación!L36</f>
        <v>0</v>
      </c>
      <c r="O632" s="20" t="str">
        <f>Tributación!M36</f>
        <v>Subir evidencia</v>
      </c>
      <c r="P632" s="20">
        <v>2025</v>
      </c>
    </row>
    <row r="633" spans="1:16" ht="14.25" customHeight="1">
      <c r="A633" s="20" t="s">
        <v>494</v>
      </c>
      <c r="B633" s="20" t="str">
        <f t="shared" si="55"/>
        <v>ESTRATEGIA 2</v>
      </c>
      <c r="C633" s="20" t="str">
        <f t="shared" si="56"/>
        <v>OBJETIVO OPERATIVO 1</v>
      </c>
      <c r="D633" s="20" t="b">
        <f>Tributación!B37</f>
        <v>0</v>
      </c>
      <c r="E633" s="20" t="str">
        <f>Tributación!C37</f>
        <v>Baja</v>
      </c>
      <c r="F633" s="21" t="str">
        <f>Tributación!D37</f>
        <v>2024-II(Fin de ciclo)
2025-I(Fin de Ciclo)</v>
      </c>
      <c r="G633" s="20" t="str">
        <f>Tributación!E37</f>
        <v>Elaboración del Plan de Mejoramiento del proceso enseñanza aprendizaje</v>
      </c>
      <c r="H633" s="20" t="str">
        <f>Tributación!F37</f>
        <v>Director/a carrera
Responsable de Seguimiento a graduados de la carrera</v>
      </c>
      <c r="I633" s="20" t="str">
        <f>Tributación!G37</f>
        <v>De acuerdo a los resultados generar el Plan de Mejoramiento enseñanza aprendizaje</v>
      </c>
      <c r="J633" s="20" t="str">
        <f>Tributación!H37</f>
        <v>Informe de plan de mejoramiento curricular</v>
      </c>
      <c r="K633" s="62">
        <f>Tributación!I37</f>
        <v>0.5</v>
      </c>
      <c r="L633" s="160">
        <f>Tributación!J37</f>
        <v>0</v>
      </c>
      <c r="M633" s="20">
        <f>Tributación!K37</f>
        <v>0</v>
      </c>
      <c r="N633" s="20">
        <f>Tributación!L37</f>
        <v>0</v>
      </c>
      <c r="O633" s="20" t="str">
        <f>Tributación!M37</f>
        <v>Subir evidencia</v>
      </c>
      <c r="P633" s="20">
        <v>2025</v>
      </c>
    </row>
    <row r="634" spans="1:16" ht="14.25" customHeight="1">
      <c r="A634" s="20" t="s">
        <v>494</v>
      </c>
      <c r="B634" s="20" t="str">
        <f t="shared" si="55"/>
        <v>ESTRATEGIA 2</v>
      </c>
      <c r="C634" s="20" t="str">
        <f>Tributación!E38</f>
        <v>OBJETIVO OPERATIVO 2</v>
      </c>
      <c r="D634" s="20" t="b">
        <f>Tributación!B39</f>
        <v>1</v>
      </c>
      <c r="E634" s="20" t="str">
        <f>Tributación!C39</f>
        <v>Media</v>
      </c>
      <c r="F634" s="21" t="str">
        <f>Tributación!D39</f>
        <v>2025-II(Inicio de ciclo)</v>
      </c>
      <c r="G634" s="20" t="str">
        <f>Tributación!E39</f>
        <v>Diseñar, gestionar e implementar cursos o programas de inducción y de actualización para docentes y estudiantes.</v>
      </c>
      <c r="H634" s="20" t="str">
        <f>Tributación!F39</f>
        <v>Director/a carrera - gestor académico</v>
      </c>
      <c r="I634" s="20" t="str">
        <f>Tributación!G39</f>
        <v>Generar la capacitación docente</v>
      </c>
      <c r="J634" s="20" t="str">
        <f>Tributación!H39</f>
        <v>Informes de cursos y o programas.</v>
      </c>
      <c r="K634" s="62">
        <f>Tributación!I39</f>
        <v>1</v>
      </c>
      <c r="L634" s="160">
        <f>Tributación!J39</f>
        <v>0</v>
      </c>
      <c r="M634" s="20">
        <f>Tributación!K39</f>
        <v>0</v>
      </c>
      <c r="N634" s="20">
        <f>Tributación!L39</f>
        <v>0</v>
      </c>
      <c r="O634" s="20" t="str">
        <f>Tributación!M39</f>
        <v>Se ha planificado para el final del periodo 2025 II</v>
      </c>
      <c r="P634" s="20">
        <v>2025</v>
      </c>
    </row>
    <row r="635" spans="1:16" ht="14.25" customHeight="1">
      <c r="A635" s="20" t="s">
        <v>494</v>
      </c>
      <c r="B635" s="20" t="str">
        <f t="shared" si="55"/>
        <v>ESTRATEGIA 2</v>
      </c>
      <c r="C635" s="20" t="str">
        <f>$C$634</f>
        <v>OBJETIVO OPERATIVO 2</v>
      </c>
      <c r="D635" s="20" t="b">
        <f>Tributación!B40</f>
        <v>1</v>
      </c>
      <c r="E635" s="20" t="str">
        <f>Tributación!C40</f>
        <v>Media</v>
      </c>
      <c r="F635" s="21" t="str">
        <f>Tributación!D40</f>
        <v>2025-II(Inicio de ciclo)</v>
      </c>
      <c r="G635" s="20" t="str">
        <f>Tributación!E40</f>
        <v>Capacitar a los estudiantes sobre la utilización de la Plataforma Moodle.</v>
      </c>
      <c r="H635" s="20" t="str">
        <f>Tributación!F40</f>
        <v>responsable plataforma Moodle de la carrera</v>
      </c>
      <c r="I635" s="20" t="str">
        <f>Tributación!G40</f>
        <v>Generar la capacitación estudiantil sobre el Moodle</v>
      </c>
      <c r="J635" s="20" t="str">
        <f>Tributación!H40</f>
        <v>Informe sobre la capacitación</v>
      </c>
      <c r="K635" s="62">
        <f>Tributación!I40</f>
        <v>1</v>
      </c>
      <c r="L635" s="160">
        <f>Tributación!J40</f>
        <v>0</v>
      </c>
      <c r="M635" s="20">
        <f>Tributación!K40</f>
        <v>0</v>
      </c>
      <c r="N635" s="20">
        <f>Tributación!L40</f>
        <v>0</v>
      </c>
      <c r="O635" s="20" t="str">
        <f>Tributación!M40</f>
        <v>Se ha planificado para el final del periodo 2025 II</v>
      </c>
      <c r="P635" s="20">
        <v>2025</v>
      </c>
    </row>
    <row r="636" spans="1:16" ht="14.25" customHeight="1">
      <c r="A636" s="20" t="s">
        <v>494</v>
      </c>
      <c r="B636" s="20" t="str">
        <f t="shared" si="55"/>
        <v>ESTRATEGIA 2</v>
      </c>
      <c r="C636" s="20" t="str">
        <f>$C$634</f>
        <v>OBJETIVO OPERATIVO 2</v>
      </c>
      <c r="D636" s="20" t="b">
        <f>Tributación!B41</f>
        <v>1</v>
      </c>
      <c r="E636" s="20" t="str">
        <f>Tributación!C41</f>
        <v>Baja</v>
      </c>
      <c r="F636" s="21" t="str">
        <f>Tributación!D41</f>
        <v>2025-II(Fin de ciclo)</v>
      </c>
      <c r="G636" s="20" t="str">
        <f>Tributación!E41</f>
        <v>Elaborar y ejecutar la planificación de oferta complementaria.</v>
      </c>
      <c r="H636" s="20" t="str">
        <f>Tributación!F41</f>
        <v>Docentes de la carrera</v>
      </c>
      <c r="I636" s="20" t="str">
        <f>Tributación!G41</f>
        <v>Analizar y realizar la oferta complementaria</v>
      </c>
      <c r="J636" s="20" t="str">
        <f>Tributación!H41</f>
        <v>Informe de ejecución de la oferta complementaria.</v>
      </c>
      <c r="K636" s="62">
        <f>Tributación!I41</f>
        <v>1</v>
      </c>
      <c r="L636" s="160">
        <f>Tributación!J41</f>
        <v>0</v>
      </c>
      <c r="M636" s="20">
        <f>Tributación!K41</f>
        <v>0</v>
      </c>
      <c r="N636" s="20">
        <f>Tributación!L41</f>
        <v>0</v>
      </c>
      <c r="O636" s="20" t="str">
        <f>Tributación!M41</f>
        <v>Se ha planificado para el final del periodo 2025 II</v>
      </c>
      <c r="P636" s="20">
        <v>2025</v>
      </c>
    </row>
    <row r="637" spans="1:16" ht="14.25" customHeight="1">
      <c r="A637" s="20" t="s">
        <v>494</v>
      </c>
      <c r="B637" s="20" t="str">
        <f t="shared" si="55"/>
        <v>ESTRATEGIA 2</v>
      </c>
      <c r="C637" s="20" t="str">
        <f>Tributación!E42</f>
        <v>OBJETIVO OPERATIVO 3</v>
      </c>
      <c r="D637" s="20" t="b">
        <f>Tributación!B43</f>
        <v>1</v>
      </c>
      <c r="E637" s="20" t="str">
        <f>Tributación!C43</f>
        <v>Alta</v>
      </c>
      <c r="F637" s="21" t="str">
        <f>Tributación!D43</f>
        <v>2025-I(Inicio de ciclo)</v>
      </c>
      <c r="G637" s="20" t="str">
        <f>Tributación!E43</f>
        <v>Revisión de requisitos de la opción de titulación de los estudiantes.</v>
      </c>
      <c r="H637" s="20" t="str">
        <f>Tributación!F43</f>
        <v>Director de carrera / Coordinador de carreras</v>
      </c>
      <c r="I637" s="20" t="str">
        <f>Tributación!G43</f>
        <v>Realizar el análisis de la opción de titulación para los estudiantes</v>
      </c>
      <c r="J637" s="20" t="str">
        <f>Tributación!H43</f>
        <v>Recopilar los documentos de los estudiantes de titulación.</v>
      </c>
      <c r="K637" s="62">
        <f>Tributación!I43</f>
        <v>0.5</v>
      </c>
      <c r="L637" s="160">
        <f>Tributación!J43</f>
        <v>0</v>
      </c>
      <c r="M637" s="20">
        <f>Tributación!K43</f>
        <v>0</v>
      </c>
      <c r="N637" s="20">
        <f>Tributación!L43</f>
        <v>0</v>
      </c>
      <c r="O637" s="20" t="str">
        <f>Tributación!M43</f>
        <v>El ciclo anterior no existión graduaciones</v>
      </c>
      <c r="P637" s="20">
        <v>2025</v>
      </c>
    </row>
    <row r="638" spans="1:16" ht="14.25" customHeight="1">
      <c r="A638" s="20" t="s">
        <v>494</v>
      </c>
      <c r="B638" s="20" t="str">
        <f t="shared" si="55"/>
        <v>ESTRATEGIA 2</v>
      </c>
      <c r="C638" s="20" t="str">
        <f>$C$637</f>
        <v>OBJETIVO OPERATIVO 3</v>
      </c>
      <c r="D638" s="20" t="b">
        <f>Tributación!B44</f>
        <v>1</v>
      </c>
      <c r="E638" s="20" t="str">
        <f>Tributación!C44</f>
        <v>Alta</v>
      </c>
      <c r="F638" s="21" t="str">
        <f>Tributación!D44</f>
        <v>2025-I(Inicio de ciclo)</v>
      </c>
      <c r="G638" s="20" t="str">
        <f>Tributación!E44</f>
        <v>Coordinación para aprobación de documentación de la integración curricular.</v>
      </c>
      <c r="H638" s="20" t="str">
        <f>Tributación!F44</f>
        <v>Director de carrera / Coordinador de carreras</v>
      </c>
      <c r="I638" s="20" t="str">
        <f>Tributación!G44</f>
        <v>Revisar y coordinar la aprobación de documentos para el ingreso a la unidad de integración curricular</v>
      </c>
      <c r="J638" s="20" t="str">
        <f>Tributación!H44</f>
        <v>Aprobación de la documentación a titulación.</v>
      </c>
      <c r="K638" s="62">
        <f>Tributación!I44</f>
        <v>0.5</v>
      </c>
      <c r="L638" s="160">
        <f>Tributación!J44</f>
        <v>0</v>
      </c>
      <c r="M638" s="20">
        <f>Tributación!K44</f>
        <v>0</v>
      </c>
      <c r="N638" s="20">
        <f>Tributación!L44</f>
        <v>0</v>
      </c>
      <c r="O638" s="20" t="str">
        <f>Tributación!M44</f>
        <v>El ciclo anterior no existión graduaciones</v>
      </c>
      <c r="P638" s="20">
        <v>2025</v>
      </c>
    </row>
    <row r="639" spans="1:16" ht="14.25" customHeight="1">
      <c r="A639" s="20" t="s">
        <v>494</v>
      </c>
      <c r="B639" s="20" t="str">
        <f t="shared" si="55"/>
        <v>ESTRATEGIA 2</v>
      </c>
      <c r="C639" s="20" t="str">
        <f>$C$637</f>
        <v>OBJETIVO OPERATIVO 3</v>
      </c>
      <c r="D639" s="20" t="b">
        <f>Tributación!B45</f>
        <v>1</v>
      </c>
      <c r="E639" s="20" t="str">
        <f>Tributación!C45</f>
        <v>Alta</v>
      </c>
      <c r="F639" s="21" t="str">
        <f>Tributación!D45</f>
        <v>2025-I(Fin de ciclo)</v>
      </c>
      <c r="G639" s="20" t="str">
        <f>Tributación!E45</f>
        <v>Coordinación del evento de incorporación.</v>
      </c>
      <c r="H639" s="20" t="str">
        <f>Tributación!F45</f>
        <v>Director de carrera / Coordinador de carreras</v>
      </c>
      <c r="I639" s="20" t="str">
        <f>Tributación!G45</f>
        <v>Realizar la lista de estudiantes a titularse</v>
      </c>
      <c r="J639" s="20" t="str">
        <f>Tributación!H45</f>
        <v>Matriz de datos de estudiantes a titularse</v>
      </c>
      <c r="K639" s="62">
        <f>Tributación!I45</f>
        <v>0.5</v>
      </c>
      <c r="L639" s="160">
        <f>Tributación!J45</f>
        <v>0</v>
      </c>
      <c r="M639" s="20">
        <f>Tributación!K45</f>
        <v>0</v>
      </c>
      <c r="N639" s="20">
        <f>Tributación!L45</f>
        <v>0</v>
      </c>
      <c r="O639" s="20" t="str">
        <f>Tributación!M45</f>
        <v>El ciclo anterior no existión graduaciones</v>
      </c>
      <c r="P639" s="20">
        <v>2025</v>
      </c>
    </row>
    <row r="640" spans="1:16" ht="14.25" customHeight="1">
      <c r="A640" s="20" t="s">
        <v>494</v>
      </c>
      <c r="B640" s="20" t="str">
        <f>Tributación!B46</f>
        <v>ESTRATEGIA 3</v>
      </c>
      <c r="C640" s="20" t="str">
        <f>Tributación!E46</f>
        <v>OBJETIVO OPERATIVO 1</v>
      </c>
      <c r="D640" s="20" t="b">
        <f>Tributación!B47</f>
        <v>0</v>
      </c>
      <c r="E640" s="20" t="str">
        <f>Tributación!C47</f>
        <v>Media</v>
      </c>
      <c r="F640" s="21" t="str">
        <f>Tributación!D47</f>
        <v>2025-I(Todo el ciclo)
2025-II(Todo de ciclo)</v>
      </c>
      <c r="G640" s="20" t="str">
        <f>Tributación!E47</f>
        <v>Colaborar con la comisión de Vinculación en la construcción de los documentos necesarios para la firma de convenios.</v>
      </c>
      <c r="H640" s="20" t="str">
        <f>Tributación!F47</f>
        <v>Director/a carrera -responsable de practicas y vinculación</v>
      </c>
      <c r="I640" s="20" t="str">
        <f>Tributación!G47</f>
        <v>Brindar apoyo y realizar ITV de vinculación de la carrera</v>
      </c>
      <c r="J640" s="20" t="str">
        <f>Tributación!H47</f>
        <v>ITV  y los convenios.</v>
      </c>
      <c r="K640" s="62">
        <f>Tributación!I47</f>
        <v>1</v>
      </c>
      <c r="L640" s="160">
        <f>Tributación!J47</f>
        <v>0</v>
      </c>
      <c r="M640" s="20">
        <f>Tributación!K47</f>
        <v>0</v>
      </c>
      <c r="N640" s="20">
        <f>Tributación!L47</f>
        <v>0</v>
      </c>
      <c r="O640" s="20" t="str">
        <f>Tributación!M47</f>
        <v>No existieron convenios de vinculación durante el año</v>
      </c>
      <c r="P640" s="20">
        <v>2025</v>
      </c>
    </row>
    <row r="641" spans="1:16" ht="14.25" customHeight="1">
      <c r="A641" s="20" t="s">
        <v>494</v>
      </c>
      <c r="B641" s="20" t="str">
        <f>$B$640</f>
        <v>ESTRATEGIA 3</v>
      </c>
      <c r="C641" s="20" t="str">
        <f>$C$640</f>
        <v>OBJETIVO OPERATIVO 1</v>
      </c>
      <c r="D641" s="20" t="b">
        <f>Tributación!B48</f>
        <v>0</v>
      </c>
      <c r="E641" s="20" t="str">
        <f>Tributación!C48</f>
        <v>Baja</v>
      </c>
      <c r="F641" s="21" t="str">
        <f>Tributación!D48</f>
        <v>2024-II( fin ciclo)
2025-I( fin ciclo)</v>
      </c>
      <c r="G641" s="20" t="str">
        <f>Tributación!E48</f>
        <v>Divulgación de los resultados de los proyectos de vinculación, asistiendo a las ferias convocados por diferentes organizaciones.</v>
      </c>
      <c r="H641" s="20" t="str">
        <f>Tributación!F48</f>
        <v>Director/a carrera -responsable de practicas y vinculación</v>
      </c>
      <c r="I641" s="20" t="str">
        <f>Tributación!G48</f>
        <v>Realizar la divulgación de los resultados de los proyectos de vinculación</v>
      </c>
      <c r="J641" s="20" t="str">
        <f>Tributación!H48</f>
        <v>Informe de la divulgación.</v>
      </c>
      <c r="K641" s="62">
        <f>Tributación!I48</f>
        <v>1</v>
      </c>
      <c r="L641" s="160">
        <f>Tributación!J48</f>
        <v>0</v>
      </c>
      <c r="M641" s="20">
        <f>Tributación!K48</f>
        <v>0</v>
      </c>
      <c r="N641" s="20">
        <f>Tributación!L48</f>
        <v>0</v>
      </c>
      <c r="O641" s="20" t="str">
        <f>Tributación!M48</f>
        <v>Subir evidencia</v>
      </c>
      <c r="P641" s="20">
        <v>2025</v>
      </c>
    </row>
    <row r="642" spans="1:16" ht="14.25" customHeight="1">
      <c r="A642" s="20" t="s">
        <v>494</v>
      </c>
      <c r="B642" s="20" t="str">
        <f>$B$640</f>
        <v>ESTRATEGIA 3</v>
      </c>
      <c r="C642" s="20" t="str">
        <f>$C$640</f>
        <v>OBJETIVO OPERATIVO 1</v>
      </c>
      <c r="D642" s="20" t="b">
        <f>Tributación!B49</f>
        <v>0</v>
      </c>
      <c r="E642" s="20" t="str">
        <f>Tributación!C49</f>
        <v>Baja</v>
      </c>
      <c r="F642" s="21" t="str">
        <f>Tributación!D49</f>
        <v>2025-I (inicio ciclo)
2025-II(inicio ciclo)</v>
      </c>
      <c r="G642" s="20" t="str">
        <f>Tributación!E49</f>
        <v>Socializar con los estudiantes el reglamento de vinculación</v>
      </c>
      <c r="H642" s="20" t="str">
        <f>Tributación!F49</f>
        <v>Director/a carrera -responsable de practicas y vinculación</v>
      </c>
      <c r="I642" s="20" t="str">
        <f>Tributación!G49</f>
        <v>Realizar la socialización del reglamento de vinculación con los estudiantes</v>
      </c>
      <c r="J642" s="20" t="str">
        <f>Tributación!H49</f>
        <v>Informe de socialización del reglamento.</v>
      </c>
      <c r="K642" s="62">
        <f>Tributación!I49</f>
        <v>1</v>
      </c>
      <c r="L642" s="160">
        <f>Tributación!J49</f>
        <v>0</v>
      </c>
      <c r="M642" s="20">
        <f>Tributación!K49</f>
        <v>0</v>
      </c>
      <c r="N642" s="20">
        <f>Tributación!L49</f>
        <v>0</v>
      </c>
      <c r="O642" s="20" t="str">
        <f>Tributación!M49</f>
        <v>Subir evidencia</v>
      </c>
      <c r="P642" s="20">
        <v>2025</v>
      </c>
    </row>
    <row r="643" spans="1:16" ht="14.25" customHeight="1">
      <c r="A643" s="20" t="s">
        <v>494</v>
      </c>
      <c r="B643" s="20" t="str">
        <f>$B$640</f>
        <v>ESTRATEGIA 3</v>
      </c>
      <c r="C643" s="20" t="str">
        <f>Tributación!E50</f>
        <v>OBJETIVO OPERATIVO 2</v>
      </c>
      <c r="D643" s="20" t="b">
        <f>Tributación!B51</f>
        <v>1</v>
      </c>
      <c r="E643" s="20" t="str">
        <f>Tributación!C51</f>
        <v>Alta</v>
      </c>
      <c r="F643" s="21" t="str">
        <f>Tributación!D51</f>
        <v>2025-I (inicio ciclo)
2025-II(inicio ciclo)</v>
      </c>
      <c r="G643" s="20" t="str">
        <f>Tributación!E51</f>
        <v>Conocer las líneas de investigación de la carrera</v>
      </c>
      <c r="H643" s="20" t="str">
        <f>Tributación!F51</f>
        <v>Director de carrera</v>
      </c>
      <c r="I643" s="20" t="str">
        <f>Tributación!G51</f>
        <v>Analizar y realizar las líneas de investigación de la carrera</v>
      </c>
      <c r="J643" s="20" t="str">
        <f>Tributación!H51</f>
        <v>Informe de socialización de las líneas de investigación de la carrera</v>
      </c>
      <c r="K643" s="62">
        <f>Tributación!I51</f>
        <v>1</v>
      </c>
      <c r="L643" s="160">
        <f>Tributación!J51</f>
        <v>0</v>
      </c>
      <c r="M643" s="20">
        <f>Tributación!K51</f>
        <v>0</v>
      </c>
      <c r="N643" s="20">
        <f>Tributación!L51</f>
        <v>0</v>
      </c>
      <c r="O643" s="20" t="str">
        <f>Tributación!M51</f>
        <v>Subir evidencia</v>
      </c>
      <c r="P643" s="20">
        <v>2025</v>
      </c>
    </row>
    <row r="644" spans="1:16" ht="14.25" customHeight="1">
      <c r="A644" s="20" t="s">
        <v>494</v>
      </c>
      <c r="B644" s="20" t="str">
        <f>$B$640</f>
        <v>ESTRATEGIA 3</v>
      </c>
      <c r="C644" s="20" t="str">
        <f>$C$643</f>
        <v>OBJETIVO OPERATIVO 2</v>
      </c>
      <c r="D644" s="20" t="b">
        <f>Tributación!B52</f>
        <v>1</v>
      </c>
      <c r="E644" s="20" t="str">
        <f>Tributación!C52</f>
        <v>Alta</v>
      </c>
      <c r="F644" s="21" t="str">
        <f>Tributación!D52</f>
        <v>2025-I(Todo el ciclo)
2025-II(Todo de ciclo)</v>
      </c>
      <c r="G644" s="20" t="str">
        <f>Tributación!E52</f>
        <v>Desarrollar investigación científica y tecnológica que contribuya con la construcción de soluciones para los problemas del país, en relación con los objetivos del régimen de desarrollo.</v>
      </c>
      <c r="H644" s="20" t="str">
        <f>Tributación!F52</f>
        <v>Director de Carrera
Docentes de la carrera
Comisión de Investigación</v>
      </c>
      <c r="I644" s="20" t="str">
        <f>Tributación!G52</f>
        <v>Incentivar y desarrollar la investigación de los docentes de la carrera en base a las líneas de la carrera</v>
      </c>
      <c r="J644" s="20" t="str">
        <f>Tributación!H52</f>
        <v>Artículos publicados por los docentes de la carrera</v>
      </c>
      <c r="K644" s="62">
        <f>Tributación!I52</f>
        <v>1</v>
      </c>
      <c r="L644" s="160">
        <f>Tributación!J52</f>
        <v>0</v>
      </c>
      <c r="M644" s="20">
        <f>Tributación!K52</f>
        <v>0</v>
      </c>
      <c r="N644" s="20">
        <f>Tributación!L52</f>
        <v>0</v>
      </c>
      <c r="O644" s="20">
        <f>Tributación!M52</f>
        <v>0</v>
      </c>
      <c r="P644" s="20">
        <v>2025</v>
      </c>
    </row>
    <row r="645" spans="1:16" ht="14.25" customHeight="1">
      <c r="A645" s="20" t="s">
        <v>494</v>
      </c>
      <c r="B645" s="20" t="str">
        <f>$B$640</f>
        <v>ESTRATEGIA 3</v>
      </c>
      <c r="C645" s="20" t="str">
        <f>Tributación!E53</f>
        <v>OBJETIVO OPERATIVO 3</v>
      </c>
      <c r="D645" s="20" t="b">
        <f>Tributación!B54</f>
        <v>1</v>
      </c>
      <c r="E645" s="20" t="str">
        <f>Tributación!C54</f>
        <v>Baja</v>
      </c>
      <c r="F645" s="21" t="str">
        <f>Tributación!D54</f>
        <v>2025-I(Todo el ciclo)
2025-II(Todo de ciclo)</v>
      </c>
      <c r="G645" s="20" t="str">
        <f>Tributación!E54</f>
        <v>Ejecutar la formación en valores y desarrollo de habilidades blandas.</v>
      </c>
      <c r="H645" s="20" t="str">
        <f>Tributación!F54</f>
        <v>Director de carrera
Gestor académico
Bienestar institucional</v>
      </c>
      <c r="I645" s="20" t="str">
        <f>Tributación!G54</f>
        <v>Realizar un curso de habilidades blandas que se desarrollara para todo el instituto</v>
      </c>
      <c r="J645" s="20" t="str">
        <f>Tributación!H54</f>
        <v>Informe de formación en valores y desarrollo de habilidades blandas</v>
      </c>
      <c r="K645" s="62">
        <f>Tributación!I54</f>
        <v>1</v>
      </c>
      <c r="L645" s="160">
        <f>Tributación!J54</f>
        <v>0</v>
      </c>
      <c r="M645" s="20">
        <f>Tributación!K54</f>
        <v>0</v>
      </c>
      <c r="N645" s="20">
        <f>Tributación!L54</f>
        <v>0</v>
      </c>
      <c r="O645" s="20" t="str">
        <f>Tributación!M54</f>
        <v>Subir evidencia</v>
      </c>
      <c r="P645" s="20">
        <v>2025</v>
      </c>
    </row>
    <row r="646" spans="1:16" ht="14.25" customHeight="1">
      <c r="A646" s="20" t="s">
        <v>494</v>
      </c>
      <c r="B646" s="20" t="str">
        <f>Tributación!B55</f>
        <v>ESTRATEGIA 4</v>
      </c>
      <c r="C646" s="20" t="str">
        <f>Tributación!E55</f>
        <v>OBJETIVO OPERATIVO 1</v>
      </c>
      <c r="D646" s="20" t="b">
        <f>Tributación!B56</f>
        <v>0</v>
      </c>
      <c r="E646" s="20" t="str">
        <f>Tributación!C56</f>
        <v>Baja</v>
      </c>
      <c r="F646" s="21" t="str">
        <f>Tributación!D56</f>
        <v>2025-I (fin ciclo)
2025-II(fin ciclo)</v>
      </c>
      <c r="G646" s="20" t="str">
        <f>Tributación!E56</f>
        <v>Elaboración de matrices de la oferta académica institucional.</v>
      </c>
      <c r="H646" s="20" t="str">
        <f>Tributación!F56</f>
        <v>Director de Carrera
Gestor Académico</v>
      </c>
      <c r="I646" s="20" t="str">
        <f>Tributación!G56</f>
        <v>Generación de matrices de oferta académica para la captación de más estudiantes</v>
      </c>
      <c r="J646" s="20" t="str">
        <f>Tributación!H56</f>
        <v>Matrices de la oferta académica.</v>
      </c>
      <c r="K646" s="62">
        <f>Tributación!I56</f>
        <v>1</v>
      </c>
      <c r="L646" s="160">
        <f>Tributación!J56</f>
        <v>0</v>
      </c>
      <c r="M646" s="20">
        <f>Tributación!K56</f>
        <v>0</v>
      </c>
      <c r="N646" s="20">
        <f>Tributación!L56</f>
        <v>0</v>
      </c>
      <c r="O646" s="20" t="str">
        <f>Tributación!M56</f>
        <v>Subir evidencia</v>
      </c>
      <c r="P646" s="20">
        <v>2025</v>
      </c>
    </row>
    <row r="647" spans="1:16" ht="14.25" customHeight="1">
      <c r="A647" s="20" t="s">
        <v>494</v>
      </c>
      <c r="B647" s="20" t="str">
        <f>$B$646</f>
        <v>ESTRATEGIA 4</v>
      </c>
      <c r="C647" s="20" t="str">
        <f>$C$646</f>
        <v>OBJETIVO OPERATIVO 1</v>
      </c>
      <c r="D647" s="20" t="b">
        <f>Tributación!B57</f>
        <v>0</v>
      </c>
      <c r="E647" s="20" t="str">
        <f>Tributación!C57</f>
        <v>Baja</v>
      </c>
      <c r="F647" s="21" t="str">
        <f>Tributación!D57</f>
        <v xml:space="preserve">
2025-II(fin ciclo)</v>
      </c>
      <c r="G647" s="20" t="str">
        <f>Tributación!E57</f>
        <v>Planificación de demanda estudiantil.</v>
      </c>
      <c r="H647" s="20" t="str">
        <f>Tributación!F57</f>
        <v>Director de Carrera
Gestor Académico</v>
      </c>
      <c r="I647" s="20" t="str">
        <f>Tributación!G57</f>
        <v>Planificar la demanda institucional en base a históricos de periodos anteriores</v>
      </c>
      <c r="J647" s="20" t="str">
        <f>Tributación!H57</f>
        <v>Listado certificado  de matriculados de la carrera</v>
      </c>
      <c r="K647" s="62">
        <f>Tributación!I57</f>
        <v>1</v>
      </c>
      <c r="L647" s="160">
        <f>Tributación!J57</f>
        <v>0</v>
      </c>
      <c r="M647" s="20">
        <f>Tributación!K57</f>
        <v>0</v>
      </c>
      <c r="N647" s="20">
        <f>Tributación!L57</f>
        <v>0</v>
      </c>
      <c r="O647" s="20" t="str">
        <f>Tributación!M57</f>
        <v>Subir evidencia</v>
      </c>
      <c r="P647" s="20">
        <v>2025</v>
      </c>
    </row>
    <row r="648" spans="1:16" ht="14.25" customHeight="1">
      <c r="A648" s="20" t="s">
        <v>494</v>
      </c>
      <c r="B648" s="20" t="str">
        <f>$B$646</f>
        <v>ESTRATEGIA 4</v>
      </c>
      <c r="C648" s="20" t="str">
        <f>$C$646</f>
        <v>OBJETIVO OPERATIVO 1</v>
      </c>
      <c r="D648" s="20" t="b">
        <f>Tributación!B58</f>
        <v>0</v>
      </c>
      <c r="E648" s="20" t="str">
        <f>Tributación!C58</f>
        <v>Media</v>
      </c>
      <c r="F648" s="21" t="str">
        <f>Tributación!D58</f>
        <v>2025-II(fin ciclo)</v>
      </c>
      <c r="G648" s="20" t="str">
        <f>Tributación!E58</f>
        <v>Análisis de capacidad operativa de la institución.</v>
      </c>
      <c r="H648" s="20" t="str">
        <f>Tributación!F58</f>
        <v>Director de Carrera
Gestor Académico</v>
      </c>
      <c r="I648" s="20" t="str">
        <f>Tributación!G58</f>
        <v>Análisis de requerimientos sustantivo y no sustantivo de la carrera</v>
      </c>
      <c r="J648" s="20" t="str">
        <f>Tributación!H58</f>
        <v>Resolución de aprobación por OCS de Estandarización de Carrera</v>
      </c>
      <c r="K648" s="62">
        <f>Tributación!I58</f>
        <v>1</v>
      </c>
      <c r="L648" s="160">
        <f>Tributación!J58</f>
        <v>0</v>
      </c>
      <c r="M648" s="20">
        <f>Tributación!K58</f>
        <v>0</v>
      </c>
      <c r="N648" s="20">
        <f>Tributación!L58</f>
        <v>0</v>
      </c>
      <c r="O648" s="20" t="str">
        <f>Tributación!M58</f>
        <v>Subir evidencia</v>
      </c>
      <c r="P648" s="20">
        <v>2025</v>
      </c>
    </row>
    <row r="649" spans="1:16" ht="14.25" customHeight="1">
      <c r="A649" s="20" t="s">
        <v>482</v>
      </c>
      <c r="B649" s="20" t="str">
        <f>'Universitaria de Entrenamiento'!B10</f>
        <v>ESTRATEGIA 1</v>
      </c>
      <c r="C649" s="20" t="str">
        <f>'Universitaria de Entrenamiento'!E10</f>
        <v>OBJETIVO OPERATIVO 1</v>
      </c>
      <c r="D649" s="20" t="str">
        <f>'Universitaria de Entrenamiento'!B11</f>
        <v>FALSE</v>
      </c>
      <c r="E649" s="20" t="str">
        <f>'Universitaria de Entrenamiento'!C11</f>
        <v>Media</v>
      </c>
      <c r="F649" s="20" t="str">
        <f>'Universitaria de Entrenamiento'!D11</f>
        <v>2025-I ( Inicio ciclo)</v>
      </c>
      <c r="G649" s="20" t="str">
        <f>'Universitaria de Entrenamiento'!E11</f>
        <v>Planificar y estructurar las capacitaciones en el área técnica y didáctica.</v>
      </c>
      <c r="H649" s="20" t="str">
        <f>'Universitaria de Entrenamiento'!F11</f>
        <v>Director/a carrera
Docentes</v>
      </c>
      <c r="I649" s="20" t="str">
        <f>'Universitaria de Entrenamiento'!G11</f>
        <v>Desarrollo del plan de capacitación docente</v>
      </c>
      <c r="J649" s="20" t="str">
        <f>'Universitaria de Entrenamiento'!H11</f>
        <v>Plan de capacitación docente.</v>
      </c>
      <c r="K649" s="62">
        <f>'Universitaria de Entrenamiento'!I11</f>
        <v>0</v>
      </c>
      <c r="L649" s="20" t="str">
        <f>'Universitaria de Entrenamiento'!J11</f>
        <v>$ -</v>
      </c>
      <c r="M649" s="20">
        <f>'Universitaria de Entrenamiento'!K11</f>
        <v>0</v>
      </c>
      <c r="N649" s="20">
        <f>'Universitaria de Entrenamiento'!L11</f>
        <v>0</v>
      </c>
      <c r="O649" s="20" t="str">
        <f>'Universitaria de Entrenamiento'!M11</f>
        <v>NO SE APERTURÓ</v>
      </c>
      <c r="P649" s="20">
        <v>2025</v>
      </c>
    </row>
    <row r="650" spans="1:16" ht="14.25" customHeight="1">
      <c r="A650" s="20" t="s">
        <v>482</v>
      </c>
      <c r="B650" s="20" t="str">
        <f t="shared" ref="B650:B659" si="57">$B$649</f>
        <v>ESTRATEGIA 1</v>
      </c>
      <c r="C650" s="20" t="str">
        <f>$C$649</f>
        <v>OBJETIVO OPERATIVO 1</v>
      </c>
      <c r="D650" s="20" t="str">
        <f>'Universitaria de Entrenamiento'!B12</f>
        <v>FALSE</v>
      </c>
      <c r="E650" s="20" t="str">
        <f>'Universitaria de Entrenamiento'!C12</f>
        <v>Baja</v>
      </c>
      <c r="F650" s="20" t="str">
        <f>'Universitaria de Entrenamiento'!D12</f>
        <v>2025-II ( fin ciclo)</v>
      </c>
      <c r="G650" s="20" t="str">
        <f>'Universitaria de Entrenamiento'!E12</f>
        <v>Ejecutar las capacitaciones planificadas.</v>
      </c>
      <c r="H650" s="20" t="str">
        <f>'Universitaria de Entrenamiento'!F12</f>
        <v>Director/a carrera
Docentes</v>
      </c>
      <c r="I650" s="20" t="str">
        <f>'Universitaria de Entrenamiento'!G12</f>
        <v>informar sobre el plan de capacitación docente</v>
      </c>
      <c r="J650" s="20" t="str">
        <f>'Universitaria de Entrenamiento'!H12</f>
        <v>Informe de ejecución del plan de capacitación docente.</v>
      </c>
      <c r="K650" s="62">
        <f>'Universitaria de Entrenamiento'!I12</f>
        <v>0</v>
      </c>
      <c r="L650" s="20" t="str">
        <f>'Universitaria de Entrenamiento'!J12</f>
        <v>$ -</v>
      </c>
      <c r="M650" s="20">
        <f>'Universitaria de Entrenamiento'!K12</f>
        <v>0</v>
      </c>
      <c r="N650" s="20">
        <f>'Universitaria de Entrenamiento'!L12</f>
        <v>0</v>
      </c>
      <c r="O650" s="20" t="str">
        <f>'Universitaria de Entrenamiento'!M12</f>
        <v>NO SE APERTURÓ</v>
      </c>
      <c r="P650" s="20">
        <v>2025</v>
      </c>
    </row>
    <row r="651" spans="1:16" ht="14.25" customHeight="1">
      <c r="A651" s="20" t="s">
        <v>482</v>
      </c>
      <c r="B651" s="20" t="str">
        <f t="shared" si="57"/>
        <v>ESTRATEGIA 1</v>
      </c>
      <c r="C651" s="20" t="str">
        <f>$C$649</f>
        <v>OBJETIVO OPERATIVO 1</v>
      </c>
      <c r="D651" s="20" t="str">
        <f>'Universitaria de Entrenamiento'!B13</f>
        <v>FALSE</v>
      </c>
      <c r="E651" s="20" t="str">
        <f>'Universitaria de Entrenamiento'!C13</f>
        <v>Media</v>
      </c>
      <c r="F651" s="20" t="str">
        <f>'Universitaria de Entrenamiento'!D13</f>
        <v>2025-II( fin ciclo)
2025-I( fin ciclo)</v>
      </c>
      <c r="G651" s="20" t="str">
        <f>'Universitaria de Entrenamiento'!E13</f>
        <v>Entregar los resultados de los procesos de Evaluación al desempeño Docente y acciones realizadas.</v>
      </c>
      <c r="H651" s="20" t="str">
        <f>'Universitaria de Entrenamiento'!F13</f>
        <v>Director/a carrera
Docentes</v>
      </c>
      <c r="I651" s="20" t="str">
        <f>'Universitaria de Entrenamiento'!G13</f>
        <v>Generar una matriz para el registro de entrega de evaluaciones docentes</v>
      </c>
      <c r="J651" s="20" t="str">
        <f>'Universitaria de Entrenamiento'!H13</f>
        <v>Registro de entrega de evaluaciones a los docentes</v>
      </c>
      <c r="K651" s="62">
        <f>'Universitaria de Entrenamiento'!I13</f>
        <v>0</v>
      </c>
      <c r="L651" s="20" t="str">
        <f>'Universitaria de Entrenamiento'!J13</f>
        <v>$ -</v>
      </c>
      <c r="M651" s="20">
        <f>'Universitaria de Entrenamiento'!K13</f>
        <v>0</v>
      </c>
      <c r="N651" s="20">
        <f>'Universitaria de Entrenamiento'!L13</f>
        <v>0</v>
      </c>
      <c r="O651" s="20" t="str">
        <f>'Universitaria de Entrenamiento'!M13</f>
        <v>NO SE APERTURÓ</v>
      </c>
      <c r="P651" s="20">
        <v>2025</v>
      </c>
    </row>
    <row r="652" spans="1:16" ht="14.25" customHeight="1">
      <c r="A652" s="20" t="s">
        <v>482</v>
      </c>
      <c r="B652" s="20" t="str">
        <f t="shared" si="57"/>
        <v>ESTRATEGIA 1</v>
      </c>
      <c r="C652" s="20" t="str">
        <f>'Universitaria de Entrenamiento'!E14</f>
        <v>OBJETIVO OPERATIVO 2</v>
      </c>
      <c r="D652" s="20" t="str">
        <f>'Universitaria de Entrenamiento'!B15</f>
        <v>FALSE</v>
      </c>
      <c r="E652" s="20" t="str">
        <f>'Universitaria de Entrenamiento'!C15</f>
        <v>Baja</v>
      </c>
      <c r="F652" s="20" t="str">
        <f>'Universitaria de Entrenamiento'!D15</f>
        <v>2025-I (inicio ciclo)
2025-II(inicio ciclo)</v>
      </c>
      <c r="G652" s="20" t="str">
        <f>'Universitaria de Entrenamiento'!E15</f>
        <v>Socializar con los docentes el uso adecuado de la plataforma Moodle.</v>
      </c>
      <c r="H652" s="20" t="str">
        <f>'Universitaria de Entrenamiento'!F15</f>
        <v>Responsable de Moodle de la carrera</v>
      </c>
      <c r="I652" s="20" t="str">
        <f>'Universitaria de Entrenamiento'!G15</f>
        <v>Realizar la socialización y generar un informe sobre el uso del Moodle</v>
      </c>
      <c r="J652" s="20" t="str">
        <f>'Universitaria de Entrenamiento'!H15</f>
        <v>Informe de socialización / inducción a los docentes</v>
      </c>
      <c r="K652" s="62">
        <f>'Universitaria de Entrenamiento'!I15</f>
        <v>0</v>
      </c>
      <c r="L652" s="20" t="str">
        <f>'Universitaria de Entrenamiento'!J15</f>
        <v>$ -</v>
      </c>
      <c r="M652" s="20">
        <f>'Universitaria de Entrenamiento'!K15</f>
        <v>0</v>
      </c>
      <c r="N652" s="20">
        <f>'Universitaria de Entrenamiento'!L15</f>
        <v>0</v>
      </c>
      <c r="O652" s="20" t="str">
        <f>'Universitaria de Entrenamiento'!M15</f>
        <v>NO SE APERTURÓ</v>
      </c>
      <c r="P652" s="20">
        <v>2025</v>
      </c>
    </row>
    <row r="653" spans="1:16" ht="14.25" customHeight="1">
      <c r="A653" s="20" t="s">
        <v>482</v>
      </c>
      <c r="B653" s="20" t="str">
        <f t="shared" si="57"/>
        <v>ESTRATEGIA 1</v>
      </c>
      <c r="C653" s="20" t="str">
        <f>$C$652</f>
        <v>OBJETIVO OPERATIVO 2</v>
      </c>
      <c r="D653" s="20" t="str">
        <f>'Universitaria de Entrenamiento'!B16</f>
        <v>FALSE</v>
      </c>
      <c r="E653" s="20" t="str">
        <f>'Universitaria de Entrenamiento'!C16</f>
        <v>Media</v>
      </c>
      <c r="F653" s="20" t="str">
        <f>'Universitaria de Entrenamiento'!D16</f>
        <v>2025-II( fin ciclo)
2025-I( fin ciclo)</v>
      </c>
      <c r="G653" s="20" t="str">
        <f>'Universitaria de Entrenamiento'!E16</f>
        <v>Revisar el aporte de cada docente en la plataforma Moodle</v>
      </c>
      <c r="H653" s="20" t="str">
        <f>'Universitaria de Entrenamiento'!F16</f>
        <v>Responsable de Moodle de la carrera</v>
      </c>
      <c r="I653" s="20" t="str">
        <f>'Universitaria de Entrenamiento'!G16</f>
        <v>Controlar el uso adecuado de la plataforma y generar un informe.</v>
      </c>
      <c r="J653" s="20" t="str">
        <f>'Universitaria de Entrenamiento'!H16</f>
        <v>Informe de actividades en la plataforma Moodle.</v>
      </c>
      <c r="K653" s="62">
        <f>'Universitaria de Entrenamiento'!I16</f>
        <v>0</v>
      </c>
      <c r="L653" s="20" t="str">
        <f>'Universitaria de Entrenamiento'!J16</f>
        <v>$ -</v>
      </c>
      <c r="M653" s="20">
        <f>'Universitaria de Entrenamiento'!K16</f>
        <v>0</v>
      </c>
      <c r="N653" s="20">
        <f>'Universitaria de Entrenamiento'!L16</f>
        <v>0</v>
      </c>
      <c r="O653" s="20" t="str">
        <f>'Universitaria de Entrenamiento'!M16</f>
        <v>NO SE APERTURÓ</v>
      </c>
      <c r="P653" s="20">
        <v>2025</v>
      </c>
    </row>
    <row r="654" spans="1:16" ht="14.25" customHeight="1">
      <c r="A654" s="20" t="s">
        <v>482</v>
      </c>
      <c r="B654" s="20" t="str">
        <f t="shared" si="57"/>
        <v>ESTRATEGIA 1</v>
      </c>
      <c r="C654" s="20" t="str">
        <f>'Universitaria de Entrenamiento'!E17</f>
        <v>OBJETIVO OPERATIVO 3</v>
      </c>
      <c r="D654" s="20" t="str">
        <f>'Universitaria de Entrenamiento'!B18</f>
        <v>FALSE</v>
      </c>
      <c r="E654" s="20" t="str">
        <f>'Universitaria de Entrenamiento'!C18</f>
        <v>Alta</v>
      </c>
      <c r="F654" s="20" t="str">
        <f>'Universitaria de Entrenamiento'!D18</f>
        <v>2025-I(inicio ciclo)
2025-II (inicio ciclo)</v>
      </c>
      <c r="G654" s="20" t="str">
        <f>'Universitaria de Entrenamiento'!E18</f>
        <v>Planificar y desarrollar una reunión del colectivo académico</v>
      </c>
      <c r="H654" s="20" t="str">
        <f>'Universitaria de Entrenamiento'!F18</f>
        <v>Director/a carrera</v>
      </c>
      <c r="I654" s="20" t="str">
        <f>'Universitaria de Entrenamiento'!G18</f>
        <v>Realizar y evidenciar los colectivos académicos</v>
      </c>
      <c r="J654" s="20" t="str">
        <f>'Universitaria de Entrenamiento'!H18</f>
        <v>Convocatoria al colectivo de académico</v>
      </c>
      <c r="K654" s="62">
        <f>'Universitaria de Entrenamiento'!I18</f>
        <v>0</v>
      </c>
      <c r="L654" s="20" t="str">
        <f>'Universitaria de Entrenamiento'!J18</f>
        <v>$ -</v>
      </c>
      <c r="M654" s="20">
        <f>'Universitaria de Entrenamiento'!K18</f>
        <v>0</v>
      </c>
      <c r="N654" s="20">
        <f>'Universitaria de Entrenamiento'!L18</f>
        <v>0</v>
      </c>
      <c r="O654" s="20" t="str">
        <f>'Universitaria de Entrenamiento'!M18</f>
        <v>NO SE APERTURÓ</v>
      </c>
      <c r="P654" s="20">
        <v>2025</v>
      </c>
    </row>
    <row r="655" spans="1:16" ht="14.25" customHeight="1">
      <c r="A655" s="20" t="s">
        <v>482</v>
      </c>
      <c r="B655" s="20" t="str">
        <f t="shared" si="57"/>
        <v>ESTRATEGIA 1</v>
      </c>
      <c r="C655" s="20" t="str">
        <f>$C$654</f>
        <v>OBJETIVO OPERATIVO 3</v>
      </c>
      <c r="D655" s="20" t="str">
        <f>'Universitaria de Entrenamiento'!B19</f>
        <v>FALSE</v>
      </c>
      <c r="E655" s="20" t="str">
        <f>'Universitaria de Entrenamiento'!C19</f>
        <v>Media</v>
      </c>
      <c r="F655" s="20" t="str">
        <f>'Universitaria de Entrenamiento'!D19</f>
        <v>2025-II(fin de ciclo)
2025-I(fin de ciclo)</v>
      </c>
      <c r="G655" s="20" t="str">
        <f>'Universitaria de Entrenamiento'!E19</f>
        <v>Revisión y actualización de los PEAS</v>
      </c>
      <c r="H655" s="20" t="str">
        <f>'Universitaria de Entrenamiento'!F19</f>
        <v>Director/a carrera
Docentes</v>
      </c>
      <c r="I655" s="20" t="str">
        <f>'Universitaria de Entrenamiento'!G19</f>
        <v>Revisar si la bibliografía de la carrera es la adecuada en colectivos según PEAS y Colectivos para el acervo bibliográfico</v>
      </c>
      <c r="J655" s="20" t="str">
        <f>'Universitaria de Entrenamiento'!H19</f>
        <v>Acervo bibliográfico de todas las asignaturas de la carrera, Informes de colectivos y PEAS revisados</v>
      </c>
      <c r="K655" s="62">
        <f>'Universitaria de Entrenamiento'!I19</f>
        <v>0</v>
      </c>
      <c r="L655" s="20" t="str">
        <f>'Universitaria de Entrenamiento'!J19</f>
        <v>$ -</v>
      </c>
      <c r="M655" s="20">
        <f>'Universitaria de Entrenamiento'!K19</f>
        <v>0</v>
      </c>
      <c r="N655" s="20">
        <f>'Universitaria de Entrenamiento'!L19</f>
        <v>0</v>
      </c>
      <c r="O655" s="20" t="str">
        <f>'Universitaria de Entrenamiento'!M19</f>
        <v>NO SE APERTURÓ</v>
      </c>
      <c r="P655" s="20">
        <v>2025</v>
      </c>
    </row>
    <row r="656" spans="1:16" ht="14.25" customHeight="1">
      <c r="A656" s="20" t="s">
        <v>482</v>
      </c>
      <c r="B656" s="20" t="str">
        <f t="shared" si="57"/>
        <v>ESTRATEGIA 1</v>
      </c>
      <c r="C656" s="20" t="str">
        <f>$C$654</f>
        <v>OBJETIVO OPERATIVO 3</v>
      </c>
      <c r="D656" s="20" t="str">
        <f>'Universitaria de Entrenamiento'!B20</f>
        <v>FALSE</v>
      </c>
      <c r="E656" s="20" t="str">
        <f>'Universitaria de Entrenamiento'!C20</f>
        <v>Media</v>
      </c>
      <c r="F656" s="20" t="str">
        <f>'Universitaria de Entrenamiento'!D20</f>
        <v>2025-II(fin de ciclo)
2025-I(fin de ciclo)</v>
      </c>
      <c r="G656" s="20" t="str">
        <f>'Universitaria de Entrenamiento'!E20</f>
        <v>Actas de reunión por colectivo académico</v>
      </c>
      <c r="H656" s="20" t="str">
        <f>'Universitaria de Entrenamiento'!F20</f>
        <v>Director/a carrera
Docentes</v>
      </c>
      <c r="I656" s="20" t="str">
        <f>'Universitaria de Entrenamiento'!G20</f>
        <v>Evidenciar el trabajo de colectivos</v>
      </c>
      <c r="J656" s="20" t="str">
        <f>'Universitaria de Entrenamiento'!H20</f>
        <v>Actas de colectivos</v>
      </c>
      <c r="K656" s="62">
        <f>'Universitaria de Entrenamiento'!I20</f>
        <v>0</v>
      </c>
      <c r="L656" s="20" t="str">
        <f>'Universitaria de Entrenamiento'!J20</f>
        <v>$ -</v>
      </c>
      <c r="M656" s="20">
        <f>'Universitaria de Entrenamiento'!K20</f>
        <v>0</v>
      </c>
      <c r="N656" s="20">
        <f>'Universitaria de Entrenamiento'!L20</f>
        <v>0</v>
      </c>
      <c r="O656" s="20" t="str">
        <f>'Universitaria de Entrenamiento'!M20</f>
        <v>NO SE APERTURÓ</v>
      </c>
      <c r="P656" s="20">
        <v>2025</v>
      </c>
    </row>
    <row r="657" spans="1:16" ht="14.25" customHeight="1">
      <c r="A657" s="20" t="s">
        <v>482</v>
      </c>
      <c r="B657" s="20" t="str">
        <f t="shared" si="57"/>
        <v>ESTRATEGIA 1</v>
      </c>
      <c r="C657" s="20" t="str">
        <f>'Universitaria de Entrenamiento'!E21</f>
        <v>OBJETIVO OPERATIVO 4</v>
      </c>
      <c r="D657" s="20" t="str">
        <f>'Universitaria de Entrenamiento'!B22</f>
        <v>FALSE</v>
      </c>
      <c r="E657" s="20" t="str">
        <f>'Universitaria de Entrenamiento'!C22</f>
        <v>Baja</v>
      </c>
      <c r="F657" s="20" t="str">
        <f>'Universitaria de Entrenamiento'!D22</f>
        <v>2025-I(inicio ciclo)
2025-II (inicio ciclo)</v>
      </c>
      <c r="G657" s="20" t="str">
        <f>'Universitaria de Entrenamiento'!E22</f>
        <v>Recopilar las fichas de afinidad de los docentes de acuerdo al nivel de estudio.</v>
      </c>
      <c r="H657" s="20" t="str">
        <f>'Universitaria de Entrenamiento'!F22</f>
        <v>Director/a carrera</v>
      </c>
      <c r="I657" s="20" t="str">
        <f>'Universitaria de Entrenamiento'!G22</f>
        <v>Mantener actualizadas las fichas de afinidad de los docentes de acuerdo a la pertinencia en la carrera</v>
      </c>
      <c r="J657" s="20" t="str">
        <f>'Universitaria de Entrenamiento'!H22</f>
        <v>Fichas de afinidad de los docentes.</v>
      </c>
      <c r="K657" s="62">
        <f>'Universitaria de Entrenamiento'!I22</f>
        <v>0</v>
      </c>
      <c r="L657" s="20" t="str">
        <f>'Universitaria de Entrenamiento'!J22</f>
        <v>$ -</v>
      </c>
      <c r="M657" s="20">
        <f>'Universitaria de Entrenamiento'!K22</f>
        <v>0</v>
      </c>
      <c r="N657" s="20">
        <f>'Universitaria de Entrenamiento'!L22</f>
        <v>0</v>
      </c>
      <c r="O657" s="20" t="str">
        <f>'Universitaria de Entrenamiento'!M22</f>
        <v>NO SE APERTURÓ</v>
      </c>
      <c r="P657" s="20">
        <v>2025</v>
      </c>
    </row>
    <row r="658" spans="1:16" ht="14.25" customHeight="1">
      <c r="A658" s="20" t="s">
        <v>482</v>
      </c>
      <c r="B658" s="20" t="str">
        <f t="shared" si="57"/>
        <v>ESTRATEGIA 1</v>
      </c>
      <c r="C658" s="20" t="str">
        <f>$C$657</f>
        <v>OBJETIVO OPERATIVO 4</v>
      </c>
      <c r="D658" s="20">
        <f>'Universitaria de Entrenamiento'!B23</f>
        <v>0</v>
      </c>
      <c r="E658" s="20" t="str">
        <f>'Universitaria de Entrenamiento'!C23</f>
        <v>Alta</v>
      </c>
      <c r="F658" s="20" t="str">
        <f>'Universitaria de Entrenamiento'!D23</f>
        <v>2025-I(inicio de ciclo)
2025-II(inicio de ciclo)</v>
      </c>
      <c r="G658" s="20" t="str">
        <f>'Universitaria de Entrenamiento'!E23</f>
        <v>Elaboración del distributivo docente de la carrera</v>
      </c>
      <c r="H658" s="20" t="str">
        <f>'Universitaria de Entrenamiento'!F23</f>
        <v>Director/a carrera</v>
      </c>
      <c r="I658" s="20" t="str">
        <f>'Universitaria de Entrenamiento'!G23</f>
        <v>Evidenciar la carga horaria y distributivos de los docentes</v>
      </c>
      <c r="J658" s="20" t="str">
        <f>'Universitaria de Entrenamiento'!H23</f>
        <v>Distributivo docente aprobado.</v>
      </c>
      <c r="K658" s="62">
        <f>'Universitaria de Entrenamiento'!I23</f>
        <v>0</v>
      </c>
      <c r="L658" s="20" t="str">
        <f>'Universitaria de Entrenamiento'!J23</f>
        <v>$ -</v>
      </c>
      <c r="M658" s="20">
        <f>'Universitaria de Entrenamiento'!K23</f>
        <v>0</v>
      </c>
      <c r="N658" s="20">
        <f>'Universitaria de Entrenamiento'!L23</f>
        <v>0</v>
      </c>
      <c r="O658" s="20" t="str">
        <f>'Universitaria de Entrenamiento'!M23</f>
        <v>NO SE APERTURÓ</v>
      </c>
      <c r="P658" s="20">
        <v>2025</v>
      </c>
    </row>
    <row r="659" spans="1:16" ht="14.25" customHeight="1">
      <c r="A659" s="20" t="s">
        <v>482</v>
      </c>
      <c r="B659" s="20" t="str">
        <f t="shared" si="57"/>
        <v>ESTRATEGIA 1</v>
      </c>
      <c r="C659" s="20" t="str">
        <f>$C$657</f>
        <v>OBJETIVO OPERATIVO 4</v>
      </c>
      <c r="D659" s="20" t="str">
        <f>'Universitaria de Entrenamiento'!B24</f>
        <v>FALSE</v>
      </c>
      <c r="E659" s="20" t="str">
        <f>'Universitaria de Entrenamiento'!C24</f>
        <v>Media</v>
      </c>
      <c r="F659" s="20" t="str">
        <f>'Universitaria de Entrenamiento'!D24</f>
        <v>2025-I(inicio de ciclo)
2025-II(inicio de ciclo)</v>
      </c>
      <c r="G659" s="20" t="str">
        <f>'Universitaria de Entrenamiento'!E24</f>
        <v>Designar responsables de la administración de la plataforma, tutorías , prácticas, vinculación , etc.</v>
      </c>
      <c r="H659" s="20" t="str">
        <f>'Universitaria de Entrenamiento'!F24</f>
        <v>Director/a carrera</v>
      </c>
      <c r="I659" s="20" t="str">
        <f>'Universitaria de Entrenamiento'!G24</f>
        <v>Realizar las designaciones y evidenciar los responsables y tutores de la carrera</v>
      </c>
      <c r="J659" s="20" t="str">
        <f>'Universitaria de Entrenamiento'!H24</f>
        <v>Oficios de designaciones de responsables.</v>
      </c>
      <c r="K659" s="62">
        <f>'Universitaria de Entrenamiento'!I24</f>
        <v>0</v>
      </c>
      <c r="L659" s="20" t="str">
        <f>'Universitaria de Entrenamiento'!J24</f>
        <v>$ -</v>
      </c>
      <c r="M659" s="20">
        <f>'Universitaria de Entrenamiento'!K24</f>
        <v>0</v>
      </c>
      <c r="N659" s="20">
        <f>'Universitaria de Entrenamiento'!L24</f>
        <v>0</v>
      </c>
      <c r="O659" s="20" t="str">
        <f>'Universitaria de Entrenamiento'!M24</f>
        <v>NO SE APERTURÓ</v>
      </c>
      <c r="P659" s="20">
        <v>2025</v>
      </c>
    </row>
    <row r="660" spans="1:16" ht="14.25" customHeight="1">
      <c r="A660" s="20" t="s">
        <v>482</v>
      </c>
      <c r="B660" s="20" t="str">
        <f>'Universitaria de Entrenamiento'!B25</f>
        <v>ESTRATEGIA 2</v>
      </c>
      <c r="C660" s="20" t="str">
        <f>'Universitaria de Entrenamiento'!E25</f>
        <v>OBJETIVO OPERATIVO 1</v>
      </c>
      <c r="D660" s="20" t="str">
        <f>'Universitaria de Entrenamiento'!B26</f>
        <v>FALSE</v>
      </c>
      <c r="E660" s="20" t="str">
        <f>'Universitaria de Entrenamiento'!C26</f>
        <v>Alta</v>
      </c>
      <c r="F660" s="20" t="str">
        <f>'Universitaria de Entrenamiento'!D26</f>
        <v>2025-I(Inicio de ciclo)
2025-II(Inicio de ciclo)</v>
      </c>
      <c r="G660" s="20" t="str">
        <f>'Universitaria de Entrenamiento'!E26</f>
        <v>Elaborar y presentar el calendario de actividades de la o las carreras, horarios de clases y laboratorios.</v>
      </c>
      <c r="H660" s="20" t="str">
        <f>'Universitaria de Entrenamiento'!F26</f>
        <v>Director/a carrera</v>
      </c>
      <c r="I660" s="20" t="str">
        <f>'Universitaria de Entrenamiento'!G26</f>
        <v>Realizar los documentos necesarios para el desarrollo de las actividades de cada periodo de la carrera</v>
      </c>
      <c r="J660" s="20" t="str">
        <f>'Universitaria de Entrenamiento'!H26</f>
        <v>Calendario y horarios aprobados</v>
      </c>
      <c r="K660" s="62">
        <f>'Universitaria de Entrenamiento'!I26</f>
        <v>0</v>
      </c>
      <c r="L660" s="20" t="str">
        <f>'Universitaria de Entrenamiento'!J26</f>
        <v>$ -</v>
      </c>
      <c r="M660" s="20">
        <f>'Universitaria de Entrenamiento'!K26</f>
        <v>0</v>
      </c>
      <c r="N660" s="20">
        <f>'Universitaria de Entrenamiento'!L26</f>
        <v>0</v>
      </c>
      <c r="O660" s="20" t="str">
        <f>'Universitaria de Entrenamiento'!M26</f>
        <v>NO SE APERTURÓ</v>
      </c>
      <c r="P660" s="20">
        <v>2025</v>
      </c>
    </row>
    <row r="661" spans="1:16" ht="14.25" customHeight="1">
      <c r="A661" s="20" t="s">
        <v>482</v>
      </c>
      <c r="B661" s="20" t="str">
        <f t="shared" ref="B661:B677" si="58">$B$660</f>
        <v>ESTRATEGIA 2</v>
      </c>
      <c r="C661" s="20" t="str">
        <f t="shared" ref="C661:C671" si="59">$C$660</f>
        <v>OBJETIVO OPERATIVO 1</v>
      </c>
      <c r="D661" s="20" t="str">
        <f>'Universitaria de Entrenamiento'!B27</f>
        <v>FALSE</v>
      </c>
      <c r="E661" s="20" t="str">
        <f>'Universitaria de Entrenamiento'!C27</f>
        <v>Media</v>
      </c>
      <c r="F661" s="20" t="str">
        <f>'Universitaria de Entrenamiento'!D27</f>
        <v>2025-I(Todo el ciclo)
2025-II(Todo de ciclo)</v>
      </c>
      <c r="G661" s="20" t="str">
        <f>'Universitaria de Entrenamiento'!E27</f>
        <v>Requerimiento y aprobación de Documentos académicos. (Sílabos, guías practicas e informes de avance de Silabo)</v>
      </c>
      <c r="H661" s="20" t="str">
        <f>'Universitaria de Entrenamiento'!F27</f>
        <v>Director/a carrera - gestor académico</v>
      </c>
      <c r="I661" s="20" t="str">
        <f>'Universitaria de Entrenamiento'!G27</f>
        <v>Solicitud de documentos académicos por materias</v>
      </c>
      <c r="J661" s="20" t="str">
        <f>'Universitaria de Entrenamiento'!H27</f>
        <v>Documentación aprobada.</v>
      </c>
      <c r="K661" s="62">
        <f>'Universitaria de Entrenamiento'!I27</f>
        <v>0</v>
      </c>
      <c r="L661" s="20" t="str">
        <f>'Universitaria de Entrenamiento'!J27</f>
        <v>$ -</v>
      </c>
      <c r="M661" s="20">
        <f>'Universitaria de Entrenamiento'!K27</f>
        <v>0</v>
      </c>
      <c r="N661" s="20">
        <f>'Universitaria de Entrenamiento'!L27</f>
        <v>0</v>
      </c>
      <c r="O661" s="20" t="str">
        <f>'Universitaria de Entrenamiento'!M27</f>
        <v>NO SE APERTURÓ</v>
      </c>
      <c r="P661" s="20">
        <v>2025</v>
      </c>
    </row>
    <row r="662" spans="1:16" ht="14.25" customHeight="1">
      <c r="A662" s="20" t="s">
        <v>482</v>
      </c>
      <c r="B662" s="20" t="str">
        <f t="shared" si="58"/>
        <v>ESTRATEGIA 2</v>
      </c>
      <c r="C662" s="20" t="str">
        <f t="shared" si="59"/>
        <v>OBJETIVO OPERATIVO 1</v>
      </c>
      <c r="D662" s="20" t="str">
        <f>'Universitaria de Entrenamiento'!B28</f>
        <v>FALSE</v>
      </c>
      <c r="E662" s="20" t="str">
        <f>'Universitaria de Entrenamiento'!C28</f>
        <v>Media</v>
      </c>
      <c r="F662" s="20" t="str">
        <f>'Universitaria de Entrenamiento'!D28</f>
        <v>2025-I(Todo el ciclo)
2025-II(Todo de ciclo)</v>
      </c>
      <c r="G662" s="20" t="str">
        <f>'Universitaria de Entrenamiento'!E28</f>
        <v>Seguimiento al cumplimiento de la documentación académica.</v>
      </c>
      <c r="H662" s="20" t="str">
        <f>'Universitaria de Entrenamiento'!F28</f>
        <v>Director/a carrera - gestor académico</v>
      </c>
      <c r="I662" s="20" t="str">
        <f>'Universitaria de Entrenamiento'!G28</f>
        <v>Revisión de documentos académicos por materias</v>
      </c>
      <c r="J662" s="20" t="str">
        <f>'Universitaria de Entrenamiento'!H28</f>
        <v>Informe de carrera sobre la documentación recibida.</v>
      </c>
      <c r="K662" s="62">
        <f>'Universitaria de Entrenamiento'!I28</f>
        <v>0</v>
      </c>
      <c r="L662" s="20" t="str">
        <f>'Universitaria de Entrenamiento'!J28</f>
        <v>$ -</v>
      </c>
      <c r="M662" s="20">
        <f>'Universitaria de Entrenamiento'!K28</f>
        <v>0</v>
      </c>
      <c r="N662" s="20">
        <f>'Universitaria de Entrenamiento'!L28</f>
        <v>0</v>
      </c>
      <c r="O662" s="20" t="str">
        <f>'Universitaria de Entrenamiento'!M28</f>
        <v>NO SE APERTURÓ</v>
      </c>
      <c r="P662" s="20">
        <v>2025</v>
      </c>
    </row>
    <row r="663" spans="1:16" ht="14.25" customHeight="1">
      <c r="A663" s="20" t="s">
        <v>482</v>
      </c>
      <c r="B663" s="20" t="str">
        <f t="shared" si="58"/>
        <v>ESTRATEGIA 2</v>
      </c>
      <c r="C663" s="20" t="str">
        <f t="shared" si="59"/>
        <v>OBJETIVO OPERATIVO 1</v>
      </c>
      <c r="D663" s="20" t="str">
        <f>'Universitaria de Entrenamiento'!B29</f>
        <v>FALSE</v>
      </c>
      <c r="E663" s="20" t="str">
        <f>'Universitaria de Entrenamiento'!C29</f>
        <v>Baja</v>
      </c>
      <c r="F663" s="20" t="str">
        <f>'Universitaria de Entrenamiento'!D29</f>
        <v>2025-I(Todo el ciclo)
2025-II(Todo de ciclo)</v>
      </c>
      <c r="G663" s="20" t="str">
        <f>'Universitaria de Entrenamiento'!E29</f>
        <v>Reuniones de carrera para socialización y toma de decisiones</v>
      </c>
      <c r="H663" s="20" t="str">
        <f>'Universitaria de Entrenamiento'!F29</f>
        <v>Director/a carrera - gestor académico</v>
      </c>
      <c r="I663" s="20" t="str">
        <f>'Universitaria de Entrenamiento'!G29</f>
        <v>Reuniones de carrera de acuerdo a requerimientos</v>
      </c>
      <c r="J663" s="20" t="str">
        <f>'Universitaria de Entrenamiento'!H29</f>
        <v>Convocatorias, actas e informes de reuniones de carrera.</v>
      </c>
      <c r="K663" s="62">
        <f>'Universitaria de Entrenamiento'!I29</f>
        <v>0</v>
      </c>
      <c r="L663" s="20" t="str">
        <f>'Universitaria de Entrenamiento'!J29</f>
        <v>$ -</v>
      </c>
      <c r="M663" s="20">
        <f>'Universitaria de Entrenamiento'!K29</f>
        <v>0</v>
      </c>
      <c r="N663" s="20">
        <f>'Universitaria de Entrenamiento'!L29</f>
        <v>0</v>
      </c>
      <c r="O663" s="20" t="str">
        <f>'Universitaria de Entrenamiento'!M29</f>
        <v>NO SE APERTURÓ</v>
      </c>
      <c r="P663" s="20">
        <v>2025</v>
      </c>
    </row>
    <row r="664" spans="1:16" ht="14.25" customHeight="1">
      <c r="A664" s="20" t="s">
        <v>482</v>
      </c>
      <c r="B664" s="20" t="str">
        <f t="shared" si="58"/>
        <v>ESTRATEGIA 2</v>
      </c>
      <c r="C664" s="20" t="str">
        <f t="shared" si="59"/>
        <v>OBJETIVO OPERATIVO 1</v>
      </c>
      <c r="D664" s="20" t="str">
        <f>'Universitaria de Entrenamiento'!B30</f>
        <v>FALSE</v>
      </c>
      <c r="E664" s="20" t="str">
        <f>'Universitaria de Entrenamiento'!C30</f>
        <v>Baja</v>
      </c>
      <c r="F664" s="21">
        <f>'Universitaria de Entrenamiento'!D30</f>
        <v>45838</v>
      </c>
      <c r="G664" s="20" t="str">
        <f>'Universitaria de Entrenamiento'!E30</f>
        <v>Informe semestral POA 2025</v>
      </c>
      <c r="H664" s="20" t="str">
        <f>'Universitaria de Entrenamiento'!F30</f>
        <v>Director/a carrera - gestor académico</v>
      </c>
      <c r="I664" s="20" t="str">
        <f>'Universitaria de Entrenamiento'!G30</f>
        <v>Informar sobre el avance del POA</v>
      </c>
      <c r="J664" s="20" t="str">
        <f>'Universitaria de Entrenamiento'!H30</f>
        <v>Informe semestral seguimiento POA 2025</v>
      </c>
      <c r="K664" s="62">
        <f>'Universitaria de Entrenamiento'!I30</f>
        <v>0</v>
      </c>
      <c r="L664" s="20" t="str">
        <f>'Universitaria de Entrenamiento'!J30</f>
        <v>$ -</v>
      </c>
      <c r="M664" s="20">
        <f>'Universitaria de Entrenamiento'!K30</f>
        <v>0</v>
      </c>
      <c r="N664" s="20">
        <f>'Universitaria de Entrenamiento'!L30</f>
        <v>0</v>
      </c>
      <c r="O664" s="20" t="str">
        <f>'Universitaria de Entrenamiento'!M30</f>
        <v>NO SE APERTURÓ</v>
      </c>
      <c r="P664" s="20">
        <v>2025</v>
      </c>
    </row>
    <row r="665" spans="1:16" ht="14.25" customHeight="1">
      <c r="A665" s="20" t="s">
        <v>482</v>
      </c>
      <c r="B665" s="20" t="str">
        <f t="shared" si="58"/>
        <v>ESTRATEGIA 2</v>
      </c>
      <c r="C665" s="20" t="str">
        <f t="shared" si="59"/>
        <v>OBJETIVO OPERATIVO 1</v>
      </c>
      <c r="D665" s="20" t="str">
        <f>'Universitaria de Entrenamiento'!B31</f>
        <v>FALSE</v>
      </c>
      <c r="E665" s="20" t="str">
        <f>'Universitaria de Entrenamiento'!C31</f>
        <v>Baja</v>
      </c>
      <c r="F665" s="21">
        <f>'Universitaria de Entrenamiento'!D31</f>
        <v>45991</v>
      </c>
      <c r="G665" s="20" t="str">
        <f>'Universitaria de Entrenamiento'!E31</f>
        <v>Informe final POA 2025</v>
      </c>
      <c r="H665" s="20" t="str">
        <f>'Universitaria de Entrenamiento'!F31</f>
        <v>Director/a carrera - gestor académico</v>
      </c>
      <c r="I665" s="20" t="str">
        <f>'Universitaria de Entrenamiento'!G31</f>
        <v>Informar sobre el alcance final del POA</v>
      </c>
      <c r="J665" s="20" t="str">
        <f>'Universitaria de Entrenamiento'!H31</f>
        <v>Informe final POA 2025</v>
      </c>
      <c r="K665" s="62">
        <f>'Universitaria de Entrenamiento'!I31</f>
        <v>0</v>
      </c>
      <c r="L665" s="20" t="str">
        <f>'Universitaria de Entrenamiento'!J31</f>
        <v>$ -</v>
      </c>
      <c r="M665" s="20">
        <f>'Universitaria de Entrenamiento'!K31</f>
        <v>0</v>
      </c>
      <c r="N665" s="20">
        <f>'Universitaria de Entrenamiento'!L31</f>
        <v>0</v>
      </c>
      <c r="O665" s="20" t="str">
        <f>'Universitaria de Entrenamiento'!M31</f>
        <v>NO SE APERTURÓ</v>
      </c>
      <c r="P665" s="20">
        <v>2025</v>
      </c>
    </row>
    <row r="666" spans="1:16" ht="14.25" customHeight="1">
      <c r="A666" s="20" t="s">
        <v>482</v>
      </c>
      <c r="B666" s="20" t="str">
        <f t="shared" si="58"/>
        <v>ESTRATEGIA 2</v>
      </c>
      <c r="C666" s="20" t="str">
        <f t="shared" si="59"/>
        <v>OBJETIVO OPERATIVO 1</v>
      </c>
      <c r="D666" s="20" t="str">
        <f>'Universitaria de Entrenamiento'!B32</f>
        <v>FALSE</v>
      </c>
      <c r="E666" s="20" t="str">
        <f>'Universitaria de Entrenamiento'!C32</f>
        <v>Baja</v>
      </c>
      <c r="F666" s="21">
        <f>'Universitaria de Entrenamiento'!D32</f>
        <v>46011</v>
      </c>
      <c r="G666" s="20" t="str">
        <f>'Universitaria de Entrenamiento'!E32</f>
        <v>Elaborar la Planificación Operativa Anual 2025</v>
      </c>
      <c r="H666" s="20" t="str">
        <f>'Universitaria de Entrenamiento'!F32</f>
        <v>Director/a carrera - gestor académico</v>
      </c>
      <c r="I666" s="20" t="str">
        <f>'Universitaria de Entrenamiento'!G32</f>
        <v>Realizar la planificación para el 2025</v>
      </c>
      <c r="J666" s="20" t="str">
        <f>'Universitaria de Entrenamiento'!H32</f>
        <v>POA 2025 entregado</v>
      </c>
      <c r="K666" s="62">
        <f>'Universitaria de Entrenamiento'!I32</f>
        <v>0</v>
      </c>
      <c r="L666" s="20" t="str">
        <f>'Universitaria de Entrenamiento'!J32</f>
        <v>$ -</v>
      </c>
      <c r="M666" s="20">
        <f>'Universitaria de Entrenamiento'!K32</f>
        <v>0</v>
      </c>
      <c r="N666" s="20">
        <f>'Universitaria de Entrenamiento'!L32</f>
        <v>0</v>
      </c>
      <c r="O666" s="20" t="str">
        <f>'Universitaria de Entrenamiento'!M32</f>
        <v>NO SE APERTURÓ</v>
      </c>
      <c r="P666" s="20">
        <v>2025</v>
      </c>
    </row>
    <row r="667" spans="1:16" ht="14.25" customHeight="1">
      <c r="A667" s="20" t="s">
        <v>482</v>
      </c>
      <c r="B667" s="20" t="str">
        <f t="shared" si="58"/>
        <v>ESTRATEGIA 2</v>
      </c>
      <c r="C667" s="20" t="str">
        <f t="shared" si="59"/>
        <v>OBJETIVO OPERATIVO 1</v>
      </c>
      <c r="D667" s="20" t="str">
        <f>'Universitaria de Entrenamiento'!B33</f>
        <v>FALSE</v>
      </c>
      <c r="E667" s="20" t="str">
        <f>'Universitaria de Entrenamiento'!C33</f>
        <v>Media</v>
      </c>
      <c r="F667" s="20" t="str">
        <f>'Universitaria de Entrenamiento'!D33</f>
        <v>2025-I (inicio de ciclo)
2025-II (inicio de ciclo)</v>
      </c>
      <c r="G667" s="20" t="str">
        <f>'Universitaria de Entrenamiento'!E33</f>
        <v>Designación de tutores de curso</v>
      </c>
      <c r="H667" s="20" t="str">
        <f>'Universitaria de Entrenamiento'!F33</f>
        <v>Director/a carrera</v>
      </c>
      <c r="I667" s="20" t="str">
        <f>'Universitaria de Entrenamiento'!G33</f>
        <v>Realizar las designaciones y evidenciar los responsables y tutores de la carrera</v>
      </c>
      <c r="J667" s="20" t="str">
        <f>'Universitaria de Entrenamiento'!H33</f>
        <v>Documento de designación de tutores por parte del director de carrera</v>
      </c>
      <c r="K667" s="62">
        <f>'Universitaria de Entrenamiento'!I33</f>
        <v>0</v>
      </c>
      <c r="L667" s="20" t="str">
        <f>'Universitaria de Entrenamiento'!J33</f>
        <v>$ -</v>
      </c>
      <c r="M667" s="20">
        <f>'Universitaria de Entrenamiento'!K33</f>
        <v>0</v>
      </c>
      <c r="N667" s="20">
        <f>'Universitaria de Entrenamiento'!L33</f>
        <v>0</v>
      </c>
      <c r="O667" s="20" t="str">
        <f>'Universitaria de Entrenamiento'!M33</f>
        <v>NO SE APERTURÓ</v>
      </c>
      <c r="P667" s="20">
        <v>2025</v>
      </c>
    </row>
    <row r="668" spans="1:16" ht="14.25" customHeight="1">
      <c r="A668" s="20" t="s">
        <v>482</v>
      </c>
      <c r="B668" s="20" t="str">
        <f t="shared" si="58"/>
        <v>ESTRATEGIA 2</v>
      </c>
      <c r="C668" s="20" t="str">
        <f t="shared" si="59"/>
        <v>OBJETIVO OPERATIVO 1</v>
      </c>
      <c r="D668" s="20" t="str">
        <f>'Universitaria de Entrenamiento'!B34</f>
        <v>FALSE</v>
      </c>
      <c r="E668" s="20" t="str">
        <f>'Universitaria de Entrenamiento'!C34</f>
        <v>Media</v>
      </c>
      <c r="F668" s="20" t="str">
        <f>'Universitaria de Entrenamiento'!D34</f>
        <v>2025-I(Todo el ciclo)
2025-II(Todo el ciclo)</v>
      </c>
      <c r="G668" s="20" t="str">
        <f>'Universitaria de Entrenamiento'!E34</f>
        <v>Ejecutar las actividades de la fase de SEGUIMIENTO del modelo metodológico del proceso de Seguimiento Curricular</v>
      </c>
      <c r="H668" s="20" t="str">
        <f>'Universitaria de Entrenamiento'!F34</f>
        <v>Director/a de carrera - Gestor/a académico
Tutores de curso</v>
      </c>
      <c r="I668" s="20" t="str">
        <f>'Universitaria de Entrenamiento'!G34</f>
        <v>Realizar el Seguimiento del modelo metodológico</v>
      </c>
      <c r="J668" s="20" t="str">
        <f>'Universitaria de Entrenamiento'!H34</f>
        <v>Fase SEGUIMIENTO:
INICIO: Socialización de Tutorías Académicas
DURANTE: Registro de Calificaciones del Primer Parcial
FINAL : Registro de Calificación Finales</v>
      </c>
      <c r="K668" s="62">
        <f>'Universitaria de Entrenamiento'!I34</f>
        <v>0</v>
      </c>
      <c r="L668" s="20" t="str">
        <f>'Universitaria de Entrenamiento'!J34</f>
        <v>$ -</v>
      </c>
      <c r="M668" s="20">
        <f>'Universitaria de Entrenamiento'!K34</f>
        <v>0</v>
      </c>
      <c r="N668" s="20">
        <f>'Universitaria de Entrenamiento'!L34</f>
        <v>0</v>
      </c>
      <c r="O668" s="20" t="str">
        <f>'Universitaria de Entrenamiento'!M34</f>
        <v>NO SE APERTURÓ</v>
      </c>
      <c r="P668" s="20">
        <v>2025</v>
      </c>
    </row>
    <row r="669" spans="1:16" ht="14.25" customHeight="1">
      <c r="A669" s="20" t="s">
        <v>482</v>
      </c>
      <c r="B669" s="20" t="str">
        <f t="shared" si="58"/>
        <v>ESTRATEGIA 2</v>
      </c>
      <c r="C669" s="20" t="str">
        <f t="shared" si="59"/>
        <v>OBJETIVO OPERATIVO 1</v>
      </c>
      <c r="D669" s="20" t="str">
        <f>'Universitaria de Entrenamiento'!B35</f>
        <v>FALSE</v>
      </c>
      <c r="E669" s="20" t="str">
        <f>'Universitaria de Entrenamiento'!C35</f>
        <v>Media</v>
      </c>
      <c r="F669" s="20" t="str">
        <f>'Universitaria de Entrenamiento'!D35</f>
        <v>2025-I(Todo el ciclo)
2025-II(Todo el ciclo)</v>
      </c>
      <c r="G669" s="20" t="str">
        <f>'Universitaria de Entrenamiento'!E35</f>
        <v>Ejecutar las actividades de la fase de CONTROL del modelo metodológico del proceso de Seguimiento Curricular</v>
      </c>
      <c r="H669" s="20" t="str">
        <f>'Universitaria de Entrenamiento'!F35</f>
        <v>Director/a de carrera - Gestor/a académico
Tutores de curso</v>
      </c>
      <c r="I669" s="20" t="str">
        <f>'Universitaria de Entrenamiento'!G35</f>
        <v>Realizar el Control del modelo metodológico</v>
      </c>
      <c r="J669" s="20" t="str">
        <f>'Universitaria de Entrenamiento'!H35</f>
        <v>Fase CONTROL:
INICIO: Matriz consolidada de resultados de Pruebas de Diagnostico
DURANTE: Matriz consolidada de resultados de Calificaciones del Primer Parcial
FINAL : Matriz consolidada de resultados de Calificaciones Finales</v>
      </c>
      <c r="K669" s="62">
        <f>'Universitaria de Entrenamiento'!I35</f>
        <v>0</v>
      </c>
      <c r="L669" s="20" t="str">
        <f>'Universitaria de Entrenamiento'!J35</f>
        <v>$ -</v>
      </c>
      <c r="M669" s="20">
        <f>'Universitaria de Entrenamiento'!K35</f>
        <v>0</v>
      </c>
      <c r="N669" s="20">
        <f>'Universitaria de Entrenamiento'!L35</f>
        <v>0</v>
      </c>
      <c r="O669" s="20" t="str">
        <f>'Universitaria de Entrenamiento'!M35</f>
        <v>NO SE APERTURÓ</v>
      </c>
      <c r="P669" s="20">
        <v>2025</v>
      </c>
    </row>
    <row r="670" spans="1:16" ht="14.25" customHeight="1">
      <c r="A670" s="20" t="s">
        <v>482</v>
      </c>
      <c r="B670" s="20" t="str">
        <f t="shared" si="58"/>
        <v>ESTRATEGIA 2</v>
      </c>
      <c r="C670" s="20" t="str">
        <f t="shared" si="59"/>
        <v>OBJETIVO OPERATIVO 1</v>
      </c>
      <c r="D670" s="20" t="str">
        <f>'Universitaria de Entrenamiento'!B36</f>
        <v>FALSE</v>
      </c>
      <c r="E670" s="20" t="str">
        <f>'Universitaria de Entrenamiento'!C36</f>
        <v>Media</v>
      </c>
      <c r="F670" s="20" t="str">
        <f>'Universitaria de Entrenamiento'!D36</f>
        <v>2025-I(Todo el ciclo)
2025-II(Todo el ciclo)</v>
      </c>
      <c r="G670" s="20" t="str">
        <f>'Universitaria de Entrenamiento'!E36</f>
        <v>Ejecutar las actividades de la fase de EVALUACIÓN del modelo metodológico del proceso de Seguimiento Curricular</v>
      </c>
      <c r="H670" s="20" t="str">
        <f>'Universitaria de Entrenamiento'!F36</f>
        <v>Director/a de carrera - Gestor/a académico
Tutores de curso</v>
      </c>
      <c r="I670" s="20" t="str">
        <f>'Universitaria de Entrenamiento'!G36</f>
        <v>Realizar la Evaluación del modelo metodológico</v>
      </c>
      <c r="J670" s="20" t="str">
        <f>'Universitaria de Entrenamiento'!H36</f>
        <v>Fase EVALAUCIÓN:
INICIO: Acta de reunión de inicio de ciclo estudiantes
DURANTE: Acta de reunión del Primer Parcial Docentes - Estudiantes
FINAL : Acta de reunión Final - Docentes - Estudiantes</v>
      </c>
      <c r="K670" s="62">
        <f>'Universitaria de Entrenamiento'!I36</f>
        <v>0</v>
      </c>
      <c r="L670" s="20" t="str">
        <f>'Universitaria de Entrenamiento'!J36</f>
        <v>$ -</v>
      </c>
      <c r="M670" s="20">
        <f>'Universitaria de Entrenamiento'!K36</f>
        <v>0</v>
      </c>
      <c r="N670" s="20">
        <f>'Universitaria de Entrenamiento'!L36</f>
        <v>0</v>
      </c>
      <c r="O670" s="20" t="str">
        <f>'Universitaria de Entrenamiento'!M36</f>
        <v>NO SE APERTURÓ</v>
      </c>
      <c r="P670" s="20">
        <v>2025</v>
      </c>
    </row>
    <row r="671" spans="1:16" ht="14.25" customHeight="1">
      <c r="A671" s="20" t="s">
        <v>482</v>
      </c>
      <c r="B671" s="20" t="str">
        <f t="shared" si="58"/>
        <v>ESTRATEGIA 2</v>
      </c>
      <c r="C671" s="20" t="str">
        <f t="shared" si="59"/>
        <v>OBJETIVO OPERATIVO 1</v>
      </c>
      <c r="D671" s="20" t="str">
        <f>'Universitaria de Entrenamiento'!B37</f>
        <v>FALSE</v>
      </c>
      <c r="E671" s="20" t="str">
        <f>'Universitaria de Entrenamiento'!C37</f>
        <v>Baja</v>
      </c>
      <c r="F671" s="20" t="str">
        <f>'Universitaria de Entrenamiento'!D37</f>
        <v>2025-II(Fin de ciclo)
2025-I(Fin de Ciclo)</v>
      </c>
      <c r="G671" s="20" t="str">
        <f>'Universitaria de Entrenamiento'!E37</f>
        <v>Elaboración del Plan de Mejoramiento del proceso enseñanza aprendizaje</v>
      </c>
      <c r="H671" s="20" t="str">
        <f>'Universitaria de Entrenamiento'!F37</f>
        <v>Director/a carrera
Responsable de Seguimiento a graduados de la carrera</v>
      </c>
      <c r="I671" s="20" t="str">
        <f>'Universitaria de Entrenamiento'!G37</f>
        <v>De acuerdo a los resultados generar el Plan de Mejoramiento enseñanza aprendizaje</v>
      </c>
      <c r="J671" s="20" t="str">
        <f>'Universitaria de Entrenamiento'!H37</f>
        <v>Informe de plan de mejoramiento curricular</v>
      </c>
      <c r="K671" s="62">
        <f>'Universitaria de Entrenamiento'!I37</f>
        <v>0</v>
      </c>
      <c r="L671" s="20" t="str">
        <f>'Universitaria de Entrenamiento'!J37</f>
        <v>$ -</v>
      </c>
      <c r="M671" s="20">
        <f>'Universitaria de Entrenamiento'!K37</f>
        <v>0</v>
      </c>
      <c r="N671" s="20">
        <f>'Universitaria de Entrenamiento'!L37</f>
        <v>0</v>
      </c>
      <c r="O671" s="20" t="str">
        <f>'Universitaria de Entrenamiento'!M37</f>
        <v>NO SE APERTURÓ</v>
      </c>
      <c r="P671" s="20">
        <v>2025</v>
      </c>
    </row>
    <row r="672" spans="1:16" ht="14.25" customHeight="1">
      <c r="A672" s="20" t="s">
        <v>482</v>
      </c>
      <c r="B672" s="20" t="str">
        <f t="shared" si="58"/>
        <v>ESTRATEGIA 2</v>
      </c>
      <c r="C672" s="20" t="str">
        <f>'Universitaria de Entrenamiento'!E38</f>
        <v>OBJETIVO OPERATIVO 2</v>
      </c>
      <c r="D672" s="20" t="str">
        <f>'Universitaria de Entrenamiento'!B39</f>
        <v>TRUE</v>
      </c>
      <c r="E672" s="20" t="str">
        <f>'Universitaria de Entrenamiento'!C39</f>
        <v>Media</v>
      </c>
      <c r="F672" s="20" t="str">
        <f>'Universitaria de Entrenamiento'!D39</f>
        <v>2025-II(Inicio de ciclo)</v>
      </c>
      <c r="G672" s="20" t="str">
        <f>'Universitaria de Entrenamiento'!E39</f>
        <v>Diseñar, gestionar e implementar cursos o programas de inducción y de actualización para docentes y estudiantes.</v>
      </c>
      <c r="H672" s="20" t="str">
        <f>'Universitaria de Entrenamiento'!F39</f>
        <v>Director/a carrera - gestor académico</v>
      </c>
      <c r="I672" s="20" t="str">
        <f>'Universitaria de Entrenamiento'!G39</f>
        <v>Generar la capacitación docente</v>
      </c>
      <c r="J672" s="20" t="str">
        <f>'Universitaria de Entrenamiento'!H39</f>
        <v>Informes de cursos y o programas.</v>
      </c>
      <c r="K672" s="62">
        <f>'Universitaria de Entrenamiento'!I39</f>
        <v>0</v>
      </c>
      <c r="L672" s="20" t="str">
        <f>'Universitaria de Entrenamiento'!J39</f>
        <v>$ -</v>
      </c>
      <c r="M672" s="20">
        <f>'Universitaria de Entrenamiento'!K39</f>
        <v>0</v>
      </c>
      <c r="N672" s="20">
        <f>'Universitaria de Entrenamiento'!L39</f>
        <v>0</v>
      </c>
      <c r="O672" s="20" t="str">
        <f>'Universitaria de Entrenamiento'!M39</f>
        <v>NO SE APERTURÓ</v>
      </c>
      <c r="P672" s="20">
        <v>2025</v>
      </c>
    </row>
    <row r="673" spans="1:16" ht="14.25" customHeight="1">
      <c r="A673" s="20" t="s">
        <v>482</v>
      </c>
      <c r="B673" s="20" t="str">
        <f t="shared" si="58"/>
        <v>ESTRATEGIA 2</v>
      </c>
      <c r="C673" s="20" t="str">
        <f>$C$672</f>
        <v>OBJETIVO OPERATIVO 2</v>
      </c>
      <c r="D673" s="20" t="str">
        <f>'Universitaria de Entrenamiento'!B40</f>
        <v>TRUE</v>
      </c>
      <c r="E673" s="20" t="str">
        <f>'Universitaria de Entrenamiento'!C40</f>
        <v>Media</v>
      </c>
      <c r="F673" s="20" t="str">
        <f>'Universitaria de Entrenamiento'!D40</f>
        <v>2025-II(Inicio de ciclo)</v>
      </c>
      <c r="G673" s="20" t="str">
        <f>'Universitaria de Entrenamiento'!E40</f>
        <v>Capacitar a los estudiantes sobre la utilización de la Plataforma Moodle.</v>
      </c>
      <c r="H673" s="20" t="str">
        <f>'Universitaria de Entrenamiento'!F40</f>
        <v>responsable plataforma Moodle de la carrera</v>
      </c>
      <c r="I673" s="20" t="str">
        <f>'Universitaria de Entrenamiento'!G40</f>
        <v>Generar la capacitación estudiantil sobre el Moodle</v>
      </c>
      <c r="J673" s="20" t="str">
        <f>'Universitaria de Entrenamiento'!H40</f>
        <v>Informe sobre la capacitación</v>
      </c>
      <c r="K673" s="62">
        <f>'Universitaria de Entrenamiento'!I40</f>
        <v>0</v>
      </c>
      <c r="L673" s="20" t="str">
        <f>'Universitaria de Entrenamiento'!J40</f>
        <v>$ -</v>
      </c>
      <c r="M673" s="20">
        <f>'Universitaria de Entrenamiento'!K40</f>
        <v>0</v>
      </c>
      <c r="N673" s="20">
        <f>'Universitaria de Entrenamiento'!L40</f>
        <v>0</v>
      </c>
      <c r="O673" s="20" t="str">
        <f>'Universitaria de Entrenamiento'!M40</f>
        <v>NO SE APERTURÓ</v>
      </c>
      <c r="P673" s="20">
        <v>2025</v>
      </c>
    </row>
    <row r="674" spans="1:16" ht="14.25" customHeight="1">
      <c r="A674" s="20" t="s">
        <v>482</v>
      </c>
      <c r="B674" s="20" t="str">
        <f t="shared" si="58"/>
        <v>ESTRATEGIA 2</v>
      </c>
      <c r="C674" s="20" t="str">
        <f>$C$672</f>
        <v>OBJETIVO OPERATIVO 2</v>
      </c>
      <c r="D674" s="20" t="str">
        <f>'Universitaria de Entrenamiento'!B41</f>
        <v>TRUE</v>
      </c>
      <c r="E674" s="20" t="str">
        <f>'Universitaria de Entrenamiento'!C41</f>
        <v>Baja</v>
      </c>
      <c r="F674" s="20" t="str">
        <f>'Universitaria de Entrenamiento'!D41</f>
        <v>2025-II(Fin de ciclo)</v>
      </c>
      <c r="G674" s="20" t="str">
        <f>'Universitaria de Entrenamiento'!E41</f>
        <v>Elaborar y ejecutar la planificación de oferta complementaria.</v>
      </c>
      <c r="H674" s="20" t="str">
        <f>'Universitaria de Entrenamiento'!F41</f>
        <v>Docentes de la carrera</v>
      </c>
      <c r="I674" s="20" t="str">
        <f>'Universitaria de Entrenamiento'!G41</f>
        <v>Analizar y realizar la oferta complementaria</v>
      </c>
      <c r="J674" s="20" t="str">
        <f>'Universitaria de Entrenamiento'!H41</f>
        <v>Informe de ejecución de la oferta complementaria.</v>
      </c>
      <c r="K674" s="62">
        <f>'Universitaria de Entrenamiento'!I41</f>
        <v>0</v>
      </c>
      <c r="L674" s="20" t="str">
        <f>'Universitaria de Entrenamiento'!J41</f>
        <v>$ -</v>
      </c>
      <c r="M674" s="20">
        <f>'Universitaria de Entrenamiento'!K41</f>
        <v>0</v>
      </c>
      <c r="N674" s="20">
        <f>'Universitaria de Entrenamiento'!L41</f>
        <v>0</v>
      </c>
      <c r="O674" s="20" t="str">
        <f>'Universitaria de Entrenamiento'!M41</f>
        <v>NO SE APERTURÓ</v>
      </c>
      <c r="P674" s="20">
        <v>2025</v>
      </c>
    </row>
    <row r="675" spans="1:16" ht="14.25" customHeight="1">
      <c r="A675" s="20" t="s">
        <v>482</v>
      </c>
      <c r="B675" s="20" t="str">
        <f t="shared" si="58"/>
        <v>ESTRATEGIA 2</v>
      </c>
      <c r="C675" s="20" t="str">
        <f>'Universitaria de Entrenamiento'!E42</f>
        <v>OBJETIVO OPERATIVO 3</v>
      </c>
      <c r="D675" s="20" t="str">
        <f>'Universitaria de Entrenamiento'!B43</f>
        <v>TRUE</v>
      </c>
      <c r="E675" s="20" t="str">
        <f>'Universitaria de Entrenamiento'!C43</f>
        <v>Alta</v>
      </c>
      <c r="F675" s="20" t="str">
        <f>'Universitaria de Entrenamiento'!D43</f>
        <v>2025-I(Inicio de ciclo)</v>
      </c>
      <c r="G675" s="20" t="str">
        <f>'Universitaria de Entrenamiento'!E43</f>
        <v>Revisión de requisitos de la opción de titulación de los estudiantes.</v>
      </c>
      <c r="H675" s="20" t="str">
        <f>'Universitaria de Entrenamiento'!F43</f>
        <v>Director de carrera / Coordinador de carreras</v>
      </c>
      <c r="I675" s="20" t="str">
        <f>'Universitaria de Entrenamiento'!G43</f>
        <v>Realizar el análisis de la opción de titulación para los estudiantes</v>
      </c>
      <c r="J675" s="20" t="str">
        <f>'Universitaria de Entrenamiento'!H43</f>
        <v>Recopilar los documentos de los estudiantes de titulación.</v>
      </c>
      <c r="K675" s="62">
        <f>'Universitaria de Entrenamiento'!I43</f>
        <v>0</v>
      </c>
      <c r="L675" s="20" t="str">
        <f>'Universitaria de Entrenamiento'!J43</f>
        <v>$ -</v>
      </c>
      <c r="M675" s="20">
        <f>'Universitaria de Entrenamiento'!K43</f>
        <v>0</v>
      </c>
      <c r="N675" s="20">
        <f>'Universitaria de Entrenamiento'!L43</f>
        <v>0</v>
      </c>
      <c r="O675" s="20" t="str">
        <f>'Universitaria de Entrenamiento'!M43</f>
        <v>NO SE APERTURÓ</v>
      </c>
      <c r="P675" s="20">
        <v>2025</v>
      </c>
    </row>
    <row r="676" spans="1:16" ht="14.25" customHeight="1">
      <c r="A676" s="20" t="s">
        <v>482</v>
      </c>
      <c r="B676" s="20" t="str">
        <f t="shared" si="58"/>
        <v>ESTRATEGIA 2</v>
      </c>
      <c r="C676" s="20" t="str">
        <f>$C$675</f>
        <v>OBJETIVO OPERATIVO 3</v>
      </c>
      <c r="D676" s="20" t="str">
        <f>'Universitaria de Entrenamiento'!B44</f>
        <v>TRUE</v>
      </c>
      <c r="E676" s="20" t="str">
        <f>'Universitaria de Entrenamiento'!C44</f>
        <v>Alta</v>
      </c>
      <c r="F676" s="20" t="str">
        <f>'Universitaria de Entrenamiento'!D44</f>
        <v>2025-I(Inicio de ciclo)</v>
      </c>
      <c r="G676" s="20" t="str">
        <f>'Universitaria de Entrenamiento'!E44</f>
        <v>Coordinación para aprobación de documentación de la integración curricular.</v>
      </c>
      <c r="H676" s="20" t="str">
        <f>'Universitaria de Entrenamiento'!F44</f>
        <v>Director de carrera / Coordinador de carreras</v>
      </c>
      <c r="I676" s="20" t="str">
        <f>'Universitaria de Entrenamiento'!G44</f>
        <v>Revisar y coordinar la aprobación de documentos para el ingreso a la unidad de integración curricular</v>
      </c>
      <c r="J676" s="20" t="str">
        <f>'Universitaria de Entrenamiento'!H44</f>
        <v>Aprobación de la documentación a titulación.</v>
      </c>
      <c r="K676" s="62">
        <f>'Universitaria de Entrenamiento'!I44</f>
        <v>0</v>
      </c>
      <c r="L676" s="20" t="str">
        <f>'Universitaria de Entrenamiento'!J44</f>
        <v>$ -</v>
      </c>
      <c r="M676" s="20">
        <f>'Universitaria de Entrenamiento'!K44</f>
        <v>0</v>
      </c>
      <c r="N676" s="20">
        <f>'Universitaria de Entrenamiento'!L44</f>
        <v>0</v>
      </c>
      <c r="O676" s="20" t="str">
        <f>'Universitaria de Entrenamiento'!M44</f>
        <v>NO SE APERTURÓ</v>
      </c>
      <c r="P676" s="20">
        <v>2025</v>
      </c>
    </row>
    <row r="677" spans="1:16" ht="14.25" customHeight="1">
      <c r="A677" s="20" t="s">
        <v>482</v>
      </c>
      <c r="B677" s="20" t="str">
        <f t="shared" si="58"/>
        <v>ESTRATEGIA 2</v>
      </c>
      <c r="C677" s="20" t="str">
        <f>$C$675</f>
        <v>OBJETIVO OPERATIVO 3</v>
      </c>
      <c r="D677" s="20" t="str">
        <f>'Universitaria de Entrenamiento'!B45</f>
        <v>TRUE</v>
      </c>
      <c r="E677" s="20" t="str">
        <f>'Universitaria de Entrenamiento'!C45</f>
        <v>Alta</v>
      </c>
      <c r="F677" s="20" t="str">
        <f>'Universitaria de Entrenamiento'!D45</f>
        <v>2025-I(Fin de ciclo)</v>
      </c>
      <c r="G677" s="20" t="str">
        <f>'Universitaria de Entrenamiento'!E45</f>
        <v>Coordinación del evento de incorporación.</v>
      </c>
      <c r="H677" s="20" t="str">
        <f>'Universitaria de Entrenamiento'!F45</f>
        <v>Director de carrera / Coordinador de carreras</v>
      </c>
      <c r="I677" s="20" t="str">
        <f>'Universitaria de Entrenamiento'!G45</f>
        <v>Realizar la lista de estudiantes a titularse</v>
      </c>
      <c r="J677" s="20" t="str">
        <f>'Universitaria de Entrenamiento'!H45</f>
        <v>Matriz de datos de estudiantes a titularse</v>
      </c>
      <c r="K677" s="62">
        <f>'Universitaria de Entrenamiento'!I45</f>
        <v>0</v>
      </c>
      <c r="L677" s="20" t="str">
        <f>'Universitaria de Entrenamiento'!J45</f>
        <v>$ -</v>
      </c>
      <c r="M677" s="20">
        <f>'Universitaria de Entrenamiento'!K45</f>
        <v>0</v>
      </c>
      <c r="N677" s="20">
        <f>'Universitaria de Entrenamiento'!L45</f>
        <v>0</v>
      </c>
      <c r="O677" s="20" t="str">
        <f>'Universitaria de Entrenamiento'!M45</f>
        <v>NO SE APERTURÓ</v>
      </c>
      <c r="P677" s="20">
        <v>2025</v>
      </c>
    </row>
    <row r="678" spans="1:16" ht="14.25" customHeight="1">
      <c r="A678" s="20" t="s">
        <v>482</v>
      </c>
      <c r="B678" s="20" t="str">
        <f>'Universitaria de Entrenamiento'!B46</f>
        <v>ESTRATEGIA 3</v>
      </c>
      <c r="C678" s="20" t="str">
        <f>'Universitaria de Entrenamiento'!E46</f>
        <v>OBJETIVO OPERATIVO 1</v>
      </c>
      <c r="D678" s="20" t="str">
        <f>'Universitaria de Entrenamiento'!B47</f>
        <v>FALSE</v>
      </c>
      <c r="E678" s="20" t="str">
        <f>'Universitaria de Entrenamiento'!C47</f>
        <v>Media</v>
      </c>
      <c r="F678" s="20" t="str">
        <f>'Universitaria de Entrenamiento'!D47</f>
        <v>2025-I(Todo el ciclo)
2025-II(Todo de ciclo)</v>
      </c>
      <c r="G678" s="20" t="str">
        <f>'Universitaria de Entrenamiento'!E47</f>
        <v>Colaborar con la comisión de Vinculación en la construcción de los documentos necesarios para la firma de convenios.</v>
      </c>
      <c r="H678" s="20" t="str">
        <f>'Universitaria de Entrenamiento'!F47</f>
        <v>Director/a carrera -responsable de practicas y vinculación</v>
      </c>
      <c r="I678" s="20" t="str">
        <f>'Universitaria de Entrenamiento'!G47</f>
        <v>Brindar apoyo y realizar ITV de vinculación de la carrera</v>
      </c>
      <c r="J678" s="20" t="str">
        <f>'Universitaria de Entrenamiento'!H47</f>
        <v>ITV y los convenios.</v>
      </c>
      <c r="K678" s="62">
        <f>'Universitaria de Entrenamiento'!I47</f>
        <v>0</v>
      </c>
      <c r="L678" s="20" t="str">
        <f>'Universitaria de Entrenamiento'!J47</f>
        <v>$ -</v>
      </c>
      <c r="M678" s="20">
        <f>'Universitaria de Entrenamiento'!K47</f>
        <v>0</v>
      </c>
      <c r="N678" s="20">
        <f>'Universitaria de Entrenamiento'!L47</f>
        <v>0</v>
      </c>
      <c r="O678" s="20" t="str">
        <f>'Universitaria de Entrenamiento'!M47</f>
        <v>NO SE APERTURÓ</v>
      </c>
      <c r="P678" s="20">
        <v>2025</v>
      </c>
    </row>
    <row r="679" spans="1:16" ht="14.25" customHeight="1">
      <c r="A679" s="20" t="s">
        <v>482</v>
      </c>
      <c r="B679" s="20" t="str">
        <f>$B$678</f>
        <v>ESTRATEGIA 3</v>
      </c>
      <c r="C679" s="20" t="str">
        <f>$C$678</f>
        <v>OBJETIVO OPERATIVO 1</v>
      </c>
      <c r="D679" s="20" t="str">
        <f>'Universitaria de Entrenamiento'!B48</f>
        <v>FALSE</v>
      </c>
      <c r="E679" s="20" t="str">
        <f>'Universitaria de Entrenamiento'!C48</f>
        <v>Baja</v>
      </c>
      <c r="F679" s="20" t="str">
        <f>'Universitaria de Entrenamiento'!D48</f>
        <v>2025-II( fin ciclo)
2025-I( fin ciclo)</v>
      </c>
      <c r="G679" s="20" t="str">
        <f>'Universitaria de Entrenamiento'!E48</f>
        <v>Divulgación de los resultados de los proyectos de vinculación, asistiendo a las ferias convocados por diferentes organizaciones.</v>
      </c>
      <c r="H679" s="20" t="str">
        <f>'Universitaria de Entrenamiento'!F48</f>
        <v>Director/a carrera -responsable de practicas y vinculación</v>
      </c>
      <c r="I679" s="20" t="str">
        <f>'Universitaria de Entrenamiento'!G48</f>
        <v>Realizar la divulgación de los resultados de los proyectos de vinculación</v>
      </c>
      <c r="J679" s="20" t="str">
        <f>'Universitaria de Entrenamiento'!H48</f>
        <v>Informe de la divulgación.</v>
      </c>
      <c r="K679" s="62">
        <f>'Universitaria de Entrenamiento'!I48</f>
        <v>0</v>
      </c>
      <c r="L679" s="20" t="str">
        <f>'Universitaria de Entrenamiento'!J48</f>
        <v>$ -</v>
      </c>
      <c r="M679" s="20">
        <f>'Universitaria de Entrenamiento'!K48</f>
        <v>0</v>
      </c>
      <c r="N679" s="20">
        <f>'Universitaria de Entrenamiento'!L48</f>
        <v>0</v>
      </c>
      <c r="O679" s="20" t="str">
        <f>'Universitaria de Entrenamiento'!M48</f>
        <v>NO SE APERTURÓ</v>
      </c>
      <c r="P679" s="20">
        <v>2025</v>
      </c>
    </row>
    <row r="680" spans="1:16" ht="14.25" customHeight="1">
      <c r="A680" s="20" t="s">
        <v>482</v>
      </c>
      <c r="B680" s="20" t="str">
        <f>$B$678</f>
        <v>ESTRATEGIA 3</v>
      </c>
      <c r="C680" s="20" t="str">
        <f>$C$678</f>
        <v>OBJETIVO OPERATIVO 1</v>
      </c>
      <c r="D680" s="20" t="str">
        <f>'Universitaria de Entrenamiento'!B49</f>
        <v>FALSE</v>
      </c>
      <c r="E680" s="20" t="str">
        <f>'Universitaria de Entrenamiento'!C49</f>
        <v>Baja</v>
      </c>
      <c r="F680" s="20" t="str">
        <f>'Universitaria de Entrenamiento'!D49</f>
        <v>2025-I (inicio ciclo)
2025-II(inicio ciclo)</v>
      </c>
      <c r="G680" s="20" t="str">
        <f>'Universitaria de Entrenamiento'!E49</f>
        <v>Socializar con los estudiantes el reglamento de vinculación</v>
      </c>
      <c r="H680" s="20" t="str">
        <f>'Universitaria de Entrenamiento'!F49</f>
        <v>Director/a carrera -responsable de practicas y vinculación</v>
      </c>
      <c r="I680" s="20" t="str">
        <f>'Universitaria de Entrenamiento'!G49</f>
        <v>Realizar la socialización del reglamento de vinculación con los estudiantes</v>
      </c>
      <c r="J680" s="20" t="str">
        <f>'Universitaria de Entrenamiento'!H49</f>
        <v>Informe de socialización del reglamento.</v>
      </c>
      <c r="K680" s="62">
        <f>'Universitaria de Entrenamiento'!I49</f>
        <v>0</v>
      </c>
      <c r="L680" s="20" t="str">
        <f>'Universitaria de Entrenamiento'!J49</f>
        <v>$ -</v>
      </c>
      <c r="M680" s="20">
        <f>'Universitaria de Entrenamiento'!K49</f>
        <v>0</v>
      </c>
      <c r="N680" s="20">
        <f>'Universitaria de Entrenamiento'!L49</f>
        <v>0</v>
      </c>
      <c r="O680" s="20" t="str">
        <f>'Universitaria de Entrenamiento'!M49</f>
        <v>NO SE APERTURÓ</v>
      </c>
      <c r="P680" s="20">
        <v>2025</v>
      </c>
    </row>
    <row r="681" spans="1:16" ht="14.25" customHeight="1">
      <c r="A681" s="20" t="s">
        <v>482</v>
      </c>
      <c r="B681" s="20" t="str">
        <f>$B$678</f>
        <v>ESTRATEGIA 3</v>
      </c>
      <c r="C681" s="20" t="str">
        <f>'Universitaria de Entrenamiento'!E50</f>
        <v>OBJETIVO OPERATIVO 2</v>
      </c>
      <c r="D681" s="20" t="str">
        <f>'Universitaria de Entrenamiento'!B51</f>
        <v>TRUE</v>
      </c>
      <c r="E681" s="20" t="str">
        <f>'Universitaria de Entrenamiento'!C51</f>
        <v>Alta</v>
      </c>
      <c r="F681" s="20" t="str">
        <f>'Universitaria de Entrenamiento'!D51</f>
        <v>2025-I (inicio ciclo)
2025-II(inicio ciclo)</v>
      </c>
      <c r="G681" s="20" t="str">
        <f>'Universitaria de Entrenamiento'!E51</f>
        <v>Conocer las líneas de investigación de la carrera</v>
      </c>
      <c r="H681" s="20" t="str">
        <f>'Universitaria de Entrenamiento'!F51</f>
        <v>Director de carrera</v>
      </c>
      <c r="I681" s="20" t="str">
        <f>'Universitaria de Entrenamiento'!G51</f>
        <v>Analizar y realizar las líneas de investigación de la carrera</v>
      </c>
      <c r="J681" s="20" t="str">
        <f>'Universitaria de Entrenamiento'!H51</f>
        <v>Informe de socialización de las líneas de investigación de la carrera</v>
      </c>
      <c r="K681" s="62">
        <f>'Universitaria de Entrenamiento'!I51</f>
        <v>0</v>
      </c>
      <c r="L681" s="20" t="str">
        <f>'Universitaria de Entrenamiento'!J51</f>
        <v>$ -</v>
      </c>
      <c r="M681" s="20">
        <f>'Universitaria de Entrenamiento'!K51</f>
        <v>0</v>
      </c>
      <c r="N681" s="20">
        <f>'Universitaria de Entrenamiento'!L51</f>
        <v>0</v>
      </c>
      <c r="O681" s="20" t="str">
        <f>'Universitaria de Entrenamiento'!M51</f>
        <v>NO SE APERTURÓ</v>
      </c>
      <c r="P681" s="20">
        <v>2025</v>
      </c>
    </row>
    <row r="682" spans="1:16" ht="14.25" customHeight="1">
      <c r="A682" s="20" t="s">
        <v>482</v>
      </c>
      <c r="B682" s="20" t="str">
        <f>$B$678</f>
        <v>ESTRATEGIA 3</v>
      </c>
      <c r="C682" s="20" t="str">
        <f>$C$681</f>
        <v>OBJETIVO OPERATIVO 2</v>
      </c>
      <c r="D682" s="20" t="str">
        <f>'Universitaria de Entrenamiento'!B52</f>
        <v>TRUE</v>
      </c>
      <c r="E682" s="20" t="str">
        <f>'Universitaria de Entrenamiento'!C52</f>
        <v>Alta</v>
      </c>
      <c r="F682" s="20" t="str">
        <f>'Universitaria de Entrenamiento'!D52</f>
        <v>2025-I(Todo el ciclo)
2025-II(Todo de ciclo)</v>
      </c>
      <c r="G682" s="20" t="str">
        <f>'Universitaria de Entrenamiento'!E52</f>
        <v>Desarrollar investigación científica y tecnológica que contribuya con la construcción de soluciones para los problemas del país, en relación con los objetivos del régimen de desarrollo.</v>
      </c>
      <c r="H682" s="20" t="str">
        <f>'Universitaria de Entrenamiento'!F52</f>
        <v>Director de Carrera
Docentes de la carrera
Comisión de Investigación</v>
      </c>
      <c r="I682" s="20" t="str">
        <f>'Universitaria de Entrenamiento'!G52</f>
        <v>Incentivar y desarrollar la investigación de los docentes de la carrera en base a las líneas de la carrera</v>
      </c>
      <c r="J682" s="20" t="str">
        <f>'Universitaria de Entrenamiento'!H52</f>
        <v>Artículos publicados por los docentes de la carrera</v>
      </c>
      <c r="K682" s="62">
        <f>'Universitaria de Entrenamiento'!I52</f>
        <v>0</v>
      </c>
      <c r="L682" s="20" t="str">
        <f>'Universitaria de Entrenamiento'!J52</f>
        <v>$ -</v>
      </c>
      <c r="M682" s="20">
        <f>'Universitaria de Entrenamiento'!K52</f>
        <v>0</v>
      </c>
      <c r="N682" s="20">
        <f>'Universitaria de Entrenamiento'!L52</f>
        <v>0</v>
      </c>
      <c r="O682" s="20" t="str">
        <f>'Universitaria de Entrenamiento'!M52</f>
        <v>NO SE APERTURÓ</v>
      </c>
      <c r="P682" s="20">
        <v>2025</v>
      </c>
    </row>
    <row r="683" spans="1:16" ht="14.25" customHeight="1">
      <c r="A683" s="20" t="s">
        <v>482</v>
      </c>
      <c r="B683" s="20" t="str">
        <f>$B$678</f>
        <v>ESTRATEGIA 3</v>
      </c>
      <c r="C683" s="20" t="str">
        <f>'Universitaria de Entrenamiento'!E53</f>
        <v>OBJETIVO OPERATIVO 3</v>
      </c>
      <c r="D683" s="20" t="str">
        <f>'Universitaria de Entrenamiento'!B54</f>
        <v>TRUE</v>
      </c>
      <c r="E683" s="20" t="str">
        <f>'Universitaria de Entrenamiento'!C54</f>
        <v>Baja</v>
      </c>
      <c r="F683" s="20" t="str">
        <f>'Universitaria de Entrenamiento'!D54</f>
        <v>2025-I(Todo el ciclo)
2025-II(Todo de ciclo)</v>
      </c>
      <c r="G683" s="20" t="str">
        <f>'Universitaria de Entrenamiento'!E54</f>
        <v>Ejecutar la formación en valores y desarrollo de habilidades blandas.</v>
      </c>
      <c r="H683" s="20" t="str">
        <f>'Universitaria de Entrenamiento'!F54</f>
        <v>Director de carrera
Gestor académico
Bienestar institucional</v>
      </c>
      <c r="I683" s="20" t="str">
        <f>'Universitaria de Entrenamiento'!G54</f>
        <v>Realizar un curso de habilidades blandas que se desarrollara para todo el instituto</v>
      </c>
      <c r="J683" s="20" t="str">
        <f>'Universitaria de Entrenamiento'!H54</f>
        <v>Informe de formación en valores y desarrollo de habilidades blandas</v>
      </c>
      <c r="K683" s="62">
        <f>'Universitaria de Entrenamiento'!I54</f>
        <v>0</v>
      </c>
      <c r="L683" s="20" t="str">
        <f>'Universitaria de Entrenamiento'!J54</f>
        <v>$ -</v>
      </c>
      <c r="M683" s="20">
        <f>'Universitaria de Entrenamiento'!K54</f>
        <v>0</v>
      </c>
      <c r="N683" s="20">
        <f>'Universitaria de Entrenamiento'!L54</f>
        <v>0</v>
      </c>
      <c r="O683" s="20" t="str">
        <f>'Universitaria de Entrenamiento'!M54</f>
        <v>NO SE APERTURÓ</v>
      </c>
      <c r="P683" s="20">
        <v>2025</v>
      </c>
    </row>
    <row r="684" spans="1:16" ht="14.25" customHeight="1">
      <c r="A684" s="20" t="s">
        <v>482</v>
      </c>
      <c r="B684" s="20" t="str">
        <f>'Universitaria de Entrenamiento'!B55</f>
        <v>ESTRATEGIA 4</v>
      </c>
      <c r="C684" s="20" t="str">
        <f>'Universitaria de Entrenamiento'!E55</f>
        <v>OBJETIVO OPERATIVO 1</v>
      </c>
      <c r="D684" s="20" t="str">
        <f>'Universitaria de Entrenamiento'!B56</f>
        <v>FALSE</v>
      </c>
      <c r="E684" s="20" t="str">
        <f>'Universitaria de Entrenamiento'!C56</f>
        <v>Baja</v>
      </c>
      <c r="F684" s="20" t="str">
        <f>'Universitaria de Entrenamiento'!D56</f>
        <v>2025-I (fin ciclo)
2025-II(fin ciclo)</v>
      </c>
      <c r="G684" s="20" t="str">
        <f>'Universitaria de Entrenamiento'!E56</f>
        <v>Elaboración de matrices de la oferta académica institucional.</v>
      </c>
      <c r="H684" s="20" t="str">
        <f>'Universitaria de Entrenamiento'!F56</f>
        <v>Director de Carrera
Gestor Académico</v>
      </c>
      <c r="I684" s="20" t="str">
        <f>'Universitaria de Entrenamiento'!G56</f>
        <v>Generación de matrices de oferta académica para la captación de más estudiantes</v>
      </c>
      <c r="J684" s="20" t="str">
        <f>'Universitaria de Entrenamiento'!H56</f>
        <v>Matrices de la oferta académica.</v>
      </c>
      <c r="K684" s="62">
        <f>'Universitaria de Entrenamiento'!I56</f>
        <v>0</v>
      </c>
      <c r="L684" s="20" t="str">
        <f>'Universitaria de Entrenamiento'!J56</f>
        <v>$ -</v>
      </c>
      <c r="M684" s="20">
        <f>'Universitaria de Entrenamiento'!K56</f>
        <v>0</v>
      </c>
      <c r="N684" s="20">
        <f>'Universitaria de Entrenamiento'!L56</f>
        <v>0</v>
      </c>
      <c r="O684" s="20" t="str">
        <f>'Universitaria de Entrenamiento'!M56</f>
        <v>NO SE APERTURÓ</v>
      </c>
      <c r="P684" s="20">
        <v>2025</v>
      </c>
    </row>
    <row r="685" spans="1:16" ht="14.25" customHeight="1">
      <c r="A685" s="20" t="s">
        <v>482</v>
      </c>
      <c r="B685" s="20" t="str">
        <f>$B$684</f>
        <v>ESTRATEGIA 4</v>
      </c>
      <c r="C685" s="20" t="str">
        <f>$C$684</f>
        <v>OBJETIVO OPERATIVO 1</v>
      </c>
      <c r="D685" s="20" t="str">
        <f>'Universitaria de Entrenamiento'!B57</f>
        <v>FALSE</v>
      </c>
      <c r="E685" s="20" t="str">
        <f>'Universitaria de Entrenamiento'!C57</f>
        <v>Baja</v>
      </c>
      <c r="F685" s="20" t="str">
        <f>'Universitaria de Entrenamiento'!D57</f>
        <v xml:space="preserve">
2025-II(fin ciclo)</v>
      </c>
      <c r="G685" s="20" t="str">
        <f>'Universitaria de Entrenamiento'!E57</f>
        <v>Planificación de demanda estudiantil.</v>
      </c>
      <c r="H685" s="20" t="str">
        <f>'Universitaria de Entrenamiento'!F57</f>
        <v>Director de Carrera
Gestor Académico</v>
      </c>
      <c r="I685" s="20" t="str">
        <f>'Universitaria de Entrenamiento'!G57</f>
        <v>Planificar la demanda institucional en base a históricos de periodos anteriores</v>
      </c>
      <c r="J685" s="20" t="str">
        <f>'Universitaria de Entrenamiento'!H57</f>
        <v>Listado certificado de matriculados de la carrera</v>
      </c>
      <c r="K685" s="62">
        <f>'Universitaria de Entrenamiento'!I57</f>
        <v>0</v>
      </c>
      <c r="L685" s="20" t="str">
        <f>'Universitaria de Entrenamiento'!J57</f>
        <v>$ -</v>
      </c>
      <c r="M685" s="20">
        <f>'Universitaria de Entrenamiento'!K57</f>
        <v>0</v>
      </c>
      <c r="N685" s="20">
        <f>'Universitaria de Entrenamiento'!L57</f>
        <v>0</v>
      </c>
      <c r="O685" s="20" t="str">
        <f>'Universitaria de Entrenamiento'!M57</f>
        <v>NO SE APERTURÓ</v>
      </c>
      <c r="P685" s="20">
        <v>2025</v>
      </c>
    </row>
    <row r="686" spans="1:16" ht="14.25" customHeight="1">
      <c r="A686" s="20" t="s">
        <v>482</v>
      </c>
      <c r="B686" s="20" t="str">
        <f>$B$684</f>
        <v>ESTRATEGIA 4</v>
      </c>
      <c r="C686" s="20" t="str">
        <f>$C$684</f>
        <v>OBJETIVO OPERATIVO 1</v>
      </c>
      <c r="D686" s="20" t="str">
        <f>'Universitaria de Entrenamiento'!B58</f>
        <v>FALSE</v>
      </c>
      <c r="E686" s="20" t="str">
        <f>'Universitaria de Entrenamiento'!C58</f>
        <v>Media</v>
      </c>
      <c r="F686" s="20" t="str">
        <f>'Universitaria de Entrenamiento'!D58</f>
        <v>2025-II(fin ciclo)</v>
      </c>
      <c r="G686" s="20" t="str">
        <f>'Universitaria de Entrenamiento'!E58</f>
        <v>Análisis de capacidad operativa de la institución.</v>
      </c>
      <c r="H686" s="20" t="str">
        <f>'Universitaria de Entrenamiento'!F58</f>
        <v>Director de Carrera
Gestor Académico</v>
      </c>
      <c r="I686" s="20" t="str">
        <f>'Universitaria de Entrenamiento'!G58</f>
        <v>Análisis de requerimientos sustantivo y no sustantivo de la carrera</v>
      </c>
      <c r="J686" s="20" t="str">
        <f>'Universitaria de Entrenamiento'!H58</f>
        <v>Resolución de aprobación por OCS de Estandarización de Carrera</v>
      </c>
      <c r="K686" s="62">
        <f>'Universitaria de Entrenamiento'!I58</f>
        <v>0</v>
      </c>
      <c r="L686" s="20" t="str">
        <f>'Universitaria de Entrenamiento'!J58</f>
        <v>$ -</v>
      </c>
      <c r="M686" s="20">
        <f>'Universitaria de Entrenamiento'!K58</f>
        <v>0</v>
      </c>
      <c r="N686" s="20">
        <f>'Universitaria de Entrenamiento'!L58</f>
        <v>0</v>
      </c>
      <c r="O686" s="20" t="str">
        <f>'Universitaria de Entrenamiento'!M58</f>
        <v>NO SE APERTURÓ</v>
      </c>
      <c r="P686" s="20">
        <v>2025</v>
      </c>
    </row>
    <row r="687" spans="1:16" ht="14.25" customHeight="1"/>
    <row r="688" spans="1:16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Resumen</vt:lpstr>
      <vt:lpstr>Entrenamiento Deportivo</vt:lpstr>
      <vt:lpstr>Penitenciaria</vt:lpstr>
      <vt:lpstr>Producción Audiovisual</vt:lpstr>
      <vt:lpstr>Plataformas tecnológicas</vt:lpstr>
      <vt:lpstr>Biga Data</vt:lpstr>
      <vt:lpstr>Ciberseguridad</vt:lpstr>
      <vt:lpstr>Software</vt:lpstr>
      <vt:lpstr>Desarrollo infantil</vt:lpstr>
      <vt:lpstr>Educación Inicial</vt:lpstr>
      <vt:lpstr>Patrimonio</vt:lpstr>
      <vt:lpstr>Mantenimiento eléctrico</vt:lpstr>
      <vt:lpstr>Mecatrónica</vt:lpstr>
      <vt:lpstr>Hoja 1</vt:lpstr>
      <vt:lpstr>Metalmecánica</vt:lpstr>
      <vt:lpstr>Madera</vt:lpstr>
      <vt:lpstr>Seguridad y Prevención de riesg</vt:lpstr>
      <vt:lpstr>Tributación</vt:lpstr>
      <vt:lpstr>Universitaria Software</vt:lpstr>
      <vt:lpstr>Universitaria Industrial</vt:lpstr>
      <vt:lpstr>Universitaria de Entrenamiento</vt:lpstr>
      <vt:lpstr>resumen_carreras</vt:lpstr>
      <vt:lpstr>indicadores_carreras</vt:lpstr>
      <vt:lpstr>actividades_carreras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patricio</dc:creator>
  <cp:lastModifiedBy>Joseph Marquez</cp:lastModifiedBy>
  <dcterms:created xsi:type="dcterms:W3CDTF">2024-12-03T17:33:36Z</dcterms:created>
  <dcterms:modified xsi:type="dcterms:W3CDTF">2026-01-21T15:21:54Z</dcterms:modified>
</cp:coreProperties>
</file>